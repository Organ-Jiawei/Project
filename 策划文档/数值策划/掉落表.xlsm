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92" windowWidth="14808" windowHeight="7920"/>
  </bookViews>
  <sheets>
    <sheet name="drop" sheetId="3" r:id="rId1"/>
    <sheet name="dropdetail" sheetId="4" r:id="rId2"/>
    <sheet name="功能掉落明细" sheetId="1" r:id="rId3"/>
    <sheet name="掉落细节配置" sheetId="2" r:id="rId4"/>
    <sheet name="参数" sheetId="5" r:id="rId5"/>
  </sheets>
  <definedNames>
    <definedName name="_xlnm._FilterDatabase" localSheetId="2" hidden="1">功能掉落明细!$A$3:$AG$3</definedName>
  </definedNames>
  <calcPr calcId="144525"/>
</workbook>
</file>

<file path=xl/calcChain.xml><?xml version="1.0" encoding="utf-8"?>
<calcChain xmlns="http://schemas.openxmlformats.org/spreadsheetml/2006/main">
  <c r="A670" i="3" l="1"/>
  <c r="C266" i="1"/>
  <c r="D266" i="1" s="1"/>
  <c r="F266" i="1"/>
  <c r="F264" i="1" l="1"/>
  <c r="F265" i="1"/>
  <c r="C264" i="1"/>
  <c r="C265" i="1"/>
  <c r="C263" i="1" l="1"/>
  <c r="F263" i="1"/>
  <c r="C239" i="1"/>
  <c r="F239" i="1"/>
  <c r="C240" i="1"/>
  <c r="F240" i="1"/>
  <c r="C241" i="1"/>
  <c r="F241" i="1"/>
  <c r="C242" i="1"/>
  <c r="F242" i="1"/>
  <c r="C243" i="1"/>
  <c r="F243" i="1"/>
  <c r="C244" i="1"/>
  <c r="F244" i="1"/>
  <c r="C245" i="1"/>
  <c r="F245" i="1"/>
  <c r="C246" i="1"/>
  <c r="F246" i="1"/>
  <c r="C247" i="1"/>
  <c r="F247" i="1"/>
  <c r="C248" i="1"/>
  <c r="F248" i="1"/>
  <c r="C249" i="1"/>
  <c r="F249" i="1"/>
  <c r="C250" i="1"/>
  <c r="F250" i="1"/>
  <c r="C251" i="1"/>
  <c r="F251" i="1"/>
  <c r="C252" i="1"/>
  <c r="F252" i="1"/>
  <c r="C253" i="1"/>
  <c r="F253" i="1"/>
  <c r="C254" i="1"/>
  <c r="F254" i="1"/>
  <c r="C255" i="1"/>
  <c r="F255" i="1"/>
  <c r="C256" i="1"/>
  <c r="F256" i="1"/>
  <c r="C257" i="1"/>
  <c r="F257" i="1"/>
  <c r="C258" i="1"/>
  <c r="F258" i="1"/>
  <c r="C259" i="1"/>
  <c r="F259" i="1"/>
  <c r="C260" i="1"/>
  <c r="F260" i="1"/>
  <c r="C261" i="1"/>
  <c r="F261" i="1"/>
  <c r="C262" i="1"/>
  <c r="F262" i="1"/>
  <c r="C238" i="1"/>
  <c r="F238" i="1"/>
  <c r="C227" i="1"/>
  <c r="F227" i="1"/>
  <c r="C228" i="1"/>
  <c r="F228" i="1"/>
  <c r="C229" i="1"/>
  <c r="F229" i="1"/>
  <c r="C230" i="1"/>
  <c r="F230" i="1"/>
  <c r="C231" i="1"/>
  <c r="F231" i="1"/>
  <c r="C232" i="1"/>
  <c r="F232" i="1"/>
  <c r="C233" i="1"/>
  <c r="F233" i="1"/>
  <c r="C234" i="1"/>
  <c r="F234" i="1"/>
  <c r="C235" i="1"/>
  <c r="F235" i="1"/>
  <c r="C236" i="1"/>
  <c r="F236" i="1"/>
  <c r="C237" i="1"/>
  <c r="F237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3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191" i="1"/>
  <c r="C192" i="1"/>
  <c r="D192" i="1" s="1"/>
  <c r="C193" i="1"/>
  <c r="C194" i="1"/>
  <c r="D194" i="1" s="1"/>
  <c r="C195" i="1"/>
  <c r="C196" i="1"/>
  <c r="D196" i="1" s="1"/>
  <c r="C197" i="1"/>
  <c r="C198" i="1"/>
  <c r="D198" i="1" s="1"/>
  <c r="C199" i="1"/>
  <c r="C200" i="1"/>
  <c r="C190" i="1"/>
  <c r="C189" i="1"/>
  <c r="D189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A266" i="1" l="1"/>
  <c r="B266" i="1"/>
  <c r="D199" i="1"/>
  <c r="D201" i="1"/>
  <c r="D203" i="1"/>
  <c r="D205" i="1"/>
  <c r="D207" i="1"/>
  <c r="D209" i="1"/>
  <c r="D211" i="1"/>
  <c r="D213" i="1"/>
  <c r="D215" i="1"/>
  <c r="D217" i="1"/>
  <c r="D219" i="1"/>
  <c r="D221" i="1"/>
  <c r="D223" i="1"/>
  <c r="D225" i="1"/>
  <c r="D227" i="1"/>
  <c r="D229" i="1"/>
  <c r="D231" i="1"/>
  <c r="D233" i="1"/>
  <c r="D235" i="1"/>
  <c r="D237" i="1"/>
  <c r="D239" i="1"/>
  <c r="D241" i="1"/>
  <c r="D243" i="1"/>
  <c r="D245" i="1"/>
  <c r="D247" i="1"/>
  <c r="D249" i="1"/>
  <c r="D251" i="1"/>
  <c r="D253" i="1"/>
  <c r="D255" i="1"/>
  <c r="D257" i="1"/>
  <c r="D259" i="1"/>
  <c r="D261" i="1"/>
  <c r="D263" i="1"/>
  <c r="D265" i="1"/>
  <c r="D200" i="1"/>
  <c r="D202" i="1"/>
  <c r="D204" i="1"/>
  <c r="D206" i="1"/>
  <c r="D208" i="1"/>
  <c r="D210" i="1"/>
  <c r="D212" i="1"/>
  <c r="D214" i="1"/>
  <c r="D216" i="1"/>
  <c r="D218" i="1"/>
  <c r="D220" i="1"/>
  <c r="D222" i="1"/>
  <c r="D224" i="1"/>
  <c r="D226" i="1"/>
  <c r="D228" i="1"/>
  <c r="D230" i="1"/>
  <c r="D232" i="1"/>
  <c r="D234" i="1"/>
  <c r="D236" i="1"/>
  <c r="D238" i="1"/>
  <c r="D240" i="1"/>
  <c r="D242" i="1"/>
  <c r="D244" i="1"/>
  <c r="D246" i="1"/>
  <c r="D248" i="1"/>
  <c r="D250" i="1"/>
  <c r="D252" i="1"/>
  <c r="D254" i="1"/>
  <c r="D256" i="1"/>
  <c r="D258" i="1"/>
  <c r="D260" i="1"/>
  <c r="D262" i="1"/>
  <c r="D264" i="1"/>
  <c r="D190" i="1"/>
  <c r="D197" i="1"/>
  <c r="D195" i="1"/>
  <c r="D193" i="1"/>
  <c r="D191" i="1"/>
  <c r="A264" i="1"/>
  <c r="B264" i="1"/>
  <c r="B265" i="1"/>
  <c r="A265" i="1"/>
  <c r="A263" i="1"/>
  <c r="B263" i="1"/>
  <c r="A262" i="1"/>
  <c r="A259" i="1"/>
  <c r="A258" i="1"/>
  <c r="A255" i="1"/>
  <c r="A254" i="1"/>
  <c r="A251" i="1"/>
  <c r="A250" i="1"/>
  <c r="A247" i="1"/>
  <c r="A246" i="1"/>
  <c r="A243" i="1"/>
  <c r="A242" i="1"/>
  <c r="A239" i="1"/>
  <c r="A261" i="1"/>
  <c r="A260" i="1"/>
  <c r="A257" i="1"/>
  <c r="A256" i="1"/>
  <c r="A253" i="1"/>
  <c r="A252" i="1"/>
  <c r="A249" i="1"/>
  <c r="A248" i="1"/>
  <c r="A245" i="1"/>
  <c r="A244" i="1"/>
  <c r="A241" i="1"/>
  <c r="A240" i="1"/>
  <c r="B228" i="1"/>
  <c r="B261" i="1"/>
  <c r="B259" i="1"/>
  <c r="B257" i="1"/>
  <c r="B255" i="1"/>
  <c r="B253" i="1"/>
  <c r="B251" i="1"/>
  <c r="B249" i="1"/>
  <c r="B247" i="1"/>
  <c r="B245" i="1"/>
  <c r="B243" i="1"/>
  <c r="B241" i="1"/>
  <c r="B239" i="1"/>
  <c r="B262" i="1"/>
  <c r="B260" i="1"/>
  <c r="B258" i="1"/>
  <c r="B256" i="1"/>
  <c r="B254" i="1"/>
  <c r="B252" i="1"/>
  <c r="B250" i="1"/>
  <c r="B248" i="1"/>
  <c r="B246" i="1"/>
  <c r="B244" i="1"/>
  <c r="B242" i="1"/>
  <c r="B240" i="1"/>
  <c r="A238" i="1"/>
  <c r="A237" i="1"/>
  <c r="A236" i="1"/>
  <c r="A233" i="1"/>
  <c r="A232" i="1"/>
  <c r="A229" i="1"/>
  <c r="A228" i="1"/>
  <c r="B238" i="1"/>
  <c r="A235" i="1"/>
  <c r="A234" i="1"/>
  <c r="A231" i="1"/>
  <c r="A230" i="1"/>
  <c r="A227" i="1"/>
  <c r="B237" i="1"/>
  <c r="B235" i="1"/>
  <c r="B233" i="1"/>
  <c r="B231" i="1"/>
  <c r="B229" i="1"/>
  <c r="B227" i="1"/>
  <c r="B236" i="1"/>
  <c r="B234" i="1"/>
  <c r="B232" i="1"/>
  <c r="B230" i="1"/>
  <c r="C172" i="1"/>
  <c r="D172" i="1" s="1"/>
  <c r="C173" i="1"/>
  <c r="D173" i="1" s="1"/>
  <c r="C174" i="1"/>
  <c r="D174" i="1" s="1"/>
  <c r="C175" i="1"/>
  <c r="D175" i="1" s="1"/>
  <c r="C176" i="1"/>
  <c r="D176" i="1" s="1"/>
  <c r="C177" i="1"/>
  <c r="D177" i="1" s="1"/>
  <c r="C178" i="1"/>
  <c r="D178" i="1" s="1"/>
  <c r="C166" i="1"/>
  <c r="C167" i="1"/>
  <c r="C168" i="1"/>
  <c r="C169" i="1"/>
  <c r="C170" i="1"/>
  <c r="C171" i="1"/>
  <c r="D166" i="1"/>
  <c r="D167" i="1"/>
  <c r="D168" i="1"/>
  <c r="D169" i="1"/>
  <c r="D170" i="1"/>
  <c r="D171" i="1"/>
  <c r="C6" i="1" l="1"/>
  <c r="C4" i="1"/>
  <c r="C5" i="1"/>
  <c r="C3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D157" i="1"/>
  <c r="D158" i="1"/>
  <c r="D159" i="1"/>
  <c r="D160" i="1"/>
  <c r="D161" i="1"/>
  <c r="D162" i="1"/>
  <c r="D163" i="1"/>
  <c r="D164" i="1"/>
  <c r="D165" i="1"/>
  <c r="D4" i="1"/>
  <c r="D5" i="1"/>
  <c r="D3" i="1"/>
  <c r="AA566" i="1"/>
  <c r="AA3" i="1"/>
  <c r="AF3" i="1" s="1"/>
  <c r="AA4" i="1"/>
  <c r="AF4" i="1" s="1"/>
  <c r="AA5" i="1"/>
  <c r="AF5" i="1" s="1"/>
  <c r="AA6" i="1"/>
  <c r="AF6" i="1" s="1"/>
  <c r="AA7" i="1"/>
  <c r="AF7" i="1" s="1"/>
  <c r="AA8" i="1"/>
  <c r="AF8" i="1" s="1"/>
  <c r="AA9" i="1"/>
  <c r="AF9" i="1" s="1"/>
  <c r="AA10" i="1"/>
  <c r="AF10" i="1" s="1"/>
  <c r="AA11" i="1"/>
  <c r="AF11" i="1" s="1"/>
  <c r="AA12" i="1"/>
  <c r="AF12" i="1" s="1"/>
  <c r="AA13" i="1"/>
  <c r="AF13" i="1" s="1"/>
  <c r="AA14" i="1"/>
  <c r="AF14" i="1" s="1"/>
  <c r="AA15" i="1"/>
  <c r="AF15" i="1" s="1"/>
  <c r="AA16" i="1"/>
  <c r="AF16" i="1" s="1"/>
  <c r="AA17" i="1"/>
  <c r="AF17" i="1" s="1"/>
  <c r="AA18" i="1"/>
  <c r="AF18" i="1" s="1"/>
  <c r="AA19" i="1"/>
  <c r="AF19" i="1" s="1"/>
  <c r="AA20" i="1"/>
  <c r="AF20" i="1" s="1"/>
  <c r="AA21" i="1"/>
  <c r="AF21" i="1" s="1"/>
  <c r="AA22" i="1"/>
  <c r="AF22" i="1" s="1"/>
  <c r="AA23" i="1"/>
  <c r="AF23" i="1" s="1"/>
  <c r="AA24" i="1"/>
  <c r="AF24" i="1" s="1"/>
  <c r="AA25" i="1"/>
  <c r="AF25" i="1" s="1"/>
  <c r="AA26" i="1"/>
  <c r="AF26" i="1" s="1"/>
  <c r="AA27" i="1"/>
  <c r="AF27" i="1" s="1"/>
  <c r="AA28" i="1"/>
  <c r="AF28" i="1" s="1"/>
  <c r="AA29" i="1"/>
  <c r="AF29" i="1" s="1"/>
  <c r="AA30" i="1"/>
  <c r="AF30" i="1" s="1"/>
  <c r="AA31" i="1"/>
  <c r="AF31" i="1" s="1"/>
  <c r="AA32" i="1"/>
  <c r="AF32" i="1" s="1"/>
  <c r="AA33" i="1"/>
  <c r="AF33" i="1" s="1"/>
  <c r="AA34" i="1"/>
  <c r="AF34" i="1" s="1"/>
  <c r="AA35" i="1"/>
  <c r="AF35" i="1" s="1"/>
  <c r="AA36" i="1"/>
  <c r="AF36" i="1" s="1"/>
  <c r="AA37" i="1"/>
  <c r="AF37" i="1" s="1"/>
  <c r="AA38" i="1"/>
  <c r="AF38" i="1" s="1"/>
  <c r="AA39" i="1"/>
  <c r="AF39" i="1" s="1"/>
  <c r="AA40" i="1"/>
  <c r="AF40" i="1" s="1"/>
  <c r="AA41" i="1"/>
  <c r="AF41" i="1" s="1"/>
  <c r="AA42" i="1"/>
  <c r="AF42" i="1" s="1"/>
  <c r="AA43" i="1"/>
  <c r="AF43" i="1" s="1"/>
  <c r="AA44" i="1"/>
  <c r="AF44" i="1" s="1"/>
  <c r="AA45" i="1"/>
  <c r="AF45" i="1" s="1"/>
  <c r="AA46" i="1"/>
  <c r="AF46" i="1" s="1"/>
  <c r="AA47" i="1"/>
  <c r="AF47" i="1" s="1"/>
  <c r="AA48" i="1"/>
  <c r="AF48" i="1" s="1"/>
  <c r="AA49" i="1"/>
  <c r="AF49" i="1" s="1"/>
  <c r="AA50" i="1"/>
  <c r="AF50" i="1" s="1"/>
  <c r="AA51" i="1"/>
  <c r="AF51" i="1" s="1"/>
  <c r="AA52" i="1"/>
  <c r="AF52" i="1" s="1"/>
  <c r="AA53" i="1"/>
  <c r="AF53" i="1" s="1"/>
  <c r="AA54" i="1"/>
  <c r="AF54" i="1" s="1"/>
  <c r="AA55" i="1"/>
  <c r="AF55" i="1" s="1"/>
  <c r="AA56" i="1"/>
  <c r="AF56" i="1" s="1"/>
  <c r="AA57" i="1"/>
  <c r="AF57" i="1" s="1"/>
  <c r="AA58" i="1"/>
  <c r="AF58" i="1" s="1"/>
  <c r="AA59" i="1"/>
  <c r="AF59" i="1" s="1"/>
  <c r="AA60" i="1"/>
  <c r="AF60" i="1" s="1"/>
  <c r="AA61" i="1"/>
  <c r="AF61" i="1" s="1"/>
  <c r="AA62" i="1"/>
  <c r="AF62" i="1" s="1"/>
  <c r="AA63" i="1"/>
  <c r="AF63" i="1" s="1"/>
  <c r="AA64" i="1"/>
  <c r="AF64" i="1" s="1"/>
  <c r="AA65" i="1"/>
  <c r="AF65" i="1" s="1"/>
  <c r="AA66" i="1"/>
  <c r="AF66" i="1" s="1"/>
  <c r="AA67" i="1"/>
  <c r="AF67" i="1" s="1"/>
  <c r="AA68" i="1"/>
  <c r="AF68" i="1" s="1"/>
  <c r="AA69" i="1"/>
  <c r="AF69" i="1" s="1"/>
  <c r="AA70" i="1"/>
  <c r="AF70" i="1" s="1"/>
  <c r="AA71" i="1"/>
  <c r="AF71" i="1" s="1"/>
  <c r="AA72" i="1"/>
  <c r="AF72" i="1" s="1"/>
  <c r="AA73" i="1"/>
  <c r="AF73" i="1" s="1"/>
  <c r="AA74" i="1"/>
  <c r="AF74" i="1" s="1"/>
  <c r="AA75" i="1"/>
  <c r="AF75" i="1" s="1"/>
  <c r="AA76" i="1"/>
  <c r="AF76" i="1" s="1"/>
  <c r="AA77" i="1"/>
  <c r="AF77" i="1" s="1"/>
  <c r="AA78" i="1"/>
  <c r="AF78" i="1" s="1"/>
  <c r="AA79" i="1"/>
  <c r="AF79" i="1" s="1"/>
  <c r="AA80" i="1"/>
  <c r="AF80" i="1" s="1"/>
  <c r="AA81" i="1"/>
  <c r="AF81" i="1" s="1"/>
  <c r="AA82" i="1"/>
  <c r="AF82" i="1" s="1"/>
  <c r="AA83" i="1"/>
  <c r="AF83" i="1" s="1"/>
  <c r="AA84" i="1"/>
  <c r="AF84" i="1" s="1"/>
  <c r="AA85" i="1"/>
  <c r="AF85" i="1" s="1"/>
  <c r="AA86" i="1"/>
  <c r="AF86" i="1" s="1"/>
  <c r="AA87" i="1"/>
  <c r="AF87" i="1" s="1"/>
  <c r="AA88" i="1"/>
  <c r="AF88" i="1" s="1"/>
  <c r="AA89" i="1"/>
  <c r="AF89" i="1" s="1"/>
  <c r="AA90" i="1"/>
  <c r="AF90" i="1" s="1"/>
  <c r="AA91" i="1"/>
  <c r="AF91" i="1" s="1"/>
  <c r="AA92" i="1"/>
  <c r="AF92" i="1" s="1"/>
  <c r="AA93" i="1"/>
  <c r="AF93" i="1" s="1"/>
  <c r="AA94" i="1"/>
  <c r="AF94" i="1" s="1"/>
  <c r="AA95" i="1"/>
  <c r="AF95" i="1" s="1"/>
  <c r="AA96" i="1"/>
  <c r="AF96" i="1" s="1"/>
  <c r="AA97" i="1"/>
  <c r="AF97" i="1" s="1"/>
  <c r="AA98" i="1"/>
  <c r="AF98" i="1" s="1"/>
  <c r="AA99" i="1"/>
  <c r="AF99" i="1" s="1"/>
  <c r="AA100" i="1"/>
  <c r="AF100" i="1" s="1"/>
  <c r="AA101" i="1"/>
  <c r="AF101" i="1" s="1"/>
  <c r="AA102" i="1"/>
  <c r="AF102" i="1" s="1"/>
  <c r="AA103" i="1"/>
  <c r="AF103" i="1" s="1"/>
  <c r="AA104" i="1"/>
  <c r="AF104" i="1" s="1"/>
  <c r="AA105" i="1"/>
  <c r="AF105" i="1" s="1"/>
  <c r="AA106" i="1"/>
  <c r="AF106" i="1" s="1"/>
  <c r="AA107" i="1"/>
  <c r="AF107" i="1" s="1"/>
  <c r="AA108" i="1"/>
  <c r="AF108" i="1" s="1"/>
  <c r="AA109" i="1"/>
  <c r="AF109" i="1" s="1"/>
  <c r="AA110" i="1"/>
  <c r="AF110" i="1" s="1"/>
  <c r="AA111" i="1"/>
  <c r="AF111" i="1" s="1"/>
  <c r="AA112" i="1"/>
  <c r="AF112" i="1" s="1"/>
  <c r="AA113" i="1"/>
  <c r="AF113" i="1" s="1"/>
  <c r="AA114" i="1"/>
  <c r="AF114" i="1" s="1"/>
  <c r="AA115" i="1"/>
  <c r="AF115" i="1" s="1"/>
  <c r="AA116" i="1"/>
  <c r="AF116" i="1" s="1"/>
  <c r="AA117" i="1"/>
  <c r="AF117" i="1" s="1"/>
  <c r="AA118" i="1"/>
  <c r="AF118" i="1" s="1"/>
  <c r="AA119" i="1"/>
  <c r="AF119" i="1" s="1"/>
  <c r="AA120" i="1"/>
  <c r="AF120" i="1" s="1"/>
  <c r="AA121" i="1"/>
  <c r="AF121" i="1" s="1"/>
  <c r="AA122" i="1"/>
  <c r="AF122" i="1" s="1"/>
  <c r="AA123" i="1"/>
  <c r="AF123" i="1" s="1"/>
  <c r="AA124" i="1"/>
  <c r="AF124" i="1" s="1"/>
  <c r="AA125" i="1"/>
  <c r="AF125" i="1" s="1"/>
  <c r="AA126" i="1"/>
  <c r="AF126" i="1" s="1"/>
  <c r="AA127" i="1"/>
  <c r="AF127" i="1" s="1"/>
  <c r="AA128" i="1"/>
  <c r="AF128" i="1" s="1"/>
  <c r="AA129" i="1"/>
  <c r="AF129" i="1" s="1"/>
  <c r="AA130" i="1"/>
  <c r="AF130" i="1" s="1"/>
  <c r="AA131" i="1"/>
  <c r="AF131" i="1" s="1"/>
  <c r="AA132" i="1"/>
  <c r="AF132" i="1" s="1"/>
  <c r="AA133" i="1"/>
  <c r="AF133" i="1" s="1"/>
  <c r="AA134" i="1"/>
  <c r="AF134" i="1" s="1"/>
  <c r="AA135" i="1"/>
  <c r="AF135" i="1" s="1"/>
  <c r="AA136" i="1"/>
  <c r="AF136" i="1" s="1"/>
  <c r="AA137" i="1"/>
  <c r="AF137" i="1" s="1"/>
  <c r="AA138" i="1"/>
  <c r="AF138" i="1" s="1"/>
  <c r="AA139" i="1"/>
  <c r="AF139" i="1" s="1"/>
  <c r="AA140" i="1"/>
  <c r="AF140" i="1" s="1"/>
  <c r="AA141" i="1"/>
  <c r="AF141" i="1" s="1"/>
  <c r="AA142" i="1"/>
  <c r="AF142" i="1" s="1"/>
  <c r="AA143" i="1"/>
  <c r="AF143" i="1" s="1"/>
  <c r="AA144" i="1"/>
  <c r="AF144" i="1" s="1"/>
  <c r="AA145" i="1"/>
  <c r="AF145" i="1" s="1"/>
  <c r="AA146" i="1"/>
  <c r="AF146" i="1" s="1"/>
  <c r="AA147" i="1"/>
  <c r="AF147" i="1" s="1"/>
  <c r="AA148" i="1"/>
  <c r="AF148" i="1" s="1"/>
  <c r="AA149" i="1"/>
  <c r="AF149" i="1" s="1"/>
  <c r="AA150" i="1"/>
  <c r="AF150" i="1" s="1"/>
  <c r="AA151" i="1"/>
  <c r="AF151" i="1" s="1"/>
  <c r="AA152" i="1"/>
  <c r="AF152" i="1" s="1"/>
  <c r="AA153" i="1"/>
  <c r="AF153" i="1" s="1"/>
  <c r="AA154" i="1"/>
  <c r="AF154" i="1" s="1"/>
  <c r="AA155" i="1"/>
  <c r="AF155" i="1" s="1"/>
  <c r="AA156" i="1"/>
  <c r="AF156" i="1" s="1"/>
  <c r="AA157" i="1"/>
  <c r="AF157" i="1" s="1"/>
  <c r="AA158" i="1"/>
  <c r="AF158" i="1" s="1"/>
  <c r="AA159" i="1"/>
  <c r="AF159" i="1" s="1"/>
  <c r="AA160" i="1"/>
  <c r="AF160" i="1" s="1"/>
  <c r="AA161" i="1"/>
  <c r="AF161" i="1" s="1"/>
  <c r="AA162" i="1"/>
  <c r="AF162" i="1" s="1"/>
  <c r="AA163" i="1"/>
  <c r="AF163" i="1" s="1"/>
  <c r="AA164" i="1"/>
  <c r="AF164" i="1" s="1"/>
  <c r="AA165" i="1"/>
  <c r="AF165" i="1" s="1"/>
  <c r="AA166" i="1"/>
  <c r="AF166" i="1" s="1"/>
  <c r="AA167" i="1"/>
  <c r="AF167" i="1" s="1"/>
  <c r="AA168" i="1"/>
  <c r="AF168" i="1" s="1"/>
  <c r="AA169" i="1"/>
  <c r="AF169" i="1" s="1"/>
  <c r="AA170" i="1"/>
  <c r="AF170" i="1" s="1"/>
  <c r="AA171" i="1"/>
  <c r="AF171" i="1" s="1"/>
  <c r="AA172" i="1"/>
  <c r="AF172" i="1" s="1"/>
  <c r="AA173" i="1"/>
  <c r="AF173" i="1" s="1"/>
  <c r="AA174" i="1"/>
  <c r="AF174" i="1" s="1"/>
  <c r="AA175" i="1"/>
  <c r="AF175" i="1" s="1"/>
  <c r="AA176" i="1"/>
  <c r="AF176" i="1" s="1"/>
  <c r="AA177" i="1"/>
  <c r="AF177" i="1" s="1"/>
  <c r="AA178" i="1"/>
  <c r="AF178" i="1" s="1"/>
  <c r="AA179" i="1"/>
  <c r="AF179" i="1" s="1"/>
  <c r="AA180" i="1"/>
  <c r="AF180" i="1" s="1"/>
  <c r="AA181" i="1"/>
  <c r="AF181" i="1" s="1"/>
  <c r="AA182" i="1"/>
  <c r="AF182" i="1" s="1"/>
  <c r="AA183" i="1"/>
  <c r="AF183" i="1" s="1"/>
  <c r="AA184" i="1"/>
  <c r="AF184" i="1" s="1"/>
  <c r="AA185" i="1"/>
  <c r="AF185" i="1" s="1"/>
  <c r="AA186" i="1"/>
  <c r="AF186" i="1" s="1"/>
  <c r="AA187" i="1"/>
  <c r="AF187" i="1" s="1"/>
  <c r="AA188" i="1"/>
  <c r="AF188" i="1" s="1"/>
  <c r="AA189" i="1"/>
  <c r="AF189" i="1" s="1"/>
  <c r="AA190" i="1"/>
  <c r="AF190" i="1" s="1"/>
  <c r="AA191" i="1"/>
  <c r="AF191" i="1" s="1"/>
  <c r="AA192" i="1"/>
  <c r="AF192" i="1" s="1"/>
  <c r="AA193" i="1"/>
  <c r="AF193" i="1" s="1"/>
  <c r="AA194" i="1"/>
  <c r="AF194" i="1" s="1"/>
  <c r="AA195" i="1"/>
  <c r="AF195" i="1" s="1"/>
  <c r="AA196" i="1"/>
  <c r="AF196" i="1" s="1"/>
  <c r="AA197" i="1"/>
  <c r="AF197" i="1" s="1"/>
  <c r="AA198" i="1"/>
  <c r="AF198" i="1" s="1"/>
  <c r="AA199" i="1"/>
  <c r="AF199" i="1" s="1"/>
  <c r="AA200" i="1"/>
  <c r="AF200" i="1" s="1"/>
  <c r="AA201" i="1"/>
  <c r="AF201" i="1" s="1"/>
  <c r="AA202" i="1"/>
  <c r="AF202" i="1" s="1"/>
  <c r="AA203" i="1"/>
  <c r="AF203" i="1" s="1"/>
  <c r="AA204" i="1"/>
  <c r="AF204" i="1" s="1"/>
  <c r="AA205" i="1"/>
  <c r="AF205" i="1" s="1"/>
  <c r="AA206" i="1"/>
  <c r="AF206" i="1" s="1"/>
  <c r="AA207" i="1"/>
  <c r="AF207" i="1" s="1"/>
  <c r="AA208" i="1"/>
  <c r="AF208" i="1" s="1"/>
  <c r="AA209" i="1"/>
  <c r="AF209" i="1" s="1"/>
  <c r="AA210" i="1"/>
  <c r="AF210" i="1" s="1"/>
  <c r="AA211" i="1"/>
  <c r="AF211" i="1" s="1"/>
  <c r="AA212" i="1"/>
  <c r="AF212" i="1" s="1"/>
  <c r="AA213" i="1"/>
  <c r="AF213" i="1" s="1"/>
  <c r="AA214" i="1"/>
  <c r="AF214" i="1" s="1"/>
  <c r="AA215" i="1"/>
  <c r="AF215" i="1" s="1"/>
  <c r="AA216" i="1"/>
  <c r="AF216" i="1" s="1"/>
  <c r="AA217" i="1"/>
  <c r="AF217" i="1" s="1"/>
  <c r="AA218" i="1"/>
  <c r="AF218" i="1" s="1"/>
  <c r="AA219" i="1"/>
  <c r="AF219" i="1" s="1"/>
  <c r="AA220" i="1"/>
  <c r="AF220" i="1" s="1"/>
  <c r="AA221" i="1"/>
  <c r="AF221" i="1" s="1"/>
  <c r="AA222" i="1"/>
  <c r="AF222" i="1" s="1"/>
  <c r="AA223" i="1"/>
  <c r="AF223" i="1" s="1"/>
  <c r="AA224" i="1"/>
  <c r="AF224" i="1" s="1"/>
  <c r="AA225" i="1"/>
  <c r="AF225" i="1" s="1"/>
  <c r="AA226" i="1"/>
  <c r="AF226" i="1" s="1"/>
  <c r="AA227" i="1"/>
  <c r="AF227" i="1" s="1"/>
  <c r="AA228" i="1"/>
  <c r="AF228" i="1" s="1"/>
  <c r="AA229" i="1"/>
  <c r="AF229" i="1" s="1"/>
  <c r="AA230" i="1"/>
  <c r="AF230" i="1" s="1"/>
  <c r="AA231" i="1"/>
  <c r="AF231" i="1" s="1"/>
  <c r="AA232" i="1"/>
  <c r="AF232" i="1" s="1"/>
  <c r="AA233" i="1"/>
  <c r="AF233" i="1" s="1"/>
  <c r="AA234" i="1"/>
  <c r="AF234" i="1" s="1"/>
  <c r="AA235" i="1"/>
  <c r="AF235" i="1" s="1"/>
  <c r="AA236" i="1"/>
  <c r="AF236" i="1" s="1"/>
  <c r="AA237" i="1"/>
  <c r="AF237" i="1" s="1"/>
  <c r="AA238" i="1"/>
  <c r="AF238" i="1" s="1"/>
  <c r="AA239" i="1"/>
  <c r="AF239" i="1" s="1"/>
  <c r="AA240" i="1"/>
  <c r="AF240" i="1" s="1"/>
  <c r="AA241" i="1"/>
  <c r="AF241" i="1" s="1"/>
  <c r="AA242" i="1"/>
  <c r="AF242" i="1" s="1"/>
  <c r="AA243" i="1"/>
  <c r="AF243" i="1" s="1"/>
  <c r="AA244" i="1"/>
  <c r="AF244" i="1" s="1"/>
  <c r="AA245" i="1"/>
  <c r="AF245" i="1" s="1"/>
  <c r="AA246" i="1"/>
  <c r="AF246" i="1" s="1"/>
  <c r="AA247" i="1"/>
  <c r="AF247" i="1" s="1"/>
  <c r="AA248" i="1"/>
  <c r="AF248" i="1" s="1"/>
  <c r="AA249" i="1"/>
  <c r="AF249" i="1" s="1"/>
  <c r="AA250" i="1"/>
  <c r="AF250" i="1" s="1"/>
  <c r="AA251" i="1"/>
  <c r="AF251" i="1" s="1"/>
  <c r="AA252" i="1"/>
  <c r="AF252" i="1" s="1"/>
  <c r="AA253" i="1"/>
  <c r="AF253" i="1" s="1"/>
  <c r="AA254" i="1"/>
  <c r="AF254" i="1" s="1"/>
  <c r="AA255" i="1"/>
  <c r="AF255" i="1" s="1"/>
  <c r="AA256" i="1"/>
  <c r="AF256" i="1" s="1"/>
  <c r="AA257" i="1"/>
  <c r="AF257" i="1" s="1"/>
  <c r="AA258" i="1"/>
  <c r="AF258" i="1" s="1"/>
  <c r="AA259" i="1"/>
  <c r="AF259" i="1" s="1"/>
  <c r="AA260" i="1"/>
  <c r="AF260" i="1" s="1"/>
  <c r="AA261" i="1"/>
  <c r="AF261" i="1" s="1"/>
  <c r="AA262" i="1"/>
  <c r="AF262" i="1" s="1"/>
  <c r="AA263" i="1"/>
  <c r="AF263" i="1" s="1"/>
  <c r="AA264" i="1"/>
  <c r="AF264" i="1" s="1"/>
  <c r="AA265" i="1"/>
  <c r="AF265" i="1" s="1"/>
  <c r="AA266" i="1"/>
  <c r="AF266" i="1" s="1"/>
  <c r="AA267" i="1"/>
  <c r="AF267" i="1" s="1"/>
  <c r="AA268" i="1"/>
  <c r="AF268" i="1" s="1"/>
  <c r="AA269" i="1"/>
  <c r="AF269" i="1" s="1"/>
  <c r="AA270" i="1"/>
  <c r="AF270" i="1" s="1"/>
  <c r="AA271" i="1"/>
  <c r="AF271" i="1" s="1"/>
  <c r="AA272" i="1"/>
  <c r="AF272" i="1" s="1"/>
  <c r="AA273" i="1"/>
  <c r="AF273" i="1" s="1"/>
  <c r="AA274" i="1"/>
  <c r="AF274" i="1" s="1"/>
  <c r="AA275" i="1"/>
  <c r="AF275" i="1" s="1"/>
  <c r="AA276" i="1"/>
  <c r="AF276" i="1" s="1"/>
  <c r="AA277" i="1"/>
  <c r="AF277" i="1" s="1"/>
  <c r="AA278" i="1"/>
  <c r="AF278" i="1" s="1"/>
  <c r="AA279" i="1"/>
  <c r="AF279" i="1" s="1"/>
  <c r="AA280" i="1"/>
  <c r="AF280" i="1" s="1"/>
  <c r="AA281" i="1"/>
  <c r="AF281" i="1" s="1"/>
  <c r="AA282" i="1"/>
  <c r="AF282" i="1" s="1"/>
  <c r="AA283" i="1"/>
  <c r="AF283" i="1" s="1"/>
  <c r="AA284" i="1"/>
  <c r="AF284" i="1" s="1"/>
  <c r="AA285" i="1"/>
  <c r="AF285" i="1" s="1"/>
  <c r="AA286" i="1"/>
  <c r="AF286" i="1" s="1"/>
  <c r="AA287" i="1"/>
  <c r="AF287" i="1" s="1"/>
  <c r="AA288" i="1"/>
  <c r="AF288" i="1" s="1"/>
  <c r="AA289" i="1"/>
  <c r="AF289" i="1" s="1"/>
  <c r="AA290" i="1"/>
  <c r="AF290" i="1" s="1"/>
  <c r="AA291" i="1"/>
  <c r="AF291" i="1" s="1"/>
  <c r="AA292" i="1"/>
  <c r="AF292" i="1" s="1"/>
  <c r="AA293" i="1"/>
  <c r="AF293" i="1" s="1"/>
  <c r="AA294" i="1"/>
  <c r="AF294" i="1" s="1"/>
  <c r="AA295" i="1"/>
  <c r="AF295" i="1" s="1"/>
  <c r="AA296" i="1"/>
  <c r="AF296" i="1" s="1"/>
  <c r="AA297" i="1"/>
  <c r="AF297" i="1" s="1"/>
  <c r="AA298" i="1"/>
  <c r="AF298" i="1" s="1"/>
  <c r="AA299" i="1"/>
  <c r="AF299" i="1" s="1"/>
  <c r="AA300" i="1"/>
  <c r="AF300" i="1" s="1"/>
  <c r="AA301" i="1"/>
  <c r="AF301" i="1" s="1"/>
  <c r="AA302" i="1"/>
  <c r="AF302" i="1" s="1"/>
  <c r="AA303" i="1"/>
  <c r="AF303" i="1" s="1"/>
  <c r="AA304" i="1"/>
  <c r="AF304" i="1" s="1"/>
  <c r="AA305" i="1"/>
  <c r="AF305" i="1" s="1"/>
  <c r="AA306" i="1"/>
  <c r="AF306" i="1" s="1"/>
  <c r="AA307" i="1"/>
  <c r="AF307" i="1" s="1"/>
  <c r="AA308" i="1"/>
  <c r="AF308" i="1" s="1"/>
  <c r="AA309" i="1"/>
  <c r="AF309" i="1" s="1"/>
  <c r="AA310" i="1"/>
  <c r="AF310" i="1" s="1"/>
  <c r="AA311" i="1"/>
  <c r="AF311" i="1" s="1"/>
  <c r="AA312" i="1"/>
  <c r="AF312" i="1" s="1"/>
  <c r="AA313" i="1"/>
  <c r="AF313" i="1" s="1"/>
  <c r="AA314" i="1"/>
  <c r="AF314" i="1" s="1"/>
  <c r="AA315" i="1"/>
  <c r="AF315" i="1" s="1"/>
  <c r="AA316" i="1"/>
  <c r="AF316" i="1" s="1"/>
  <c r="AA317" i="1"/>
  <c r="AF317" i="1" s="1"/>
  <c r="AA318" i="1"/>
  <c r="AF318" i="1" s="1"/>
  <c r="AA319" i="1"/>
  <c r="AF319" i="1" s="1"/>
  <c r="AA320" i="1"/>
  <c r="AF320" i="1" s="1"/>
  <c r="AA321" i="1"/>
  <c r="AF321" i="1" s="1"/>
  <c r="AA322" i="1"/>
  <c r="AF322" i="1" s="1"/>
  <c r="AA323" i="1"/>
  <c r="AF323" i="1" s="1"/>
  <c r="AA324" i="1"/>
  <c r="AF324" i="1" s="1"/>
  <c r="AA325" i="1"/>
  <c r="AF325" i="1" s="1"/>
  <c r="AA326" i="1"/>
  <c r="AF326" i="1" s="1"/>
  <c r="AA327" i="1"/>
  <c r="AF327" i="1" s="1"/>
  <c r="AA328" i="1"/>
  <c r="AF328" i="1" s="1"/>
  <c r="AA329" i="1"/>
  <c r="AF329" i="1" s="1"/>
  <c r="AA330" i="1"/>
  <c r="AF330" i="1" s="1"/>
  <c r="AA331" i="1"/>
  <c r="AF331" i="1" s="1"/>
  <c r="AA332" i="1"/>
  <c r="AF332" i="1" s="1"/>
  <c r="AA333" i="1"/>
  <c r="AF333" i="1" s="1"/>
  <c r="AA334" i="1"/>
  <c r="AF334" i="1" s="1"/>
  <c r="AA335" i="1"/>
  <c r="AF335" i="1" s="1"/>
  <c r="AA336" i="1"/>
  <c r="AF336" i="1" s="1"/>
  <c r="AA337" i="1"/>
  <c r="AF337" i="1" s="1"/>
  <c r="AA338" i="1"/>
  <c r="AF338" i="1" s="1"/>
  <c r="AA339" i="1"/>
  <c r="AF339" i="1" s="1"/>
  <c r="AA340" i="1"/>
  <c r="AF340" i="1" s="1"/>
  <c r="AA341" i="1"/>
  <c r="AF341" i="1" s="1"/>
  <c r="AA342" i="1"/>
  <c r="AF342" i="1" s="1"/>
  <c r="AA343" i="1"/>
  <c r="AF343" i="1" s="1"/>
  <c r="AA344" i="1"/>
  <c r="AF344" i="1" s="1"/>
  <c r="AA345" i="1"/>
  <c r="AF345" i="1" s="1"/>
  <c r="AA346" i="1"/>
  <c r="AF346" i="1" s="1"/>
  <c r="AA347" i="1"/>
  <c r="AF347" i="1" s="1"/>
  <c r="AA348" i="1"/>
  <c r="AF348" i="1" s="1"/>
  <c r="AA349" i="1"/>
  <c r="AF349" i="1" s="1"/>
  <c r="AA350" i="1"/>
  <c r="AF350" i="1" s="1"/>
  <c r="AA351" i="1"/>
  <c r="AF351" i="1" s="1"/>
  <c r="AA352" i="1"/>
  <c r="AF352" i="1" s="1"/>
  <c r="AA353" i="1"/>
  <c r="AF353" i="1" s="1"/>
  <c r="AA354" i="1"/>
  <c r="AF354" i="1" s="1"/>
  <c r="AA355" i="1"/>
  <c r="AF355" i="1" s="1"/>
  <c r="AA356" i="1"/>
  <c r="AF356" i="1" s="1"/>
  <c r="AA357" i="1"/>
  <c r="AF357" i="1" s="1"/>
  <c r="AA358" i="1"/>
  <c r="AF358" i="1" s="1"/>
  <c r="AA359" i="1"/>
  <c r="AF359" i="1" s="1"/>
  <c r="AA360" i="1"/>
  <c r="AF360" i="1" s="1"/>
  <c r="AA361" i="1"/>
  <c r="AF361" i="1" s="1"/>
  <c r="AA362" i="1"/>
  <c r="AF362" i="1" s="1"/>
  <c r="AA363" i="1"/>
  <c r="AF363" i="1" s="1"/>
  <c r="AA364" i="1"/>
  <c r="AF364" i="1" s="1"/>
  <c r="AA365" i="1"/>
  <c r="AF365" i="1" s="1"/>
  <c r="AA366" i="1"/>
  <c r="AF366" i="1" s="1"/>
  <c r="AA367" i="1"/>
  <c r="AF367" i="1" s="1"/>
  <c r="AA368" i="1"/>
  <c r="AF368" i="1" s="1"/>
  <c r="AA369" i="1"/>
  <c r="AF369" i="1" s="1"/>
  <c r="AA370" i="1"/>
  <c r="AF370" i="1" s="1"/>
  <c r="AA371" i="1"/>
  <c r="AF371" i="1" s="1"/>
  <c r="AA372" i="1"/>
  <c r="AF372" i="1" s="1"/>
  <c r="AA373" i="1"/>
  <c r="AF373" i="1" s="1"/>
  <c r="AA374" i="1"/>
  <c r="AF374" i="1" s="1"/>
  <c r="AA375" i="1"/>
  <c r="AF375" i="1" s="1"/>
  <c r="AA376" i="1"/>
  <c r="AF376" i="1" s="1"/>
  <c r="AA377" i="1"/>
  <c r="AF377" i="1" s="1"/>
  <c r="AA378" i="1"/>
  <c r="AF378" i="1" s="1"/>
  <c r="AA379" i="1"/>
  <c r="AF379" i="1" s="1"/>
  <c r="AA380" i="1"/>
  <c r="AF380" i="1" s="1"/>
  <c r="AA381" i="1"/>
  <c r="AF381" i="1" s="1"/>
  <c r="AA382" i="1"/>
  <c r="AF382" i="1" s="1"/>
  <c r="AA383" i="1"/>
  <c r="AF383" i="1" s="1"/>
  <c r="AA384" i="1"/>
  <c r="AF384" i="1" s="1"/>
  <c r="AA385" i="1"/>
  <c r="AF385" i="1" s="1"/>
  <c r="AA386" i="1"/>
  <c r="AF386" i="1" s="1"/>
  <c r="AA387" i="1"/>
  <c r="AF387" i="1" s="1"/>
  <c r="AA388" i="1"/>
  <c r="AF388" i="1" s="1"/>
  <c r="AA389" i="1"/>
  <c r="AF389" i="1" s="1"/>
  <c r="AA390" i="1"/>
  <c r="AF390" i="1" s="1"/>
  <c r="AA391" i="1"/>
  <c r="AF391" i="1" s="1"/>
  <c r="AA392" i="1"/>
  <c r="AF392" i="1" s="1"/>
  <c r="AA393" i="1"/>
  <c r="AF393" i="1" s="1"/>
  <c r="AA394" i="1"/>
  <c r="AF394" i="1" s="1"/>
  <c r="AA395" i="1"/>
  <c r="AF395" i="1" s="1"/>
  <c r="AA396" i="1"/>
  <c r="AF396" i="1" s="1"/>
  <c r="AA397" i="1"/>
  <c r="AF397" i="1" s="1"/>
  <c r="AA398" i="1"/>
  <c r="AF398" i="1" s="1"/>
  <c r="AA399" i="1"/>
  <c r="AF399" i="1" s="1"/>
  <c r="AA400" i="1"/>
  <c r="AF400" i="1" s="1"/>
  <c r="AA401" i="1"/>
  <c r="AF401" i="1" s="1"/>
  <c r="AA402" i="1"/>
  <c r="AF402" i="1" s="1"/>
  <c r="AA403" i="1"/>
  <c r="AF403" i="1" s="1"/>
  <c r="AA404" i="1"/>
  <c r="AF404" i="1" s="1"/>
  <c r="AA405" i="1"/>
  <c r="AF405" i="1" s="1"/>
  <c r="AA406" i="1"/>
  <c r="AF406" i="1" s="1"/>
  <c r="AA407" i="1"/>
  <c r="AF407" i="1" s="1"/>
  <c r="AA408" i="1"/>
  <c r="AF408" i="1" s="1"/>
  <c r="AA409" i="1"/>
  <c r="AF409" i="1" s="1"/>
  <c r="AA410" i="1"/>
  <c r="AF410" i="1" s="1"/>
  <c r="AA411" i="1"/>
  <c r="AF411" i="1" s="1"/>
  <c r="AA412" i="1"/>
  <c r="AF412" i="1" s="1"/>
  <c r="AA413" i="1"/>
  <c r="AF413" i="1" s="1"/>
  <c r="AA414" i="1"/>
  <c r="AF414" i="1" s="1"/>
  <c r="AA415" i="1"/>
  <c r="AF415" i="1" s="1"/>
  <c r="AA416" i="1"/>
  <c r="AF416" i="1" s="1"/>
  <c r="AA417" i="1"/>
  <c r="AF417" i="1" s="1"/>
  <c r="AA418" i="1"/>
  <c r="AF418" i="1" s="1"/>
  <c r="AA419" i="1"/>
  <c r="AF419" i="1" s="1"/>
  <c r="AA420" i="1"/>
  <c r="AF420" i="1" s="1"/>
  <c r="AA421" i="1"/>
  <c r="AF421" i="1" s="1"/>
  <c r="AA422" i="1"/>
  <c r="AF422" i="1" s="1"/>
  <c r="AA423" i="1"/>
  <c r="AF423" i="1" s="1"/>
  <c r="AA424" i="1"/>
  <c r="AF424" i="1" s="1"/>
  <c r="AA425" i="1"/>
  <c r="AF425" i="1" s="1"/>
  <c r="AA426" i="1"/>
  <c r="AF426" i="1" s="1"/>
  <c r="AA427" i="1"/>
  <c r="AF427" i="1" s="1"/>
  <c r="AA428" i="1"/>
  <c r="AF428" i="1" s="1"/>
  <c r="AA429" i="1"/>
  <c r="AF429" i="1" s="1"/>
  <c r="AA430" i="1"/>
  <c r="AF430" i="1" s="1"/>
  <c r="AA431" i="1"/>
  <c r="AF431" i="1" s="1"/>
  <c r="AA432" i="1"/>
  <c r="AF432" i="1" s="1"/>
  <c r="AA433" i="1"/>
  <c r="AF433" i="1" s="1"/>
  <c r="AA434" i="1"/>
  <c r="AF434" i="1" s="1"/>
  <c r="AA435" i="1"/>
  <c r="AF435" i="1" s="1"/>
  <c r="AA436" i="1"/>
  <c r="AF436" i="1" s="1"/>
  <c r="AA437" i="1"/>
  <c r="AF437" i="1" s="1"/>
  <c r="AA438" i="1"/>
  <c r="AF438" i="1" s="1"/>
  <c r="AA439" i="1"/>
  <c r="AF439" i="1" s="1"/>
  <c r="AA440" i="1"/>
  <c r="AF440" i="1" s="1"/>
  <c r="AA441" i="1"/>
  <c r="AF441" i="1" s="1"/>
  <c r="AA442" i="1"/>
  <c r="AF442" i="1" s="1"/>
  <c r="AA443" i="1"/>
  <c r="AF443" i="1" s="1"/>
  <c r="AA444" i="1"/>
  <c r="AF444" i="1" s="1"/>
  <c r="AA445" i="1"/>
  <c r="AF445" i="1" s="1"/>
  <c r="AA446" i="1"/>
  <c r="AF446" i="1" s="1"/>
  <c r="AA447" i="1"/>
  <c r="AF447" i="1" s="1"/>
  <c r="AA448" i="1"/>
  <c r="AF448" i="1" s="1"/>
  <c r="AA449" i="1"/>
  <c r="AF449" i="1" s="1"/>
  <c r="AA450" i="1"/>
  <c r="AF450" i="1" s="1"/>
  <c r="AA451" i="1"/>
  <c r="AF451" i="1" s="1"/>
  <c r="AA452" i="1"/>
  <c r="AF452" i="1" s="1"/>
  <c r="AA453" i="1"/>
  <c r="AF453" i="1" s="1"/>
  <c r="AA454" i="1"/>
  <c r="AF454" i="1" s="1"/>
  <c r="AA455" i="1"/>
  <c r="AF455" i="1" s="1"/>
  <c r="AA456" i="1"/>
  <c r="AF456" i="1" s="1"/>
  <c r="AA457" i="1"/>
  <c r="AF457" i="1" s="1"/>
  <c r="AA458" i="1"/>
  <c r="AF458" i="1" s="1"/>
  <c r="AA459" i="1"/>
  <c r="AF459" i="1" s="1"/>
  <c r="AA460" i="1"/>
  <c r="AF460" i="1" s="1"/>
  <c r="AA461" i="1"/>
  <c r="AF461" i="1" s="1"/>
  <c r="AA462" i="1"/>
  <c r="AF462" i="1" s="1"/>
  <c r="AA463" i="1"/>
  <c r="AF463" i="1" s="1"/>
  <c r="AA464" i="1"/>
  <c r="AF464" i="1" s="1"/>
  <c r="AA465" i="1"/>
  <c r="AF465" i="1" s="1"/>
  <c r="AA466" i="1"/>
  <c r="AF466" i="1" s="1"/>
  <c r="AA467" i="1"/>
  <c r="AF467" i="1" s="1"/>
  <c r="AA468" i="1"/>
  <c r="AF468" i="1" s="1"/>
  <c r="AA469" i="1"/>
  <c r="AF469" i="1" s="1"/>
  <c r="AA470" i="1"/>
  <c r="AF470" i="1" s="1"/>
  <c r="AA471" i="1"/>
  <c r="AF471" i="1" s="1"/>
  <c r="AA472" i="1"/>
  <c r="AF472" i="1" s="1"/>
  <c r="AA473" i="1"/>
  <c r="AF473" i="1" s="1"/>
  <c r="AA474" i="1"/>
  <c r="AF474" i="1" s="1"/>
  <c r="AA475" i="1"/>
  <c r="AF475" i="1" s="1"/>
  <c r="AA476" i="1"/>
  <c r="AF476" i="1" s="1"/>
  <c r="AA477" i="1"/>
  <c r="AF477" i="1" s="1"/>
  <c r="AA478" i="1"/>
  <c r="AF478" i="1" s="1"/>
  <c r="AA479" i="1"/>
  <c r="AF479" i="1" s="1"/>
  <c r="AA480" i="1"/>
  <c r="AF480" i="1" s="1"/>
  <c r="AA481" i="1"/>
  <c r="AF481" i="1" s="1"/>
  <c r="AA482" i="1"/>
  <c r="AF482" i="1" s="1"/>
  <c r="AA483" i="1"/>
  <c r="AF483" i="1" s="1"/>
  <c r="AA484" i="1"/>
  <c r="AF484" i="1" s="1"/>
  <c r="AA485" i="1"/>
  <c r="AF485" i="1" s="1"/>
  <c r="AA486" i="1"/>
  <c r="AF486" i="1" s="1"/>
  <c r="AA487" i="1"/>
  <c r="AF487" i="1" s="1"/>
  <c r="AA488" i="1"/>
  <c r="AF488" i="1" s="1"/>
  <c r="AA489" i="1"/>
  <c r="AF489" i="1" s="1"/>
  <c r="AA490" i="1"/>
  <c r="AF490" i="1" s="1"/>
  <c r="AA491" i="1"/>
  <c r="AF491" i="1" s="1"/>
  <c r="AA492" i="1"/>
  <c r="AF492" i="1" s="1"/>
  <c r="AA493" i="1"/>
  <c r="AF493" i="1" s="1"/>
  <c r="AA494" i="1"/>
  <c r="AF494" i="1" s="1"/>
  <c r="AA495" i="1"/>
  <c r="AF495" i="1" s="1"/>
  <c r="AA496" i="1"/>
  <c r="AF496" i="1" s="1"/>
  <c r="AA497" i="1"/>
  <c r="AF497" i="1" s="1"/>
  <c r="AA498" i="1"/>
  <c r="AF498" i="1" s="1"/>
  <c r="AA499" i="1"/>
  <c r="AF499" i="1" s="1"/>
  <c r="AA500" i="1"/>
  <c r="AF500" i="1" s="1"/>
  <c r="AA501" i="1"/>
  <c r="AF501" i="1" s="1"/>
  <c r="AA502" i="1"/>
  <c r="AF502" i="1" s="1"/>
  <c r="AA503" i="1"/>
  <c r="AF503" i="1" s="1"/>
  <c r="AA504" i="1"/>
  <c r="AF504" i="1" s="1"/>
  <c r="AA505" i="1"/>
  <c r="AF505" i="1" s="1"/>
  <c r="AA506" i="1"/>
  <c r="AF506" i="1" s="1"/>
  <c r="AA507" i="1"/>
  <c r="AF507" i="1" s="1"/>
  <c r="AA508" i="1"/>
  <c r="AF508" i="1" s="1"/>
  <c r="AA509" i="1"/>
  <c r="AF509" i="1" s="1"/>
  <c r="AA510" i="1"/>
  <c r="AF510" i="1" s="1"/>
  <c r="AA511" i="1"/>
  <c r="AF511" i="1" s="1"/>
  <c r="AA512" i="1"/>
  <c r="AF512" i="1" s="1"/>
  <c r="AA513" i="1"/>
  <c r="AF513" i="1" s="1"/>
  <c r="AA514" i="1"/>
  <c r="AF514" i="1" s="1"/>
  <c r="AA515" i="1"/>
  <c r="AF515" i="1" s="1"/>
  <c r="AA516" i="1"/>
  <c r="AF516" i="1" s="1"/>
  <c r="AA517" i="1"/>
  <c r="AF517" i="1" s="1"/>
  <c r="AA518" i="1"/>
  <c r="AF518" i="1" s="1"/>
  <c r="AA519" i="1"/>
  <c r="AF519" i="1" s="1"/>
  <c r="AA520" i="1"/>
  <c r="AF520" i="1" s="1"/>
  <c r="AA521" i="1"/>
  <c r="AF521" i="1" s="1"/>
  <c r="AA522" i="1"/>
  <c r="AF522" i="1" s="1"/>
  <c r="AA523" i="1"/>
  <c r="AF523" i="1" s="1"/>
  <c r="AA524" i="1"/>
  <c r="AF524" i="1" s="1"/>
  <c r="AA525" i="1"/>
  <c r="AF525" i="1" s="1"/>
  <c r="AA526" i="1"/>
  <c r="AF526" i="1" s="1"/>
  <c r="AA527" i="1"/>
  <c r="AF527" i="1" s="1"/>
  <c r="AA528" i="1"/>
  <c r="AF528" i="1" s="1"/>
  <c r="AA529" i="1"/>
  <c r="AF529" i="1" s="1"/>
  <c r="AA530" i="1"/>
  <c r="AF530" i="1" s="1"/>
  <c r="AA531" i="1"/>
  <c r="AF531" i="1" s="1"/>
  <c r="AA532" i="1"/>
  <c r="AF532" i="1" s="1"/>
  <c r="AA533" i="1"/>
  <c r="AF533" i="1" s="1"/>
  <c r="AA534" i="1"/>
  <c r="AF534" i="1" s="1"/>
  <c r="AA535" i="1"/>
  <c r="AF535" i="1" s="1"/>
  <c r="AA536" i="1"/>
  <c r="AF536" i="1" s="1"/>
  <c r="AA537" i="1"/>
  <c r="AF537" i="1" s="1"/>
  <c r="AA538" i="1"/>
  <c r="AF538" i="1" s="1"/>
  <c r="AA539" i="1"/>
  <c r="AF539" i="1" s="1"/>
  <c r="AA540" i="1"/>
  <c r="AF540" i="1" s="1"/>
  <c r="AA541" i="1"/>
  <c r="AF541" i="1" s="1"/>
  <c r="AA542" i="1"/>
  <c r="AF542" i="1" s="1"/>
  <c r="AA543" i="1"/>
  <c r="AF543" i="1" s="1"/>
  <c r="AA544" i="1"/>
  <c r="AF544" i="1" s="1"/>
  <c r="AA545" i="1"/>
  <c r="AF545" i="1" s="1"/>
  <c r="AA546" i="1"/>
  <c r="AF546" i="1" s="1"/>
  <c r="AA547" i="1"/>
  <c r="AF547" i="1" s="1"/>
  <c r="AA548" i="1"/>
  <c r="AF548" i="1" s="1"/>
  <c r="AA549" i="1"/>
  <c r="AF549" i="1" s="1"/>
  <c r="AA550" i="1"/>
  <c r="AF550" i="1" s="1"/>
  <c r="AA551" i="1"/>
  <c r="AF551" i="1" s="1"/>
  <c r="AA552" i="1"/>
  <c r="AF552" i="1" s="1"/>
  <c r="AA553" i="1"/>
  <c r="AF553" i="1" s="1"/>
  <c r="AA554" i="1"/>
  <c r="AF554" i="1" s="1"/>
  <c r="AA555" i="1"/>
  <c r="AF555" i="1" s="1"/>
  <c r="AA556" i="1"/>
  <c r="AF556" i="1" s="1"/>
  <c r="AA557" i="1"/>
  <c r="AF557" i="1" s="1"/>
  <c r="AA558" i="1"/>
  <c r="AF558" i="1" s="1"/>
  <c r="AA559" i="1"/>
  <c r="AF559" i="1" s="1"/>
  <c r="AA560" i="1"/>
  <c r="AF560" i="1" s="1"/>
  <c r="AA561" i="1"/>
  <c r="AF561" i="1" s="1"/>
  <c r="AA562" i="1"/>
  <c r="AF562" i="1" s="1"/>
  <c r="AA563" i="1"/>
  <c r="AF563" i="1" s="1"/>
  <c r="AA564" i="1"/>
  <c r="AF564" i="1" s="1"/>
  <c r="AA565" i="1"/>
  <c r="AA567" i="1"/>
  <c r="AA568" i="1"/>
  <c r="AA569" i="1"/>
  <c r="AA570" i="1"/>
  <c r="AA571" i="1"/>
  <c r="AA572" i="1"/>
  <c r="AA573" i="1"/>
  <c r="AA574" i="1"/>
  <c r="AA575" i="1"/>
  <c r="Z34" i="2"/>
  <c r="A559" i="3"/>
  <c r="C165" i="1"/>
  <c r="C157" i="1"/>
  <c r="C158" i="1"/>
  <c r="C159" i="1"/>
  <c r="C160" i="1"/>
  <c r="C161" i="1"/>
  <c r="C162" i="1"/>
  <c r="C163" i="1"/>
  <c r="C164" i="1"/>
  <c r="Z26" i="2"/>
  <c r="Z27" i="2"/>
  <c r="Z28" i="2"/>
  <c r="Z29" i="2"/>
  <c r="Z30" i="2"/>
  <c r="Z31" i="2"/>
  <c r="Z32" i="2"/>
  <c r="Z33" i="2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5" i="3"/>
  <c r="A467" i="3"/>
  <c r="A469" i="3"/>
  <c r="A471" i="3"/>
  <c r="A475" i="3"/>
  <c r="A479" i="3"/>
  <c r="A487" i="3"/>
  <c r="A495" i="3"/>
  <c r="A503" i="3"/>
  <c r="A511" i="3"/>
  <c r="A519" i="3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G108" i="1"/>
  <c r="AC108" i="1" s="1"/>
  <c r="C110" i="3" s="1"/>
  <c r="A111" i="3"/>
  <c r="AG109" i="1"/>
  <c r="AC109" i="1" s="1"/>
  <c r="C111" i="3" s="1"/>
  <c r="A112" i="3"/>
  <c r="AG110" i="1"/>
  <c r="AC110" i="1" s="1"/>
  <c r="C112" i="3" s="1"/>
  <c r="A113" i="3"/>
  <c r="AG111" i="1"/>
  <c r="AC111" i="1" s="1"/>
  <c r="C113" i="3" s="1"/>
  <c r="A114" i="3"/>
  <c r="AG112" i="1"/>
  <c r="AC112" i="1" s="1"/>
  <c r="C114" i="3" s="1"/>
  <c r="A115" i="3"/>
  <c r="AG113" i="1"/>
  <c r="AC113" i="1" s="1"/>
  <c r="C115" i="3" s="1"/>
  <c r="A116" i="3"/>
  <c r="AG114" i="1"/>
  <c r="AC114" i="1" s="1"/>
  <c r="C116" i="3" s="1"/>
  <c r="A117" i="3"/>
  <c r="AG115" i="1"/>
  <c r="AC115" i="1" s="1"/>
  <c r="C117" i="3" s="1"/>
  <c r="A118" i="3"/>
  <c r="AG116" i="1"/>
  <c r="AC116" i="1" s="1"/>
  <c r="C118" i="3" s="1"/>
  <c r="A119" i="3"/>
  <c r="AG117" i="1"/>
  <c r="AC117" i="1" s="1"/>
  <c r="C119" i="3" s="1"/>
  <c r="A120" i="3"/>
  <c r="AG118" i="1"/>
  <c r="AC118" i="1" s="1"/>
  <c r="C120" i="3" s="1"/>
  <c r="A121" i="3"/>
  <c r="AG119" i="1"/>
  <c r="AC119" i="1" s="1"/>
  <c r="C121" i="3" s="1"/>
  <c r="A122" i="3"/>
  <c r="AG120" i="1"/>
  <c r="AC120" i="1" s="1"/>
  <c r="C122" i="3" s="1"/>
  <c r="A123" i="3"/>
  <c r="AG121" i="1"/>
  <c r="AC121" i="1" s="1"/>
  <c r="C123" i="3" s="1"/>
  <c r="A124" i="3"/>
  <c r="AG122" i="1"/>
  <c r="AC122" i="1" s="1"/>
  <c r="C124" i="3" s="1"/>
  <c r="A125" i="3"/>
  <c r="AG123" i="1"/>
  <c r="AC123" i="1" s="1"/>
  <c r="C125" i="3" s="1"/>
  <c r="A126" i="3"/>
  <c r="AG124" i="1"/>
  <c r="AC124" i="1" s="1"/>
  <c r="C126" i="3" s="1"/>
  <c r="A127" i="3"/>
  <c r="AG125" i="1"/>
  <c r="AC125" i="1" s="1"/>
  <c r="C127" i="3" s="1"/>
  <c r="A128" i="3"/>
  <c r="AG126" i="1"/>
  <c r="AC126" i="1" s="1"/>
  <c r="C128" i="3" s="1"/>
  <c r="A129" i="3"/>
  <c r="AG127" i="1"/>
  <c r="AC127" i="1" s="1"/>
  <c r="C129" i="3" s="1"/>
  <c r="A130" i="3"/>
  <c r="AG128" i="1"/>
  <c r="AC128" i="1" s="1"/>
  <c r="C130" i="3" s="1"/>
  <c r="A131" i="3"/>
  <c r="AG129" i="1"/>
  <c r="AC129" i="1" s="1"/>
  <c r="C131" i="3" s="1"/>
  <c r="A132" i="3"/>
  <c r="AG130" i="1"/>
  <c r="AC130" i="1" s="1"/>
  <c r="C132" i="3" s="1"/>
  <c r="A133" i="3"/>
  <c r="AG131" i="1"/>
  <c r="AC131" i="1" s="1"/>
  <c r="C133" i="3" s="1"/>
  <c r="A134" i="3"/>
  <c r="AG132" i="1"/>
  <c r="AC132" i="1" s="1"/>
  <c r="C134" i="3" s="1"/>
  <c r="A135" i="3"/>
  <c r="AG133" i="1"/>
  <c r="AC133" i="1" s="1"/>
  <c r="C135" i="3" s="1"/>
  <c r="A136" i="3"/>
  <c r="AG134" i="1"/>
  <c r="AC134" i="1" s="1"/>
  <c r="C136" i="3" s="1"/>
  <c r="A137" i="3"/>
  <c r="AG135" i="1"/>
  <c r="AC135" i="1" s="1"/>
  <c r="C137" i="3" s="1"/>
  <c r="A138" i="3"/>
  <c r="AG136" i="1"/>
  <c r="AC136" i="1" s="1"/>
  <c r="C138" i="3" s="1"/>
  <c r="A139" i="3"/>
  <c r="AG137" i="1"/>
  <c r="AC137" i="1" s="1"/>
  <c r="C139" i="3" s="1"/>
  <c r="A140" i="3"/>
  <c r="AG138" i="1"/>
  <c r="AC138" i="1" s="1"/>
  <c r="C140" i="3" s="1"/>
  <c r="AA667" i="1"/>
  <c r="AA668" i="1"/>
  <c r="AF668" i="1" s="1"/>
  <c r="AE668" i="1" s="1"/>
  <c r="AA669" i="1"/>
  <c r="AF669" i="1" s="1"/>
  <c r="AA670" i="1"/>
  <c r="AF670" i="1" s="1"/>
  <c r="AE670" i="1" s="1"/>
  <c r="AA671" i="1"/>
  <c r="AF671" i="1" s="1"/>
  <c r="AA672" i="1"/>
  <c r="AF672" i="1" s="1"/>
  <c r="AE672" i="1" s="1"/>
  <c r="AA673" i="1"/>
  <c r="AF673" i="1" s="1"/>
  <c r="AA674" i="1"/>
  <c r="AF674" i="1" s="1"/>
  <c r="AE674" i="1" s="1"/>
  <c r="AA675" i="1"/>
  <c r="AF675" i="1" s="1"/>
  <c r="AA676" i="1"/>
  <c r="AF676" i="1" s="1"/>
  <c r="AE676" i="1" s="1"/>
  <c r="AA677" i="1"/>
  <c r="AF677" i="1" s="1"/>
  <c r="AA678" i="1"/>
  <c r="AF678" i="1" s="1"/>
  <c r="AE678" i="1" s="1"/>
  <c r="AA679" i="1"/>
  <c r="AF679" i="1" s="1"/>
  <c r="AA680" i="1"/>
  <c r="AF680" i="1" s="1"/>
  <c r="AE680" i="1" s="1"/>
  <c r="AA681" i="1"/>
  <c r="AF681" i="1" s="1"/>
  <c r="AA682" i="1"/>
  <c r="AF682" i="1" s="1"/>
  <c r="AE682" i="1" s="1"/>
  <c r="AA683" i="1"/>
  <c r="AF683" i="1" s="1"/>
  <c r="AA684" i="1"/>
  <c r="AF684" i="1" s="1"/>
  <c r="AE684" i="1" s="1"/>
  <c r="AA685" i="1"/>
  <c r="AF685" i="1" s="1"/>
  <c r="AA686" i="1"/>
  <c r="AF686" i="1" s="1"/>
  <c r="AE686" i="1" s="1"/>
  <c r="AA687" i="1"/>
  <c r="AF687" i="1" s="1"/>
  <c r="AA688" i="1"/>
  <c r="AF688" i="1" s="1"/>
  <c r="AE688" i="1" s="1"/>
  <c r="AA689" i="1"/>
  <c r="AF689" i="1" s="1"/>
  <c r="AA690" i="1"/>
  <c r="AF690" i="1" s="1"/>
  <c r="AE690" i="1" s="1"/>
  <c r="AA691" i="1"/>
  <c r="AF691" i="1" s="1"/>
  <c r="AA692" i="1"/>
  <c r="AF692" i="1" s="1"/>
  <c r="AE692" i="1" s="1"/>
  <c r="AA693" i="1"/>
  <c r="AF693" i="1" s="1"/>
  <c r="AA694" i="1"/>
  <c r="AF694" i="1" s="1"/>
  <c r="AE694" i="1" s="1"/>
  <c r="AA695" i="1"/>
  <c r="AF695" i="1" s="1"/>
  <c r="AA696" i="1"/>
  <c r="AF696" i="1" s="1"/>
  <c r="AE696" i="1" s="1"/>
  <c r="AA697" i="1"/>
  <c r="AF697" i="1" s="1"/>
  <c r="AA698" i="1"/>
  <c r="AF698" i="1" s="1"/>
  <c r="AE698" i="1" s="1"/>
  <c r="AA699" i="1"/>
  <c r="AF699" i="1" s="1"/>
  <c r="AA700" i="1"/>
  <c r="AF700" i="1" s="1"/>
  <c r="AE700" i="1" s="1"/>
  <c r="AA701" i="1"/>
  <c r="AF701" i="1" s="1"/>
  <c r="AA702" i="1"/>
  <c r="AF702" i="1" s="1"/>
  <c r="AE702" i="1" s="1"/>
  <c r="AA703" i="1"/>
  <c r="AF703" i="1" s="1"/>
  <c r="AA704" i="1"/>
  <c r="AF704" i="1" s="1"/>
  <c r="AE704" i="1" s="1"/>
  <c r="AA705" i="1"/>
  <c r="AF705" i="1" s="1"/>
  <c r="AA706" i="1"/>
  <c r="AF706" i="1" s="1"/>
  <c r="AE706" i="1" s="1"/>
  <c r="AA707" i="1"/>
  <c r="AF707" i="1" s="1"/>
  <c r="AA708" i="1"/>
  <c r="AF708" i="1" s="1"/>
  <c r="AE708" i="1" s="1"/>
  <c r="AA709" i="1"/>
  <c r="AF709" i="1" s="1"/>
  <c r="AA710" i="1"/>
  <c r="AF710" i="1" s="1"/>
  <c r="AE710" i="1" s="1"/>
  <c r="AA711" i="1"/>
  <c r="AF711" i="1" s="1"/>
  <c r="AA712" i="1"/>
  <c r="AF712" i="1" s="1"/>
  <c r="AE712" i="1" s="1"/>
  <c r="AA713" i="1"/>
  <c r="AF713" i="1" s="1"/>
  <c r="AA714" i="1"/>
  <c r="AF714" i="1" s="1"/>
  <c r="AE714" i="1" s="1"/>
  <c r="AA715" i="1"/>
  <c r="AF715" i="1" s="1"/>
  <c r="AA716" i="1"/>
  <c r="AF716" i="1" s="1"/>
  <c r="AE716" i="1" s="1"/>
  <c r="AA717" i="1"/>
  <c r="AF717" i="1" s="1"/>
  <c r="AA718" i="1"/>
  <c r="AF718" i="1" s="1"/>
  <c r="AE718" i="1" s="1"/>
  <c r="AA719" i="1"/>
  <c r="AF719" i="1" s="1"/>
  <c r="AA720" i="1"/>
  <c r="AF720" i="1" s="1"/>
  <c r="AE720" i="1" s="1"/>
  <c r="AA721" i="1"/>
  <c r="AF721" i="1" s="1"/>
  <c r="AA722" i="1"/>
  <c r="AF722" i="1" s="1"/>
  <c r="AE722" i="1" s="1"/>
  <c r="AA723" i="1"/>
  <c r="AF723" i="1" s="1"/>
  <c r="AA724" i="1"/>
  <c r="AF724" i="1" s="1"/>
  <c r="AE724" i="1" s="1"/>
  <c r="AA725" i="1"/>
  <c r="AF725" i="1" s="1"/>
  <c r="AA726" i="1"/>
  <c r="AF726" i="1" s="1"/>
  <c r="AE726" i="1" s="1"/>
  <c r="AA727" i="1"/>
  <c r="AF727" i="1" s="1"/>
  <c r="AA728" i="1"/>
  <c r="AF728" i="1" s="1"/>
  <c r="AE728" i="1" s="1"/>
  <c r="AA729" i="1"/>
  <c r="AF729" i="1" s="1"/>
  <c r="AA730" i="1"/>
  <c r="AF730" i="1" s="1"/>
  <c r="AE730" i="1" s="1"/>
  <c r="AA731" i="1"/>
  <c r="AF731" i="1" s="1"/>
  <c r="AA732" i="1"/>
  <c r="AF732" i="1" s="1"/>
  <c r="AE732" i="1" s="1"/>
  <c r="AA733" i="1"/>
  <c r="AF733" i="1" s="1"/>
  <c r="AA734" i="1"/>
  <c r="AF734" i="1" s="1"/>
  <c r="AE734" i="1" s="1"/>
  <c r="AA735" i="1"/>
  <c r="AF735" i="1" s="1"/>
  <c r="AA736" i="1"/>
  <c r="AF736" i="1" s="1"/>
  <c r="AE736" i="1" s="1"/>
  <c r="AA737" i="1"/>
  <c r="AF737" i="1" s="1"/>
  <c r="AA738" i="1"/>
  <c r="AF738" i="1" s="1"/>
  <c r="AE738" i="1" s="1"/>
  <c r="AA739" i="1"/>
  <c r="AF739" i="1" s="1"/>
  <c r="AA740" i="1"/>
  <c r="AF740" i="1" s="1"/>
  <c r="AE740" i="1" s="1"/>
  <c r="AA741" i="1"/>
  <c r="AF741" i="1" s="1"/>
  <c r="AA742" i="1"/>
  <c r="AF742" i="1" s="1"/>
  <c r="AE742" i="1" s="1"/>
  <c r="AA743" i="1"/>
  <c r="AF743" i="1" s="1"/>
  <c r="AA744" i="1"/>
  <c r="AF744" i="1" s="1"/>
  <c r="AE744" i="1" s="1"/>
  <c r="AA745" i="1"/>
  <c r="AF745" i="1" s="1"/>
  <c r="AA746" i="1"/>
  <c r="AF746" i="1" s="1"/>
  <c r="AE746" i="1" s="1"/>
  <c r="AA747" i="1"/>
  <c r="AF747" i="1" s="1"/>
  <c r="AA748" i="1"/>
  <c r="AF748" i="1" s="1"/>
  <c r="AE748" i="1" s="1"/>
  <c r="AA749" i="1"/>
  <c r="AF749" i="1" s="1"/>
  <c r="AA750" i="1"/>
  <c r="AF750" i="1" s="1"/>
  <c r="AE750" i="1" s="1"/>
  <c r="AA751" i="1"/>
  <c r="AF751" i="1" s="1"/>
  <c r="AA752" i="1"/>
  <c r="AF752" i="1" s="1"/>
  <c r="AE752" i="1" s="1"/>
  <c r="AA753" i="1"/>
  <c r="AF753" i="1" s="1"/>
  <c r="AA754" i="1"/>
  <c r="AF754" i="1" s="1"/>
  <c r="AE754" i="1" s="1"/>
  <c r="AA755" i="1"/>
  <c r="AF755" i="1" s="1"/>
  <c r="AA756" i="1"/>
  <c r="AF756" i="1" s="1"/>
  <c r="AE756" i="1" s="1"/>
  <c r="AA757" i="1"/>
  <c r="AF757" i="1" s="1"/>
  <c r="AA758" i="1"/>
  <c r="AF758" i="1" s="1"/>
  <c r="AE758" i="1" s="1"/>
  <c r="AA759" i="1"/>
  <c r="AF759" i="1" s="1"/>
  <c r="AA760" i="1"/>
  <c r="AF760" i="1" s="1"/>
  <c r="AE760" i="1" s="1"/>
  <c r="AA761" i="1"/>
  <c r="AF761" i="1" s="1"/>
  <c r="AA762" i="1"/>
  <c r="AF762" i="1" s="1"/>
  <c r="AE762" i="1" s="1"/>
  <c r="AA763" i="1"/>
  <c r="AF763" i="1" s="1"/>
  <c r="AA764" i="1"/>
  <c r="AF764" i="1" s="1"/>
  <c r="AE764" i="1" s="1"/>
  <c r="AA765" i="1"/>
  <c r="AF765" i="1" s="1"/>
  <c r="AA766" i="1"/>
  <c r="AF766" i="1" s="1"/>
  <c r="AE766" i="1" s="1"/>
  <c r="AA767" i="1"/>
  <c r="AF767" i="1" s="1"/>
  <c r="AA768" i="1"/>
  <c r="AF768" i="1" s="1"/>
  <c r="AE768" i="1" s="1"/>
  <c r="AA769" i="1"/>
  <c r="AF769" i="1" s="1"/>
  <c r="AA770" i="1"/>
  <c r="AF770" i="1" s="1"/>
  <c r="AE770" i="1" s="1"/>
  <c r="AA771" i="1"/>
  <c r="AF771" i="1" s="1"/>
  <c r="AA772" i="1"/>
  <c r="AF772" i="1" s="1"/>
  <c r="AE772" i="1" s="1"/>
  <c r="AA773" i="1"/>
  <c r="AF773" i="1" s="1"/>
  <c r="AA774" i="1"/>
  <c r="AF774" i="1" s="1"/>
  <c r="AE774" i="1" s="1"/>
  <c r="AA775" i="1"/>
  <c r="AF775" i="1" s="1"/>
  <c r="AA776" i="1"/>
  <c r="AF776" i="1" s="1"/>
  <c r="AE776" i="1" s="1"/>
  <c r="AA777" i="1"/>
  <c r="AF777" i="1" s="1"/>
  <c r="AA778" i="1"/>
  <c r="AF778" i="1" s="1"/>
  <c r="AE778" i="1" s="1"/>
  <c r="AA779" i="1"/>
  <c r="AF779" i="1" s="1"/>
  <c r="AA780" i="1"/>
  <c r="AF780" i="1" s="1"/>
  <c r="AE780" i="1" s="1"/>
  <c r="AA781" i="1"/>
  <c r="AF781" i="1" s="1"/>
  <c r="AA782" i="1"/>
  <c r="AF782" i="1" s="1"/>
  <c r="AE782" i="1" s="1"/>
  <c r="AA783" i="1"/>
  <c r="AF783" i="1" s="1"/>
  <c r="AA784" i="1"/>
  <c r="AF784" i="1" s="1"/>
  <c r="AE784" i="1" s="1"/>
  <c r="AA785" i="1"/>
  <c r="AF785" i="1" s="1"/>
  <c r="AA786" i="1"/>
  <c r="AF786" i="1" s="1"/>
  <c r="AE786" i="1" s="1"/>
  <c r="AA787" i="1"/>
  <c r="AF787" i="1" s="1"/>
  <c r="AA788" i="1"/>
  <c r="AF788" i="1" s="1"/>
  <c r="AE788" i="1" s="1"/>
  <c r="AA789" i="1"/>
  <c r="AF789" i="1" s="1"/>
  <c r="AA790" i="1"/>
  <c r="AF790" i="1" s="1"/>
  <c r="AE790" i="1" s="1"/>
  <c r="AA791" i="1"/>
  <c r="AF791" i="1" s="1"/>
  <c r="AA792" i="1"/>
  <c r="AF792" i="1" s="1"/>
  <c r="AE792" i="1" s="1"/>
  <c r="AA793" i="1"/>
  <c r="AF793" i="1" s="1"/>
  <c r="AA794" i="1"/>
  <c r="AF794" i="1" s="1"/>
  <c r="AE794" i="1" s="1"/>
  <c r="AA795" i="1"/>
  <c r="AF795" i="1" s="1"/>
  <c r="AA796" i="1"/>
  <c r="AF796" i="1" s="1"/>
  <c r="AE796" i="1" s="1"/>
  <c r="AA797" i="1"/>
  <c r="AF797" i="1" s="1"/>
  <c r="AA798" i="1"/>
  <c r="AF798" i="1" s="1"/>
  <c r="AE798" i="1" s="1"/>
  <c r="AA799" i="1"/>
  <c r="AF799" i="1" s="1"/>
  <c r="AA800" i="1"/>
  <c r="AF800" i="1" s="1"/>
  <c r="AE800" i="1" s="1"/>
  <c r="Z5" i="2"/>
  <c r="Z6" i="2"/>
  <c r="Z7" i="2"/>
  <c r="Z8" i="2"/>
  <c r="Z9" i="2"/>
  <c r="Z10" i="2"/>
  <c r="Z11" i="2"/>
  <c r="Z12" i="2"/>
  <c r="Z17" i="2"/>
  <c r="Z13" i="2"/>
  <c r="Z14" i="2"/>
  <c r="Z15" i="2"/>
  <c r="Z16" i="2"/>
  <c r="Z18" i="2"/>
  <c r="Z19" i="2"/>
  <c r="Z20" i="2"/>
  <c r="Z21" i="2"/>
  <c r="Z22" i="2"/>
  <c r="Z23" i="2"/>
  <c r="Z24" i="2"/>
  <c r="Z25" i="2"/>
  <c r="Z35" i="2"/>
  <c r="Z36" i="2"/>
  <c r="Z37" i="2"/>
  <c r="Z38" i="2"/>
  <c r="Z39" i="2"/>
  <c r="Z40" i="2"/>
  <c r="Z41" i="2"/>
  <c r="Z42" i="2"/>
  <c r="Z43" i="2"/>
  <c r="Z44" i="2"/>
  <c r="Z45" i="2"/>
  <c r="Z46" i="2"/>
  <c r="Z4" i="2"/>
  <c r="Z3" i="2"/>
  <c r="AA28" i="2" s="1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AA3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A6" i="3"/>
  <c r="AG4" i="1"/>
  <c r="AC4" i="1" s="1"/>
  <c r="C6" i="3" s="1"/>
  <c r="A7" i="3"/>
  <c r="AG5" i="1"/>
  <c r="AC5" i="1" s="1"/>
  <c r="C7" i="3" s="1"/>
  <c r="A8" i="3"/>
  <c r="AG6" i="1"/>
  <c r="AC6" i="1" s="1"/>
  <c r="C8" i="3" s="1"/>
  <c r="A9" i="3"/>
  <c r="AG7" i="1"/>
  <c r="AC7" i="1" s="1"/>
  <c r="C9" i="3" s="1"/>
  <c r="A10" i="3"/>
  <c r="AG8" i="1"/>
  <c r="AC8" i="1" s="1"/>
  <c r="C10" i="3" s="1"/>
  <c r="A11" i="3"/>
  <c r="AG9" i="1"/>
  <c r="AC9" i="1" s="1"/>
  <c r="C11" i="3" s="1"/>
  <c r="A12" i="3"/>
  <c r="AG10" i="1"/>
  <c r="AC10" i="1" s="1"/>
  <c r="C12" i="3" s="1"/>
  <c r="A13" i="3"/>
  <c r="AG11" i="1"/>
  <c r="AC11" i="1" s="1"/>
  <c r="C13" i="3" s="1"/>
  <c r="A14" i="3"/>
  <c r="AG12" i="1"/>
  <c r="AC12" i="1" s="1"/>
  <c r="C14" i="3" s="1"/>
  <c r="A15" i="3"/>
  <c r="AG13" i="1"/>
  <c r="AC13" i="1" s="1"/>
  <c r="C15" i="3" s="1"/>
  <c r="A16" i="3"/>
  <c r="AG14" i="1"/>
  <c r="AC14" i="1" s="1"/>
  <c r="C16" i="3" s="1"/>
  <c r="A17" i="3"/>
  <c r="AG15" i="1"/>
  <c r="AC15" i="1" s="1"/>
  <c r="C17" i="3" s="1"/>
  <c r="A18" i="3"/>
  <c r="AG16" i="1"/>
  <c r="AC16" i="1" s="1"/>
  <c r="C18" i="3" s="1"/>
  <c r="A19" i="3"/>
  <c r="AG17" i="1"/>
  <c r="AC17" i="1" s="1"/>
  <c r="C19" i="3" s="1"/>
  <c r="A20" i="3"/>
  <c r="AG18" i="1"/>
  <c r="AC18" i="1" s="1"/>
  <c r="C20" i="3" s="1"/>
  <c r="A21" i="3"/>
  <c r="AG19" i="1"/>
  <c r="AC19" i="1" s="1"/>
  <c r="C21" i="3" s="1"/>
  <c r="A22" i="3"/>
  <c r="AG20" i="1"/>
  <c r="AC20" i="1" s="1"/>
  <c r="C22" i="3" s="1"/>
  <c r="A23" i="3"/>
  <c r="AG21" i="1"/>
  <c r="AC21" i="1" s="1"/>
  <c r="C23" i="3" s="1"/>
  <c r="A24" i="3"/>
  <c r="AG22" i="1"/>
  <c r="AC22" i="1" s="1"/>
  <c r="C24" i="3" s="1"/>
  <c r="A25" i="3"/>
  <c r="AG23" i="1"/>
  <c r="AC23" i="1" s="1"/>
  <c r="C25" i="3" s="1"/>
  <c r="A26" i="3"/>
  <c r="AG24" i="1"/>
  <c r="AC24" i="1" s="1"/>
  <c r="C26" i="3" s="1"/>
  <c r="A27" i="3"/>
  <c r="AG25" i="1"/>
  <c r="AC25" i="1" s="1"/>
  <c r="C27" i="3" s="1"/>
  <c r="A28" i="3"/>
  <c r="AG26" i="1"/>
  <c r="AC26" i="1" s="1"/>
  <c r="C28" i="3" s="1"/>
  <c r="A29" i="3"/>
  <c r="AG27" i="1"/>
  <c r="AC27" i="1" s="1"/>
  <c r="C29" i="3" s="1"/>
  <c r="A30" i="3"/>
  <c r="AG28" i="1"/>
  <c r="AC28" i="1" s="1"/>
  <c r="C30" i="3" s="1"/>
  <c r="A31" i="3"/>
  <c r="AG29" i="1"/>
  <c r="AC29" i="1" s="1"/>
  <c r="C31" i="3" s="1"/>
  <c r="A32" i="3"/>
  <c r="AG30" i="1"/>
  <c r="AC30" i="1" s="1"/>
  <c r="C32" i="3" s="1"/>
  <c r="A33" i="3"/>
  <c r="AG31" i="1"/>
  <c r="AC31" i="1" s="1"/>
  <c r="C33" i="3" s="1"/>
  <c r="A34" i="3"/>
  <c r="AG32" i="1"/>
  <c r="AC32" i="1" s="1"/>
  <c r="C34" i="3" s="1"/>
  <c r="A35" i="3"/>
  <c r="AG33" i="1"/>
  <c r="AC33" i="1" s="1"/>
  <c r="C35" i="3" s="1"/>
  <c r="A36" i="3"/>
  <c r="AG34" i="1"/>
  <c r="AC34" i="1" s="1"/>
  <c r="C36" i="3" s="1"/>
  <c r="A37" i="3"/>
  <c r="AG35" i="1"/>
  <c r="AC35" i="1" s="1"/>
  <c r="C37" i="3" s="1"/>
  <c r="A38" i="3"/>
  <c r="AG36" i="1"/>
  <c r="AC36" i="1" s="1"/>
  <c r="C38" i="3" s="1"/>
  <c r="A39" i="3"/>
  <c r="AG37" i="1"/>
  <c r="AC37" i="1" s="1"/>
  <c r="C39" i="3" s="1"/>
  <c r="A40" i="3"/>
  <c r="AG38" i="1"/>
  <c r="AC38" i="1" s="1"/>
  <c r="C40" i="3" s="1"/>
  <c r="A41" i="3"/>
  <c r="AG39" i="1"/>
  <c r="AC39" i="1" s="1"/>
  <c r="C41" i="3" s="1"/>
  <c r="A42" i="3"/>
  <c r="AG40" i="1"/>
  <c r="AC40" i="1" s="1"/>
  <c r="C42" i="3" s="1"/>
  <c r="A43" i="3"/>
  <c r="AG41" i="1"/>
  <c r="AC41" i="1" s="1"/>
  <c r="C43" i="3" s="1"/>
  <c r="A44" i="3"/>
  <c r="AG42" i="1"/>
  <c r="AD42" i="1" s="1"/>
  <c r="D44" i="3" s="1"/>
  <c r="A45" i="3"/>
  <c r="AG43" i="1"/>
  <c r="AC43" i="1" s="1"/>
  <c r="C45" i="3" s="1"/>
  <c r="A46" i="3"/>
  <c r="AG44" i="1"/>
  <c r="AC44" i="1" s="1"/>
  <c r="C46" i="3" s="1"/>
  <c r="A47" i="3"/>
  <c r="AG45" i="1"/>
  <c r="AD45" i="1" s="1"/>
  <c r="D47" i="3" s="1"/>
  <c r="A48" i="3"/>
  <c r="AG46" i="1"/>
  <c r="AC46" i="1" s="1"/>
  <c r="C48" i="3" s="1"/>
  <c r="A49" i="3"/>
  <c r="AG47" i="1"/>
  <c r="AD47" i="1" s="1"/>
  <c r="D49" i="3" s="1"/>
  <c r="A50" i="3"/>
  <c r="AG48" i="1"/>
  <c r="AC48" i="1" s="1"/>
  <c r="C50" i="3" s="1"/>
  <c r="A51" i="3"/>
  <c r="AG49" i="1"/>
  <c r="AD49" i="1" s="1"/>
  <c r="D51" i="3" s="1"/>
  <c r="A52" i="3"/>
  <c r="AG50" i="1"/>
  <c r="AC50" i="1" s="1"/>
  <c r="C52" i="3" s="1"/>
  <c r="A53" i="3"/>
  <c r="AG51" i="1"/>
  <c r="AD51" i="1" s="1"/>
  <c r="D53" i="3" s="1"/>
  <c r="A54" i="3"/>
  <c r="AG52" i="1"/>
  <c r="AC52" i="1" s="1"/>
  <c r="C54" i="3" s="1"/>
  <c r="A55" i="3"/>
  <c r="AG53" i="1"/>
  <c r="AD53" i="1" s="1"/>
  <c r="D55" i="3" s="1"/>
  <c r="A56" i="3"/>
  <c r="AG54" i="1"/>
  <c r="AC54" i="1" s="1"/>
  <c r="C56" i="3" s="1"/>
  <c r="A57" i="3"/>
  <c r="AG55" i="1"/>
  <c r="AD55" i="1" s="1"/>
  <c r="D57" i="3" s="1"/>
  <c r="A58" i="3"/>
  <c r="AG56" i="1"/>
  <c r="AC56" i="1" s="1"/>
  <c r="C58" i="3" s="1"/>
  <c r="A59" i="3"/>
  <c r="AG57" i="1"/>
  <c r="AD57" i="1" s="1"/>
  <c r="D59" i="3" s="1"/>
  <c r="AG3" i="1"/>
  <c r="AC3" i="1" s="1"/>
  <c r="C5" i="3" s="1"/>
  <c r="A5" i="3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3" i="2"/>
  <c r="AA24" i="2" l="1"/>
  <c r="AA8" i="2"/>
  <c r="AA22" i="2"/>
  <c r="AA6" i="2"/>
  <c r="AA20" i="2"/>
  <c r="AA18" i="2"/>
  <c r="AA16" i="2"/>
  <c r="AA14" i="2"/>
  <c r="AA12" i="2"/>
  <c r="AA4" i="2"/>
  <c r="AA10" i="2"/>
  <c r="AA21" i="2"/>
  <c r="AA13" i="2"/>
  <c r="AA5" i="2"/>
  <c r="AA27" i="2"/>
  <c r="AA26" i="2"/>
  <c r="AA19" i="2"/>
  <c r="AA11" i="2"/>
  <c r="AA33" i="2"/>
  <c r="AA32" i="2"/>
  <c r="AA25" i="2"/>
  <c r="AA17" i="2"/>
  <c r="AA9" i="2"/>
  <c r="AA31" i="2"/>
  <c r="AA34" i="2"/>
  <c r="AA30" i="2"/>
  <c r="AA23" i="2"/>
  <c r="AA15" i="2"/>
  <c r="AA7" i="2"/>
  <c r="AA29" i="2"/>
  <c r="AF666" i="1"/>
  <c r="AE666" i="1" s="1"/>
  <c r="A668" i="3"/>
  <c r="AB799" i="1"/>
  <c r="AE799" i="1"/>
  <c r="AB797" i="1"/>
  <c r="AE797" i="1"/>
  <c r="AB795" i="1"/>
  <c r="AE795" i="1"/>
  <c r="AB793" i="1"/>
  <c r="AE793" i="1"/>
  <c r="AB791" i="1"/>
  <c r="AE791" i="1"/>
  <c r="AB789" i="1"/>
  <c r="AE789" i="1"/>
  <c r="AB787" i="1"/>
  <c r="AE787" i="1"/>
  <c r="AB785" i="1"/>
  <c r="AE785" i="1"/>
  <c r="AB783" i="1"/>
  <c r="AE783" i="1"/>
  <c r="AB781" i="1"/>
  <c r="AE781" i="1"/>
  <c r="AB779" i="1"/>
  <c r="AE779" i="1"/>
  <c r="AB777" i="1"/>
  <c r="AE777" i="1"/>
  <c r="AB775" i="1"/>
  <c r="AE775" i="1"/>
  <c r="AB773" i="1"/>
  <c r="AE773" i="1"/>
  <c r="AB771" i="1"/>
  <c r="AE771" i="1"/>
  <c r="AB769" i="1"/>
  <c r="AE769" i="1"/>
  <c r="AB767" i="1"/>
  <c r="AE767" i="1"/>
  <c r="AB765" i="1"/>
  <c r="AE765" i="1"/>
  <c r="AB763" i="1"/>
  <c r="AE763" i="1"/>
  <c r="AB761" i="1"/>
  <c r="AE761" i="1"/>
  <c r="AB759" i="1"/>
  <c r="AE759" i="1"/>
  <c r="AB757" i="1"/>
  <c r="AE757" i="1"/>
  <c r="AB755" i="1"/>
  <c r="AE755" i="1"/>
  <c r="AB753" i="1"/>
  <c r="AE753" i="1"/>
  <c r="AB751" i="1"/>
  <c r="AE751" i="1"/>
  <c r="AB749" i="1"/>
  <c r="AE749" i="1"/>
  <c r="AB747" i="1"/>
  <c r="AE747" i="1"/>
  <c r="AB745" i="1"/>
  <c r="AE745" i="1"/>
  <c r="AB743" i="1"/>
  <c r="AE743" i="1"/>
  <c r="AB741" i="1"/>
  <c r="AE741" i="1"/>
  <c r="AB739" i="1"/>
  <c r="AE739" i="1"/>
  <c r="AB737" i="1"/>
  <c r="AE737" i="1"/>
  <c r="AB735" i="1"/>
  <c r="AE735" i="1"/>
  <c r="AB733" i="1"/>
  <c r="AE733" i="1"/>
  <c r="AB731" i="1"/>
  <c r="AE731" i="1"/>
  <c r="AB729" i="1"/>
  <c r="AE729" i="1"/>
  <c r="AB727" i="1"/>
  <c r="AE727" i="1"/>
  <c r="AB725" i="1"/>
  <c r="AE725" i="1"/>
  <c r="AB723" i="1"/>
  <c r="AE723" i="1"/>
  <c r="AB721" i="1"/>
  <c r="AE721" i="1"/>
  <c r="AB719" i="1"/>
  <c r="AE719" i="1"/>
  <c r="AB717" i="1"/>
  <c r="AE717" i="1"/>
  <c r="AB715" i="1"/>
  <c r="AE715" i="1"/>
  <c r="AB713" i="1"/>
  <c r="AE713" i="1"/>
  <c r="AB711" i="1"/>
  <c r="AE711" i="1"/>
  <c r="AB709" i="1"/>
  <c r="AE709" i="1"/>
  <c r="AB707" i="1"/>
  <c r="AE707" i="1"/>
  <c r="AB705" i="1"/>
  <c r="AE705" i="1"/>
  <c r="AB703" i="1"/>
  <c r="AE703" i="1"/>
  <c r="AB701" i="1"/>
  <c r="AE701" i="1"/>
  <c r="AB699" i="1"/>
  <c r="AE699" i="1"/>
  <c r="AB697" i="1"/>
  <c r="AE697" i="1"/>
  <c r="AB695" i="1"/>
  <c r="AE695" i="1"/>
  <c r="AB693" i="1"/>
  <c r="AE693" i="1"/>
  <c r="AB691" i="1"/>
  <c r="AE691" i="1"/>
  <c r="AB689" i="1"/>
  <c r="AE689" i="1"/>
  <c r="AB687" i="1"/>
  <c r="AE687" i="1"/>
  <c r="AB685" i="1"/>
  <c r="AE685" i="1"/>
  <c r="AB683" i="1"/>
  <c r="AE683" i="1"/>
  <c r="AB681" i="1"/>
  <c r="AE681" i="1"/>
  <c r="AB679" i="1"/>
  <c r="AE679" i="1"/>
  <c r="AB677" i="1"/>
  <c r="AE677" i="1"/>
  <c r="AB675" i="1"/>
  <c r="AE675" i="1"/>
  <c r="AB673" i="1"/>
  <c r="AE673" i="1"/>
  <c r="AB671" i="1"/>
  <c r="AE671" i="1"/>
  <c r="AB669" i="1"/>
  <c r="AE669" i="1"/>
  <c r="AF667" i="1"/>
  <c r="A669" i="3"/>
  <c r="A550" i="3"/>
  <c r="AF664" i="1"/>
  <c r="A666" i="3"/>
  <c r="AF662" i="1"/>
  <c r="AE662" i="1" s="1"/>
  <c r="A664" i="3"/>
  <c r="AF660" i="1"/>
  <c r="A662" i="3"/>
  <c r="AF658" i="1"/>
  <c r="AE658" i="1" s="1"/>
  <c r="A660" i="3"/>
  <c r="AF656" i="1"/>
  <c r="A658" i="3"/>
  <c r="AF654" i="1"/>
  <c r="AE654" i="1" s="1"/>
  <c r="A656" i="3"/>
  <c r="AF652" i="1"/>
  <c r="A654" i="3"/>
  <c r="AF650" i="1"/>
  <c r="AE650" i="1" s="1"/>
  <c r="A652" i="3"/>
  <c r="AF648" i="1"/>
  <c r="A650" i="3"/>
  <c r="AF646" i="1"/>
  <c r="AE646" i="1" s="1"/>
  <c r="A648" i="3"/>
  <c r="AF644" i="1"/>
  <c r="A646" i="3"/>
  <c r="AF642" i="1"/>
  <c r="AE642" i="1" s="1"/>
  <c r="A644" i="3"/>
  <c r="AF640" i="1"/>
  <c r="A642" i="3"/>
  <c r="AF638" i="1"/>
  <c r="AE638" i="1" s="1"/>
  <c r="A640" i="3"/>
  <c r="AF636" i="1"/>
  <c r="A638" i="3"/>
  <c r="AF634" i="1"/>
  <c r="AE634" i="1" s="1"/>
  <c r="A636" i="3"/>
  <c r="AF632" i="1"/>
  <c r="A634" i="3"/>
  <c r="AF630" i="1"/>
  <c r="A632" i="3"/>
  <c r="AF628" i="1"/>
  <c r="A630" i="3"/>
  <c r="AF626" i="1"/>
  <c r="A628" i="3"/>
  <c r="AF624" i="1"/>
  <c r="A626" i="3"/>
  <c r="AF622" i="1"/>
  <c r="A624" i="3"/>
  <c r="AF620" i="1"/>
  <c r="A622" i="3"/>
  <c r="AF618" i="1"/>
  <c r="A620" i="3"/>
  <c r="AF616" i="1"/>
  <c r="A618" i="3"/>
  <c r="AF614" i="1"/>
  <c r="A616" i="3"/>
  <c r="AF612" i="1"/>
  <c r="A614" i="3"/>
  <c r="AF610" i="1"/>
  <c r="A612" i="3"/>
  <c r="AF608" i="1"/>
  <c r="A610" i="3"/>
  <c r="AF606" i="1"/>
  <c r="A608" i="3"/>
  <c r="AF604" i="1"/>
  <c r="A606" i="3"/>
  <c r="AF602" i="1"/>
  <c r="A604" i="3"/>
  <c r="AF600" i="1"/>
  <c r="A602" i="3"/>
  <c r="AF598" i="1"/>
  <c r="A600" i="3"/>
  <c r="AF596" i="1"/>
  <c r="A598" i="3"/>
  <c r="AF594" i="1"/>
  <c r="A596" i="3"/>
  <c r="AF592" i="1"/>
  <c r="A594" i="3"/>
  <c r="AF590" i="1"/>
  <c r="A592" i="3"/>
  <c r="AF588" i="1"/>
  <c r="A590" i="3"/>
  <c r="AF586" i="1"/>
  <c r="A588" i="3"/>
  <c r="AF584" i="1"/>
  <c r="A586" i="3"/>
  <c r="AF582" i="1"/>
  <c r="A584" i="3"/>
  <c r="AF665" i="1"/>
  <c r="AE665" i="1" s="1"/>
  <c r="A667" i="3"/>
  <c r="AF663" i="1"/>
  <c r="AE663" i="1" s="1"/>
  <c r="A665" i="3"/>
  <c r="AF661" i="1"/>
  <c r="AE661" i="1" s="1"/>
  <c r="A663" i="3"/>
  <c r="AF659" i="1"/>
  <c r="AE659" i="1" s="1"/>
  <c r="A661" i="3"/>
  <c r="AF657" i="1"/>
  <c r="AE657" i="1" s="1"/>
  <c r="A659" i="3"/>
  <c r="AF655" i="1"/>
  <c r="AE655" i="1" s="1"/>
  <c r="A657" i="3"/>
  <c r="AF653" i="1"/>
  <c r="AE653" i="1" s="1"/>
  <c r="A655" i="3"/>
  <c r="AF651" i="1"/>
  <c r="AE651" i="1" s="1"/>
  <c r="A653" i="3"/>
  <c r="AF649" i="1"/>
  <c r="AE649" i="1" s="1"/>
  <c r="A651" i="3"/>
  <c r="AF647" i="1"/>
  <c r="AE647" i="1" s="1"/>
  <c r="A649" i="3"/>
  <c r="AF645" i="1"/>
  <c r="AE645" i="1" s="1"/>
  <c r="A647" i="3"/>
  <c r="AF643" i="1"/>
  <c r="AE643" i="1" s="1"/>
  <c r="A645" i="3"/>
  <c r="AF641" i="1"/>
  <c r="AE641" i="1" s="1"/>
  <c r="A643" i="3"/>
  <c r="AF639" i="1"/>
  <c r="AE639" i="1" s="1"/>
  <c r="A641" i="3"/>
  <c r="AF637" i="1"/>
  <c r="AE637" i="1" s="1"/>
  <c r="A639" i="3"/>
  <c r="AF635" i="1"/>
  <c r="AE635" i="1" s="1"/>
  <c r="A637" i="3"/>
  <c r="AF633" i="1"/>
  <c r="AE633" i="1" s="1"/>
  <c r="A635" i="3"/>
  <c r="AF631" i="1"/>
  <c r="AE631" i="1" s="1"/>
  <c r="A633" i="3"/>
  <c r="AF629" i="1"/>
  <c r="AE629" i="1" s="1"/>
  <c r="A631" i="3"/>
  <c r="AF627" i="1"/>
  <c r="A629" i="3"/>
  <c r="AF625" i="1"/>
  <c r="A627" i="3"/>
  <c r="AF623" i="1"/>
  <c r="A625" i="3"/>
  <c r="AF621" i="1"/>
  <c r="A623" i="3"/>
  <c r="AF619" i="1"/>
  <c r="A621" i="3"/>
  <c r="AF617" i="1"/>
  <c r="A619" i="3"/>
  <c r="AF615" i="1"/>
  <c r="A617" i="3"/>
  <c r="AF613" i="1"/>
  <c r="A615" i="3"/>
  <c r="AF611" i="1"/>
  <c r="A613" i="3"/>
  <c r="AF609" i="1"/>
  <c r="A611" i="3"/>
  <c r="AF607" i="1"/>
  <c r="A609" i="3"/>
  <c r="AF605" i="1"/>
  <c r="A607" i="3"/>
  <c r="AF603" i="1"/>
  <c r="A605" i="3"/>
  <c r="AF601" i="1"/>
  <c r="A603" i="3"/>
  <c r="AF599" i="1"/>
  <c r="A601" i="3"/>
  <c r="AF597" i="1"/>
  <c r="A599" i="3"/>
  <c r="AF595" i="1"/>
  <c r="A597" i="3"/>
  <c r="AF593" i="1"/>
  <c r="A595" i="3"/>
  <c r="AF591" i="1"/>
  <c r="A593" i="3"/>
  <c r="AF589" i="1"/>
  <c r="A591" i="3"/>
  <c r="AF587" i="1"/>
  <c r="A589" i="3"/>
  <c r="AF585" i="1"/>
  <c r="A587" i="3"/>
  <c r="AF583" i="1"/>
  <c r="A585" i="3"/>
  <c r="AF581" i="1"/>
  <c r="A583" i="3"/>
  <c r="A534" i="3"/>
  <c r="A523" i="3"/>
  <c r="A515" i="3"/>
  <c r="A507" i="3"/>
  <c r="A499" i="3"/>
  <c r="A491" i="3"/>
  <c r="A483" i="3"/>
  <c r="A563" i="3"/>
  <c r="A525" i="3"/>
  <c r="A521" i="3"/>
  <c r="A517" i="3"/>
  <c r="A513" i="3"/>
  <c r="A509" i="3"/>
  <c r="A505" i="3"/>
  <c r="A501" i="3"/>
  <c r="A497" i="3"/>
  <c r="A493" i="3"/>
  <c r="A489" i="3"/>
  <c r="A485" i="3"/>
  <c r="A481" i="3"/>
  <c r="A477" i="3"/>
  <c r="A473" i="3"/>
  <c r="A561" i="3"/>
  <c r="A565" i="3"/>
  <c r="A542" i="3"/>
  <c r="A526" i="3"/>
  <c r="A524" i="3"/>
  <c r="A522" i="3"/>
  <c r="A520" i="3"/>
  <c r="A518" i="3"/>
  <c r="A516" i="3"/>
  <c r="A514" i="3"/>
  <c r="A512" i="3"/>
  <c r="A510" i="3"/>
  <c r="A508" i="3"/>
  <c r="A506" i="3"/>
  <c r="A504" i="3"/>
  <c r="A502" i="3"/>
  <c r="A500" i="3"/>
  <c r="A498" i="3"/>
  <c r="A496" i="3"/>
  <c r="A494" i="3"/>
  <c r="A492" i="3"/>
  <c r="A490" i="3"/>
  <c r="A488" i="3"/>
  <c r="A486" i="3"/>
  <c r="A484" i="3"/>
  <c r="A482" i="3"/>
  <c r="A480" i="3"/>
  <c r="A478" i="3"/>
  <c r="A476" i="3"/>
  <c r="A474" i="3"/>
  <c r="A472" i="3"/>
  <c r="A470" i="3"/>
  <c r="A468" i="3"/>
  <c r="A466" i="3"/>
  <c r="A464" i="3"/>
  <c r="A564" i="3"/>
  <c r="A562" i="3"/>
  <c r="A560" i="3"/>
  <c r="A566" i="3"/>
  <c r="B214" i="1"/>
  <c r="B216" i="1"/>
  <c r="AE618" i="1" s="1"/>
  <c r="B218" i="1"/>
  <c r="B220" i="1"/>
  <c r="AE622" i="1" s="1"/>
  <c r="B222" i="1"/>
  <c r="B224" i="1"/>
  <c r="AE626" i="1" s="1"/>
  <c r="B226" i="1"/>
  <c r="A225" i="1"/>
  <c r="AB627" i="1" s="1"/>
  <c r="B629" i="3" s="1"/>
  <c r="A221" i="1"/>
  <c r="A217" i="1"/>
  <c r="AB619" i="1" s="1"/>
  <c r="B621" i="3" s="1"/>
  <c r="A213" i="1"/>
  <c r="A223" i="1"/>
  <c r="AB625" i="1" s="1"/>
  <c r="B627" i="3" s="1"/>
  <c r="A219" i="1"/>
  <c r="A215" i="1"/>
  <c r="AB617" i="1" s="1"/>
  <c r="B619" i="3" s="1"/>
  <c r="B225" i="1"/>
  <c r="B221" i="1"/>
  <c r="AE623" i="1" s="1"/>
  <c r="B217" i="1"/>
  <c r="B213" i="1"/>
  <c r="AE615" i="1" s="1"/>
  <c r="A224" i="1"/>
  <c r="A220" i="1"/>
  <c r="AB622" i="1" s="1"/>
  <c r="B624" i="3" s="1"/>
  <c r="A216" i="1"/>
  <c r="A226" i="1"/>
  <c r="AB628" i="1" s="1"/>
  <c r="B630" i="3" s="1"/>
  <c r="A222" i="1"/>
  <c r="A218" i="1"/>
  <c r="AB620" i="1" s="1"/>
  <c r="B622" i="3" s="1"/>
  <c r="A214" i="1"/>
  <c r="B223" i="1"/>
  <c r="AE625" i="1" s="1"/>
  <c r="B219" i="1"/>
  <c r="B215" i="1"/>
  <c r="AE617" i="1" s="1"/>
  <c r="A554" i="3"/>
  <c r="A546" i="3"/>
  <c r="A538" i="3"/>
  <c r="A530" i="3"/>
  <c r="A556" i="3"/>
  <c r="A552" i="3"/>
  <c r="A548" i="3"/>
  <c r="A544" i="3"/>
  <c r="A540" i="3"/>
  <c r="A536" i="3"/>
  <c r="A532" i="3"/>
  <c r="A528" i="3"/>
  <c r="A201" i="1"/>
  <c r="A202" i="1"/>
  <c r="A203" i="1"/>
  <c r="A204" i="1"/>
  <c r="A205" i="1"/>
  <c r="A206" i="1"/>
  <c r="A207" i="1"/>
  <c r="A208" i="1"/>
  <c r="A209" i="1"/>
  <c r="A210" i="1"/>
  <c r="A211" i="1"/>
  <c r="A212" i="1"/>
  <c r="B201" i="1"/>
  <c r="B202" i="1"/>
  <c r="AE604" i="1" s="1"/>
  <c r="B203" i="1"/>
  <c r="B204" i="1"/>
  <c r="AE606" i="1" s="1"/>
  <c r="B205" i="1"/>
  <c r="B206" i="1"/>
  <c r="AE608" i="1" s="1"/>
  <c r="B207" i="1"/>
  <c r="B208" i="1"/>
  <c r="AE610" i="1" s="1"/>
  <c r="B209" i="1"/>
  <c r="B210" i="1"/>
  <c r="AE612" i="1" s="1"/>
  <c r="B211" i="1"/>
  <c r="B212" i="1"/>
  <c r="AE614" i="1" s="1"/>
  <c r="A191" i="1"/>
  <c r="A192" i="1"/>
  <c r="A193" i="1"/>
  <c r="A194" i="1"/>
  <c r="A195" i="1"/>
  <c r="A196" i="1"/>
  <c r="A197" i="1"/>
  <c r="A198" i="1"/>
  <c r="A199" i="1"/>
  <c r="A200" i="1"/>
  <c r="B191" i="1"/>
  <c r="B192" i="1"/>
  <c r="AE594" i="1" s="1"/>
  <c r="B193" i="1"/>
  <c r="B194" i="1"/>
  <c r="AE596" i="1" s="1"/>
  <c r="B195" i="1"/>
  <c r="B196" i="1"/>
  <c r="AE598" i="1" s="1"/>
  <c r="B197" i="1"/>
  <c r="B198" i="1"/>
  <c r="AE600" i="1" s="1"/>
  <c r="B199" i="1"/>
  <c r="B200" i="1"/>
  <c r="AE602" i="1" s="1"/>
  <c r="A190" i="1"/>
  <c r="B190" i="1"/>
  <c r="AE592" i="1" s="1"/>
  <c r="A189" i="1"/>
  <c r="B189" i="1"/>
  <c r="AF580" i="1"/>
  <c r="A582" i="3"/>
  <c r="AF578" i="1"/>
  <c r="A580" i="3"/>
  <c r="AF576" i="1"/>
  <c r="A578" i="3"/>
  <c r="AF575" i="1"/>
  <c r="A577" i="3"/>
  <c r="AF573" i="1"/>
  <c r="A575" i="3"/>
  <c r="AF571" i="1"/>
  <c r="A573" i="3"/>
  <c r="AF569" i="1"/>
  <c r="A571" i="3"/>
  <c r="AF567" i="1"/>
  <c r="A569" i="3"/>
  <c r="AF566" i="1"/>
  <c r="A568" i="3"/>
  <c r="AF579" i="1"/>
  <c r="A581" i="3"/>
  <c r="AF577" i="1"/>
  <c r="A579" i="3"/>
  <c r="A3" i="1"/>
  <c r="AB3" i="1" s="1"/>
  <c r="B5" i="3" s="1"/>
  <c r="A179" i="1"/>
  <c r="A180" i="1"/>
  <c r="A181" i="1"/>
  <c r="A182" i="1"/>
  <c r="A183" i="1"/>
  <c r="A184" i="1"/>
  <c r="A185" i="1"/>
  <c r="A186" i="1"/>
  <c r="AB588" i="1" s="1"/>
  <c r="B590" i="3" s="1"/>
  <c r="A188" i="1"/>
  <c r="AB590" i="1" s="1"/>
  <c r="B592" i="3" s="1"/>
  <c r="B179" i="1"/>
  <c r="B180" i="1"/>
  <c r="AE582" i="1" s="1"/>
  <c r="B181" i="1"/>
  <c r="B182" i="1"/>
  <c r="AE584" i="1" s="1"/>
  <c r="B183" i="1"/>
  <c r="B184" i="1"/>
  <c r="AE586" i="1" s="1"/>
  <c r="B185" i="1"/>
  <c r="B186" i="1"/>
  <c r="AE588" i="1" s="1"/>
  <c r="B187" i="1"/>
  <c r="B188" i="1"/>
  <c r="AE590" i="1" s="1"/>
  <c r="A187" i="1"/>
  <c r="AF574" i="1"/>
  <c r="A576" i="3"/>
  <c r="AF572" i="1"/>
  <c r="A574" i="3"/>
  <c r="AF570" i="1"/>
  <c r="A572" i="3"/>
  <c r="AF568" i="1"/>
  <c r="A570" i="3"/>
  <c r="AF565" i="1"/>
  <c r="A567" i="3"/>
  <c r="AG58" i="1"/>
  <c r="AC58" i="1" s="1"/>
  <c r="C60" i="3" s="1"/>
  <c r="AG59" i="1"/>
  <c r="AC59" i="1" s="1"/>
  <c r="C61" i="3" s="1"/>
  <c r="AG60" i="1"/>
  <c r="AC60" i="1" s="1"/>
  <c r="C62" i="3" s="1"/>
  <c r="AG61" i="1"/>
  <c r="AC61" i="1" s="1"/>
  <c r="C63" i="3" s="1"/>
  <c r="AG62" i="1"/>
  <c r="AC62" i="1" s="1"/>
  <c r="C64" i="3" s="1"/>
  <c r="AG63" i="1"/>
  <c r="AC63" i="1" s="1"/>
  <c r="C65" i="3" s="1"/>
  <c r="AG64" i="1"/>
  <c r="AC64" i="1" s="1"/>
  <c r="C66" i="3" s="1"/>
  <c r="AG65" i="1"/>
  <c r="AC65" i="1" s="1"/>
  <c r="C67" i="3" s="1"/>
  <c r="AG66" i="1"/>
  <c r="AC66" i="1" s="1"/>
  <c r="C68" i="3" s="1"/>
  <c r="AG67" i="1"/>
  <c r="AC67" i="1" s="1"/>
  <c r="C69" i="3" s="1"/>
  <c r="AG68" i="1"/>
  <c r="AC68" i="1" s="1"/>
  <c r="C70" i="3" s="1"/>
  <c r="AG69" i="1"/>
  <c r="AC69" i="1" s="1"/>
  <c r="C71" i="3" s="1"/>
  <c r="AG70" i="1"/>
  <c r="AC70" i="1" s="1"/>
  <c r="C72" i="3" s="1"/>
  <c r="AG71" i="1"/>
  <c r="AC71" i="1" s="1"/>
  <c r="C73" i="3" s="1"/>
  <c r="AG72" i="1"/>
  <c r="AC72" i="1" s="1"/>
  <c r="C74" i="3" s="1"/>
  <c r="AG73" i="1"/>
  <c r="AC73" i="1" s="1"/>
  <c r="C75" i="3" s="1"/>
  <c r="AG74" i="1"/>
  <c r="AC74" i="1" s="1"/>
  <c r="C76" i="3" s="1"/>
  <c r="AG75" i="1"/>
  <c r="AC75" i="1" s="1"/>
  <c r="C77" i="3" s="1"/>
  <c r="AG76" i="1"/>
  <c r="AC76" i="1" s="1"/>
  <c r="C78" i="3" s="1"/>
  <c r="AG77" i="1"/>
  <c r="AC77" i="1" s="1"/>
  <c r="C79" i="3" s="1"/>
  <c r="AG78" i="1"/>
  <c r="AC78" i="1" s="1"/>
  <c r="C80" i="3" s="1"/>
  <c r="AG79" i="1"/>
  <c r="AC79" i="1" s="1"/>
  <c r="C81" i="3" s="1"/>
  <c r="AG80" i="1"/>
  <c r="AC80" i="1" s="1"/>
  <c r="C82" i="3" s="1"/>
  <c r="AG81" i="1"/>
  <c r="AC81" i="1" s="1"/>
  <c r="C83" i="3" s="1"/>
  <c r="AG82" i="1"/>
  <c r="AC82" i="1" s="1"/>
  <c r="C84" i="3" s="1"/>
  <c r="AG83" i="1"/>
  <c r="AC83" i="1" s="1"/>
  <c r="C85" i="3" s="1"/>
  <c r="AG84" i="1"/>
  <c r="AC84" i="1" s="1"/>
  <c r="C86" i="3" s="1"/>
  <c r="AG85" i="1"/>
  <c r="AC85" i="1" s="1"/>
  <c r="C87" i="3" s="1"/>
  <c r="AG86" i="1"/>
  <c r="AC86" i="1" s="1"/>
  <c r="C88" i="3" s="1"/>
  <c r="AG87" i="1"/>
  <c r="AC87" i="1" s="1"/>
  <c r="C89" i="3" s="1"/>
  <c r="AG88" i="1"/>
  <c r="AC88" i="1" s="1"/>
  <c r="C90" i="3" s="1"/>
  <c r="AG89" i="1"/>
  <c r="AC89" i="1" s="1"/>
  <c r="C91" i="3" s="1"/>
  <c r="AG90" i="1"/>
  <c r="AC90" i="1" s="1"/>
  <c r="C92" i="3" s="1"/>
  <c r="AG91" i="1"/>
  <c r="AC91" i="1" s="1"/>
  <c r="C93" i="3" s="1"/>
  <c r="AG92" i="1"/>
  <c r="AC92" i="1" s="1"/>
  <c r="C94" i="3" s="1"/>
  <c r="AG93" i="1"/>
  <c r="AC93" i="1" s="1"/>
  <c r="C95" i="3" s="1"/>
  <c r="AG94" i="1"/>
  <c r="AC94" i="1" s="1"/>
  <c r="C96" i="3" s="1"/>
  <c r="AG95" i="1"/>
  <c r="AC95" i="1" s="1"/>
  <c r="C97" i="3" s="1"/>
  <c r="AG96" i="1"/>
  <c r="AC96" i="1" s="1"/>
  <c r="C98" i="3" s="1"/>
  <c r="AG97" i="1"/>
  <c r="AC97" i="1" s="1"/>
  <c r="C99" i="3" s="1"/>
  <c r="AG98" i="1"/>
  <c r="AC98" i="1" s="1"/>
  <c r="C100" i="3" s="1"/>
  <c r="AG99" i="1"/>
  <c r="AC99" i="1" s="1"/>
  <c r="C101" i="3" s="1"/>
  <c r="AG100" i="1"/>
  <c r="AC100" i="1" s="1"/>
  <c r="C102" i="3" s="1"/>
  <c r="AG101" i="1"/>
  <c r="AC101" i="1" s="1"/>
  <c r="C103" i="3" s="1"/>
  <c r="AG102" i="1"/>
  <c r="AC102" i="1" s="1"/>
  <c r="C104" i="3" s="1"/>
  <c r="AG103" i="1"/>
  <c r="AC103" i="1" s="1"/>
  <c r="C105" i="3" s="1"/>
  <c r="AG104" i="1"/>
  <c r="AC104" i="1" s="1"/>
  <c r="C106" i="3" s="1"/>
  <c r="AG105" i="1"/>
  <c r="AC105" i="1" s="1"/>
  <c r="C107" i="3" s="1"/>
  <c r="AG106" i="1"/>
  <c r="AC106" i="1" s="1"/>
  <c r="C108" i="3" s="1"/>
  <c r="AG107" i="1"/>
  <c r="AC107" i="1" s="1"/>
  <c r="C109" i="3" s="1"/>
  <c r="A558" i="3"/>
  <c r="A553" i="3"/>
  <c r="A551" i="3"/>
  <c r="A549" i="3"/>
  <c r="A547" i="3"/>
  <c r="A545" i="3"/>
  <c r="A543" i="3"/>
  <c r="A541" i="3"/>
  <c r="A539" i="3"/>
  <c r="A537" i="3"/>
  <c r="A535" i="3"/>
  <c r="A533" i="3"/>
  <c r="A531" i="3"/>
  <c r="A529" i="3"/>
  <c r="A527" i="3"/>
  <c r="A557" i="3"/>
  <c r="A555" i="3"/>
  <c r="AD109" i="1"/>
  <c r="D111" i="3" s="1"/>
  <c r="AD32" i="1"/>
  <c r="D34" i="3" s="1"/>
  <c r="AD137" i="1"/>
  <c r="D139" i="3" s="1"/>
  <c r="AD77" i="1"/>
  <c r="D79" i="3" s="1"/>
  <c r="B172" i="1"/>
  <c r="AE553" i="1" s="1"/>
  <c r="B174" i="1"/>
  <c r="AE563" i="1" s="1"/>
  <c r="B176" i="1"/>
  <c r="AE570" i="1" s="1"/>
  <c r="B178" i="1"/>
  <c r="AE580" i="1" s="1"/>
  <c r="A172" i="1"/>
  <c r="AB556" i="1" s="1"/>
  <c r="B558" i="3" s="1"/>
  <c r="A176" i="1"/>
  <c r="A173" i="1"/>
  <c r="AB560" i="1" s="1"/>
  <c r="B562" i="3" s="1"/>
  <c r="A177" i="1"/>
  <c r="AB576" i="1" s="1"/>
  <c r="B578" i="3" s="1"/>
  <c r="AD125" i="1"/>
  <c r="D127" i="3" s="1"/>
  <c r="AD93" i="1"/>
  <c r="D95" i="3" s="1"/>
  <c r="B173" i="1"/>
  <c r="AE560" i="1" s="1"/>
  <c r="B175" i="1"/>
  <c r="B177" i="1"/>
  <c r="A174" i="1"/>
  <c r="AB562" i="1" s="1"/>
  <c r="B564" i="3" s="1"/>
  <c r="A178" i="1"/>
  <c r="A175" i="1"/>
  <c r="AD133" i="1"/>
  <c r="D135" i="3" s="1"/>
  <c r="AD117" i="1"/>
  <c r="D119" i="3" s="1"/>
  <c r="AD138" i="1"/>
  <c r="D140" i="3" s="1"/>
  <c r="AD3" i="1"/>
  <c r="D5" i="3" s="1"/>
  <c r="AD40" i="1"/>
  <c r="D42" i="3" s="1"/>
  <c r="AD129" i="1"/>
  <c r="D131" i="3" s="1"/>
  <c r="AD121" i="1"/>
  <c r="D123" i="3" s="1"/>
  <c r="AD113" i="1"/>
  <c r="D115" i="3" s="1"/>
  <c r="AD36" i="1"/>
  <c r="D38" i="3" s="1"/>
  <c r="AD6" i="1"/>
  <c r="D8" i="3" s="1"/>
  <c r="AD135" i="1"/>
  <c r="D137" i="3" s="1"/>
  <c r="AD131" i="1"/>
  <c r="D133" i="3" s="1"/>
  <c r="AD127" i="1"/>
  <c r="D129" i="3" s="1"/>
  <c r="AD123" i="1"/>
  <c r="D125" i="3" s="1"/>
  <c r="AD119" i="1"/>
  <c r="D121" i="3" s="1"/>
  <c r="AD115" i="1"/>
  <c r="D117" i="3" s="1"/>
  <c r="AD111" i="1"/>
  <c r="D113" i="3" s="1"/>
  <c r="AD38" i="1"/>
  <c r="D40" i="3" s="1"/>
  <c r="AD34" i="1"/>
  <c r="D36" i="3" s="1"/>
  <c r="AD7" i="1"/>
  <c r="D9" i="3" s="1"/>
  <c r="AD136" i="1"/>
  <c r="D138" i="3" s="1"/>
  <c r="AD134" i="1"/>
  <c r="D136" i="3" s="1"/>
  <c r="AD132" i="1"/>
  <c r="D134" i="3" s="1"/>
  <c r="AD130" i="1"/>
  <c r="D132" i="3" s="1"/>
  <c r="AD128" i="1"/>
  <c r="D130" i="3" s="1"/>
  <c r="AD126" i="1"/>
  <c r="D128" i="3" s="1"/>
  <c r="AD124" i="1"/>
  <c r="D126" i="3" s="1"/>
  <c r="AD122" i="1"/>
  <c r="D124" i="3" s="1"/>
  <c r="AD120" i="1"/>
  <c r="D122" i="3" s="1"/>
  <c r="AD118" i="1"/>
  <c r="D120" i="3" s="1"/>
  <c r="AD116" i="1"/>
  <c r="D118" i="3" s="1"/>
  <c r="AD114" i="1"/>
  <c r="D116" i="3" s="1"/>
  <c r="AD112" i="1"/>
  <c r="D114" i="3" s="1"/>
  <c r="AD110" i="1"/>
  <c r="D112" i="3" s="1"/>
  <c r="AD108" i="1"/>
  <c r="D110" i="3" s="1"/>
  <c r="AD29" i="1"/>
  <c r="D31" i="3" s="1"/>
  <c r="AD27" i="1"/>
  <c r="D29" i="3" s="1"/>
  <c r="AD25" i="1"/>
  <c r="D27" i="3" s="1"/>
  <c r="AD23" i="1"/>
  <c r="D25" i="3" s="1"/>
  <c r="AD21" i="1"/>
  <c r="D23" i="3" s="1"/>
  <c r="AD19" i="1"/>
  <c r="D21" i="3" s="1"/>
  <c r="AD17" i="1"/>
  <c r="D19" i="3" s="1"/>
  <c r="AD15" i="1"/>
  <c r="D17" i="3" s="1"/>
  <c r="AD13" i="1"/>
  <c r="D15" i="3" s="1"/>
  <c r="AD11" i="1"/>
  <c r="D13" i="3" s="1"/>
  <c r="AD9" i="1"/>
  <c r="D11" i="3" s="1"/>
  <c r="AD4" i="1"/>
  <c r="D6" i="3" s="1"/>
  <c r="AD30" i="1"/>
  <c r="D32" i="3" s="1"/>
  <c r="AD28" i="1"/>
  <c r="D30" i="3" s="1"/>
  <c r="AD26" i="1"/>
  <c r="D28" i="3" s="1"/>
  <c r="AD24" i="1"/>
  <c r="D26" i="3" s="1"/>
  <c r="AD22" i="1"/>
  <c r="D24" i="3" s="1"/>
  <c r="AD20" i="1"/>
  <c r="D22" i="3" s="1"/>
  <c r="AD18" i="1"/>
  <c r="D20" i="3" s="1"/>
  <c r="AD16" i="1"/>
  <c r="D18" i="3" s="1"/>
  <c r="AD14" i="1"/>
  <c r="D16" i="3" s="1"/>
  <c r="AD12" i="1"/>
  <c r="D14" i="3" s="1"/>
  <c r="AD10" i="1"/>
  <c r="D12" i="3" s="1"/>
  <c r="AD8" i="1"/>
  <c r="D10" i="3" s="1"/>
  <c r="AD5" i="1"/>
  <c r="D7" i="3" s="1"/>
  <c r="AD39" i="1"/>
  <c r="D41" i="3" s="1"/>
  <c r="AD37" i="1"/>
  <c r="D39" i="3" s="1"/>
  <c r="AD35" i="1"/>
  <c r="D37" i="3" s="1"/>
  <c r="AD33" i="1"/>
  <c r="D35" i="3" s="1"/>
  <c r="AD31" i="1"/>
  <c r="D33" i="3" s="1"/>
  <c r="AG557" i="1"/>
  <c r="AG384" i="1"/>
  <c r="AG388" i="1"/>
  <c r="AG392" i="1"/>
  <c r="AG396" i="1"/>
  <c r="AG400" i="1"/>
  <c r="AG404" i="1"/>
  <c r="AG408" i="1"/>
  <c r="AG412" i="1"/>
  <c r="AG416" i="1"/>
  <c r="AG420" i="1"/>
  <c r="AG424" i="1"/>
  <c r="AG428" i="1"/>
  <c r="AG432" i="1"/>
  <c r="AG436" i="1"/>
  <c r="AG440" i="1"/>
  <c r="AG444" i="1"/>
  <c r="AG448" i="1"/>
  <c r="AG452" i="1"/>
  <c r="AG456" i="1"/>
  <c r="AG460" i="1"/>
  <c r="AG464" i="1"/>
  <c r="AG468" i="1"/>
  <c r="AG472" i="1"/>
  <c r="AG476" i="1"/>
  <c r="AG480" i="1"/>
  <c r="AG484" i="1"/>
  <c r="AG488" i="1"/>
  <c r="AG492" i="1"/>
  <c r="AG496" i="1"/>
  <c r="AG500" i="1"/>
  <c r="AG504" i="1"/>
  <c r="AG508" i="1"/>
  <c r="AG512" i="1"/>
  <c r="AG516" i="1"/>
  <c r="AG520" i="1"/>
  <c r="AG524" i="1"/>
  <c r="AG528" i="1"/>
  <c r="AG532" i="1"/>
  <c r="AG536" i="1"/>
  <c r="AG540" i="1"/>
  <c r="AG544" i="1"/>
  <c r="AG548" i="1"/>
  <c r="AG552" i="1"/>
  <c r="AG561" i="1"/>
  <c r="AC561" i="1" s="1"/>
  <c r="C563" i="3" s="1"/>
  <c r="AG386" i="1"/>
  <c r="AG390" i="1"/>
  <c r="AG394" i="1"/>
  <c r="AG398" i="1"/>
  <c r="AG402" i="1"/>
  <c r="AG406" i="1"/>
  <c r="AG410" i="1"/>
  <c r="AG414" i="1"/>
  <c r="AG418" i="1"/>
  <c r="AG422" i="1"/>
  <c r="AG426" i="1"/>
  <c r="AG430" i="1"/>
  <c r="AG434" i="1"/>
  <c r="AG438" i="1"/>
  <c r="AG442" i="1"/>
  <c r="AG446" i="1"/>
  <c r="AG450" i="1"/>
  <c r="AG454" i="1"/>
  <c r="AG458" i="1"/>
  <c r="AG462" i="1"/>
  <c r="AG466" i="1"/>
  <c r="AG470" i="1"/>
  <c r="AG474" i="1"/>
  <c r="AG478" i="1"/>
  <c r="AG482" i="1"/>
  <c r="AG486" i="1"/>
  <c r="AG490" i="1"/>
  <c r="AG494" i="1"/>
  <c r="AD494" i="1" s="1"/>
  <c r="D496" i="3" s="1"/>
  <c r="AG498" i="1"/>
  <c r="AG502" i="1"/>
  <c r="AD502" i="1" s="1"/>
  <c r="D504" i="3" s="1"/>
  <c r="AG506" i="1"/>
  <c r="AG510" i="1"/>
  <c r="AD510" i="1" s="1"/>
  <c r="D512" i="3" s="1"/>
  <c r="AG514" i="1"/>
  <c r="AC514" i="1" s="1"/>
  <c r="C516" i="3" s="1"/>
  <c r="AG518" i="1"/>
  <c r="AC518" i="1" s="1"/>
  <c r="C520" i="3" s="1"/>
  <c r="AG522" i="1"/>
  <c r="AC522" i="1" s="1"/>
  <c r="C524" i="3" s="1"/>
  <c r="AG526" i="1"/>
  <c r="AD526" i="1" s="1"/>
  <c r="D528" i="3" s="1"/>
  <c r="AG530" i="1"/>
  <c r="AD530" i="1" s="1"/>
  <c r="D532" i="3" s="1"/>
  <c r="AG534" i="1"/>
  <c r="AD534" i="1" s="1"/>
  <c r="D536" i="3" s="1"/>
  <c r="AG538" i="1"/>
  <c r="AC538" i="1" s="1"/>
  <c r="C540" i="3" s="1"/>
  <c r="AG542" i="1"/>
  <c r="AD542" i="1" s="1"/>
  <c r="D544" i="3" s="1"/>
  <c r="AG546" i="1"/>
  <c r="AC546" i="1" s="1"/>
  <c r="C548" i="3" s="1"/>
  <c r="AG550" i="1"/>
  <c r="AD550" i="1" s="1"/>
  <c r="D552" i="3" s="1"/>
  <c r="AG554" i="1"/>
  <c r="AD554" i="1" s="1"/>
  <c r="D556" i="3" s="1"/>
  <c r="AG565" i="1"/>
  <c r="AD565" i="1" s="1"/>
  <c r="D567" i="3" s="1"/>
  <c r="AG563" i="1"/>
  <c r="AC563" i="1" s="1"/>
  <c r="C565" i="3" s="1"/>
  <c r="AG559" i="1"/>
  <c r="AC559" i="1" s="1"/>
  <c r="C561" i="3" s="1"/>
  <c r="A166" i="1"/>
  <c r="AB542" i="1" s="1"/>
  <c r="B544" i="3" s="1"/>
  <c r="A170" i="1"/>
  <c r="AB550" i="1" s="1"/>
  <c r="B552" i="3" s="1"/>
  <c r="A169" i="1"/>
  <c r="AB547" i="1" s="1"/>
  <c r="B549" i="3" s="1"/>
  <c r="A168" i="1"/>
  <c r="AB545" i="1" s="1"/>
  <c r="B547" i="3" s="1"/>
  <c r="A167" i="1"/>
  <c r="AB543" i="1" s="1"/>
  <c r="B545" i="3" s="1"/>
  <c r="A171" i="1"/>
  <c r="AB551" i="1" s="1"/>
  <c r="B553" i="3" s="1"/>
  <c r="B166" i="1"/>
  <c r="AE542" i="1" s="1"/>
  <c r="B170" i="1"/>
  <c r="AE550" i="1" s="1"/>
  <c r="B169" i="1"/>
  <c r="AE548" i="1" s="1"/>
  <c r="B168" i="1"/>
  <c r="AE546" i="1" s="1"/>
  <c r="B167" i="1"/>
  <c r="AE543" i="1" s="1"/>
  <c r="B171" i="1"/>
  <c r="AE551" i="1" s="1"/>
  <c r="AD56" i="1"/>
  <c r="D58" i="3" s="1"/>
  <c r="AD54" i="1"/>
  <c r="D56" i="3" s="1"/>
  <c r="AD52" i="1"/>
  <c r="D54" i="3" s="1"/>
  <c r="AD50" i="1"/>
  <c r="D52" i="3" s="1"/>
  <c r="AD48" i="1"/>
  <c r="D50" i="3" s="1"/>
  <c r="AD46" i="1"/>
  <c r="D48" i="3" s="1"/>
  <c r="AD44" i="1"/>
  <c r="D46" i="3" s="1"/>
  <c r="AD43" i="1"/>
  <c r="D45" i="3" s="1"/>
  <c r="AD41" i="1"/>
  <c r="D43" i="3" s="1"/>
  <c r="AC57" i="1"/>
  <c r="C59" i="3" s="1"/>
  <c r="AC55" i="1"/>
  <c r="C57" i="3" s="1"/>
  <c r="AC53" i="1"/>
  <c r="C55" i="3" s="1"/>
  <c r="AC51" i="1"/>
  <c r="C53" i="3" s="1"/>
  <c r="AC49" i="1"/>
  <c r="C51" i="3" s="1"/>
  <c r="AC47" i="1"/>
  <c r="C49" i="3" s="1"/>
  <c r="AC45" i="1"/>
  <c r="C47" i="3" s="1"/>
  <c r="AC42" i="1"/>
  <c r="C44" i="3" s="1"/>
  <c r="AB662" i="1"/>
  <c r="B664" i="3" s="1"/>
  <c r="AB654" i="1"/>
  <c r="B656" i="3" s="1"/>
  <c r="AB646" i="1"/>
  <c r="B648" i="3" s="1"/>
  <c r="AB638" i="1"/>
  <c r="B640" i="3" s="1"/>
  <c r="AB666" i="1"/>
  <c r="B668" i="3" s="1"/>
  <c r="AB658" i="1"/>
  <c r="B660" i="3" s="1"/>
  <c r="AB650" i="1"/>
  <c r="B652" i="3" s="1"/>
  <c r="AB642" i="1"/>
  <c r="B644" i="3" s="1"/>
  <c r="AB634" i="1"/>
  <c r="B636" i="3" s="1"/>
  <c r="AB800" i="1"/>
  <c r="AB796" i="1"/>
  <c r="AB792" i="1"/>
  <c r="AB788" i="1"/>
  <c r="AB784" i="1"/>
  <c r="AB778" i="1"/>
  <c r="AB776" i="1"/>
  <c r="AB770" i="1"/>
  <c r="AB768" i="1"/>
  <c r="AB762" i="1"/>
  <c r="AB760" i="1"/>
  <c r="AB756" i="1"/>
  <c r="AB752" i="1"/>
  <c r="AB748" i="1"/>
  <c r="AB744" i="1"/>
  <c r="AB738" i="1"/>
  <c r="AB736" i="1"/>
  <c r="AB730" i="1"/>
  <c r="AB728" i="1"/>
  <c r="AB722" i="1"/>
  <c r="AB720" i="1"/>
  <c r="AB714" i="1"/>
  <c r="AB712" i="1"/>
  <c r="AB706" i="1"/>
  <c r="AB704" i="1"/>
  <c r="AB700" i="1"/>
  <c r="AB696" i="1"/>
  <c r="AB694" i="1"/>
  <c r="AB688" i="1"/>
  <c r="AB686" i="1"/>
  <c r="AB680" i="1"/>
  <c r="AB676" i="1"/>
  <c r="AB672" i="1"/>
  <c r="AB670" i="1"/>
  <c r="AG564" i="1"/>
  <c r="AC564" i="1" s="1"/>
  <c r="C566" i="3" s="1"/>
  <c r="AG562" i="1"/>
  <c r="AC562" i="1" s="1"/>
  <c r="C564" i="3" s="1"/>
  <c r="AG560" i="1"/>
  <c r="AC560" i="1" s="1"/>
  <c r="C562" i="3" s="1"/>
  <c r="AG558" i="1"/>
  <c r="AC558" i="1" s="1"/>
  <c r="C560" i="3" s="1"/>
  <c r="AC557" i="1"/>
  <c r="C559" i="3" s="1"/>
  <c r="AD557" i="1"/>
  <c r="D559" i="3" s="1"/>
  <c r="AG556" i="1"/>
  <c r="AD556" i="1" s="1"/>
  <c r="D558" i="3" s="1"/>
  <c r="AG555" i="1"/>
  <c r="AC555" i="1" s="1"/>
  <c r="C557" i="3" s="1"/>
  <c r="AG553" i="1"/>
  <c r="AC553" i="1" s="1"/>
  <c r="C555" i="3" s="1"/>
  <c r="AC552" i="1"/>
  <c r="C554" i="3" s="1"/>
  <c r="AD552" i="1"/>
  <c r="D554" i="3" s="1"/>
  <c r="AG551" i="1"/>
  <c r="AC551" i="1" s="1"/>
  <c r="C553" i="3" s="1"/>
  <c r="AG549" i="1"/>
  <c r="AC549" i="1" s="1"/>
  <c r="C551" i="3" s="1"/>
  <c r="AC548" i="1"/>
  <c r="C550" i="3" s="1"/>
  <c r="AD548" i="1"/>
  <c r="D550" i="3" s="1"/>
  <c r="AG547" i="1"/>
  <c r="AC547" i="1" s="1"/>
  <c r="C549" i="3" s="1"/>
  <c r="AG545" i="1"/>
  <c r="AC545" i="1" s="1"/>
  <c r="C547" i="3" s="1"/>
  <c r="AC544" i="1"/>
  <c r="C546" i="3" s="1"/>
  <c r="AD544" i="1"/>
  <c r="D546" i="3" s="1"/>
  <c r="AG543" i="1"/>
  <c r="AC543" i="1" s="1"/>
  <c r="C545" i="3" s="1"/>
  <c r="AG541" i="1"/>
  <c r="AC541" i="1" s="1"/>
  <c r="C543" i="3" s="1"/>
  <c r="AC540" i="1"/>
  <c r="C542" i="3" s="1"/>
  <c r="AD540" i="1"/>
  <c r="D542" i="3" s="1"/>
  <c r="AG539" i="1"/>
  <c r="AD539" i="1" s="1"/>
  <c r="D541" i="3" s="1"/>
  <c r="AG537" i="1"/>
  <c r="AD537" i="1" s="1"/>
  <c r="D539" i="3" s="1"/>
  <c r="AC536" i="1"/>
  <c r="C538" i="3" s="1"/>
  <c r="AD536" i="1"/>
  <c r="D538" i="3" s="1"/>
  <c r="AG535" i="1"/>
  <c r="AD535" i="1" s="1"/>
  <c r="D537" i="3" s="1"/>
  <c r="AG533" i="1"/>
  <c r="AD533" i="1" s="1"/>
  <c r="D535" i="3" s="1"/>
  <c r="AC532" i="1"/>
  <c r="C534" i="3" s="1"/>
  <c r="AD532" i="1"/>
  <c r="D534" i="3" s="1"/>
  <c r="AG531" i="1"/>
  <c r="AD531" i="1" s="1"/>
  <c r="D533" i="3" s="1"/>
  <c r="AG529" i="1"/>
  <c r="AD529" i="1" s="1"/>
  <c r="D531" i="3" s="1"/>
  <c r="AC528" i="1"/>
  <c r="C530" i="3" s="1"/>
  <c r="AD528" i="1"/>
  <c r="D530" i="3" s="1"/>
  <c r="AG527" i="1"/>
  <c r="AD527" i="1" s="1"/>
  <c r="D529" i="3" s="1"/>
  <c r="AG525" i="1"/>
  <c r="AD525" i="1" s="1"/>
  <c r="D527" i="3" s="1"/>
  <c r="AC524" i="1"/>
  <c r="C526" i="3" s="1"/>
  <c r="AD524" i="1"/>
  <c r="D526" i="3" s="1"/>
  <c r="AG523" i="1"/>
  <c r="AD523" i="1" s="1"/>
  <c r="D525" i="3" s="1"/>
  <c r="AD522" i="1"/>
  <c r="D524" i="3" s="1"/>
  <c r="AG521" i="1"/>
  <c r="AD521" i="1" s="1"/>
  <c r="D523" i="3" s="1"/>
  <c r="AC520" i="1"/>
  <c r="C522" i="3" s="1"/>
  <c r="AD520" i="1"/>
  <c r="D522" i="3" s="1"/>
  <c r="AG519" i="1"/>
  <c r="AD519" i="1" s="1"/>
  <c r="D521" i="3" s="1"/>
  <c r="AD518" i="1"/>
  <c r="D520" i="3" s="1"/>
  <c r="AG517" i="1"/>
  <c r="AD517" i="1" s="1"/>
  <c r="D519" i="3" s="1"/>
  <c r="AC516" i="1"/>
  <c r="C518" i="3" s="1"/>
  <c r="AD516" i="1"/>
  <c r="D518" i="3" s="1"/>
  <c r="AG515" i="1"/>
  <c r="AD515" i="1" s="1"/>
  <c r="D517" i="3" s="1"/>
  <c r="AD514" i="1"/>
  <c r="D516" i="3" s="1"/>
  <c r="AG513" i="1"/>
  <c r="AD513" i="1" s="1"/>
  <c r="D515" i="3" s="1"/>
  <c r="AC512" i="1"/>
  <c r="C514" i="3" s="1"/>
  <c r="AD512" i="1"/>
  <c r="D514" i="3" s="1"/>
  <c r="AG511" i="1"/>
  <c r="AC510" i="1"/>
  <c r="C512" i="3" s="1"/>
  <c r="AG509" i="1"/>
  <c r="AC508" i="1"/>
  <c r="C510" i="3" s="1"/>
  <c r="AD508" i="1"/>
  <c r="D510" i="3" s="1"/>
  <c r="AG507" i="1"/>
  <c r="AC506" i="1"/>
  <c r="C508" i="3" s="1"/>
  <c r="AD506" i="1"/>
  <c r="D508" i="3" s="1"/>
  <c r="AG505" i="1"/>
  <c r="AC504" i="1"/>
  <c r="C506" i="3" s="1"/>
  <c r="AD504" i="1"/>
  <c r="D506" i="3" s="1"/>
  <c r="AG503" i="1"/>
  <c r="AC502" i="1"/>
  <c r="C504" i="3" s="1"/>
  <c r="AG501" i="1"/>
  <c r="AC500" i="1"/>
  <c r="C502" i="3" s="1"/>
  <c r="AD500" i="1"/>
  <c r="D502" i="3" s="1"/>
  <c r="AG499" i="1"/>
  <c r="AC498" i="1"/>
  <c r="C500" i="3" s="1"/>
  <c r="AD498" i="1"/>
  <c r="D500" i="3" s="1"/>
  <c r="AG497" i="1"/>
  <c r="AC496" i="1"/>
  <c r="C498" i="3" s="1"/>
  <c r="AD496" i="1"/>
  <c r="D498" i="3" s="1"/>
  <c r="AG495" i="1"/>
  <c r="AC494" i="1"/>
  <c r="C496" i="3" s="1"/>
  <c r="AG493" i="1"/>
  <c r="AC492" i="1"/>
  <c r="C494" i="3" s="1"/>
  <c r="AD492" i="1"/>
  <c r="D494" i="3" s="1"/>
  <c r="AG491" i="1"/>
  <c r="AC490" i="1"/>
  <c r="C492" i="3" s="1"/>
  <c r="AD490" i="1"/>
  <c r="D492" i="3" s="1"/>
  <c r="AG489" i="1"/>
  <c r="AC488" i="1"/>
  <c r="C490" i="3" s="1"/>
  <c r="AD488" i="1"/>
  <c r="D490" i="3" s="1"/>
  <c r="AG487" i="1"/>
  <c r="AC486" i="1"/>
  <c r="C488" i="3" s="1"/>
  <c r="AD486" i="1"/>
  <c r="D488" i="3" s="1"/>
  <c r="AG485" i="1"/>
  <c r="AC484" i="1"/>
  <c r="C486" i="3" s="1"/>
  <c r="AD484" i="1"/>
  <c r="D486" i="3" s="1"/>
  <c r="AG483" i="1"/>
  <c r="AC482" i="1"/>
  <c r="C484" i="3" s="1"/>
  <c r="AD482" i="1"/>
  <c r="D484" i="3" s="1"/>
  <c r="AG481" i="1"/>
  <c r="AC480" i="1"/>
  <c r="C482" i="3" s="1"/>
  <c r="AD480" i="1"/>
  <c r="D482" i="3" s="1"/>
  <c r="AG479" i="1"/>
  <c r="AC478" i="1"/>
  <c r="C480" i="3" s="1"/>
  <c r="AD478" i="1"/>
  <c r="D480" i="3" s="1"/>
  <c r="AG477" i="1"/>
  <c r="AC476" i="1"/>
  <c r="C478" i="3" s="1"/>
  <c r="AD476" i="1"/>
  <c r="D478" i="3" s="1"/>
  <c r="AG475" i="1"/>
  <c r="AC474" i="1"/>
  <c r="C476" i="3" s="1"/>
  <c r="AD474" i="1"/>
  <c r="D476" i="3" s="1"/>
  <c r="AG473" i="1"/>
  <c r="AC472" i="1"/>
  <c r="C474" i="3" s="1"/>
  <c r="AD472" i="1"/>
  <c r="D474" i="3" s="1"/>
  <c r="AG471" i="1"/>
  <c r="AC470" i="1"/>
  <c r="C472" i="3" s="1"/>
  <c r="AD470" i="1"/>
  <c r="D472" i="3" s="1"/>
  <c r="AG469" i="1"/>
  <c r="AC468" i="1"/>
  <c r="C470" i="3" s="1"/>
  <c r="AD468" i="1"/>
  <c r="D470" i="3" s="1"/>
  <c r="AG467" i="1"/>
  <c r="AC466" i="1"/>
  <c r="C468" i="3" s="1"/>
  <c r="AD466" i="1"/>
  <c r="D468" i="3" s="1"/>
  <c r="AG465" i="1"/>
  <c r="AC464" i="1"/>
  <c r="C466" i="3" s="1"/>
  <c r="AD464" i="1"/>
  <c r="D466" i="3" s="1"/>
  <c r="AG463" i="1"/>
  <c r="AC462" i="1"/>
  <c r="C464" i="3" s="1"/>
  <c r="AD462" i="1"/>
  <c r="D464" i="3" s="1"/>
  <c r="AG461" i="1"/>
  <c r="AC460" i="1"/>
  <c r="C462" i="3" s="1"/>
  <c r="AD460" i="1"/>
  <c r="D462" i="3" s="1"/>
  <c r="AG459" i="1"/>
  <c r="AC458" i="1"/>
  <c r="C460" i="3" s="1"/>
  <c r="AD458" i="1"/>
  <c r="D460" i="3" s="1"/>
  <c r="AG457" i="1"/>
  <c r="AC456" i="1"/>
  <c r="C458" i="3" s="1"/>
  <c r="AD456" i="1"/>
  <c r="D458" i="3" s="1"/>
  <c r="AG455" i="1"/>
  <c r="AC454" i="1"/>
  <c r="C456" i="3" s="1"/>
  <c r="AD454" i="1"/>
  <c r="D456" i="3" s="1"/>
  <c r="AG453" i="1"/>
  <c r="AC452" i="1"/>
  <c r="C454" i="3" s="1"/>
  <c r="AD452" i="1"/>
  <c r="D454" i="3" s="1"/>
  <c r="AG451" i="1"/>
  <c r="AC450" i="1"/>
  <c r="C452" i="3" s="1"/>
  <c r="AD450" i="1"/>
  <c r="D452" i="3" s="1"/>
  <c r="AG449" i="1"/>
  <c r="AC448" i="1"/>
  <c r="C450" i="3" s="1"/>
  <c r="AD448" i="1"/>
  <c r="D450" i="3" s="1"/>
  <c r="AG447" i="1"/>
  <c r="AC446" i="1"/>
  <c r="C448" i="3" s="1"/>
  <c r="AD446" i="1"/>
  <c r="D448" i="3" s="1"/>
  <c r="AG445" i="1"/>
  <c r="AC444" i="1"/>
  <c r="C446" i="3" s="1"/>
  <c r="AD444" i="1"/>
  <c r="D446" i="3" s="1"/>
  <c r="AG443" i="1"/>
  <c r="AC442" i="1"/>
  <c r="C444" i="3" s="1"/>
  <c r="AD442" i="1"/>
  <c r="D444" i="3" s="1"/>
  <c r="AG441" i="1"/>
  <c r="AC440" i="1"/>
  <c r="C442" i="3" s="1"/>
  <c r="AD440" i="1"/>
  <c r="D442" i="3" s="1"/>
  <c r="AG439" i="1"/>
  <c r="AC438" i="1"/>
  <c r="C440" i="3" s="1"/>
  <c r="AD438" i="1"/>
  <c r="D440" i="3" s="1"/>
  <c r="AG437" i="1"/>
  <c r="AC436" i="1"/>
  <c r="C438" i="3" s="1"/>
  <c r="AD436" i="1"/>
  <c r="D438" i="3" s="1"/>
  <c r="AG435" i="1"/>
  <c r="AC434" i="1"/>
  <c r="C436" i="3" s="1"/>
  <c r="AD434" i="1"/>
  <c r="D436" i="3" s="1"/>
  <c r="AG433" i="1"/>
  <c r="AC432" i="1"/>
  <c r="C434" i="3" s="1"/>
  <c r="AB798" i="1"/>
  <c r="AB794" i="1"/>
  <c r="AB790" i="1"/>
  <c r="AB786" i="1"/>
  <c r="AB782" i="1"/>
  <c r="AB780" i="1"/>
  <c r="AB774" i="1"/>
  <c r="AB772" i="1"/>
  <c r="AB766" i="1"/>
  <c r="AB764" i="1"/>
  <c r="AB758" i="1"/>
  <c r="AB754" i="1"/>
  <c r="AB750" i="1"/>
  <c r="AB746" i="1"/>
  <c r="AB742" i="1"/>
  <c r="AB740" i="1"/>
  <c r="AB734" i="1"/>
  <c r="AB732" i="1"/>
  <c r="AB726" i="1"/>
  <c r="AB724" i="1"/>
  <c r="AB718" i="1"/>
  <c r="AB716" i="1"/>
  <c r="AB710" i="1"/>
  <c r="AB708" i="1"/>
  <c r="AB702" i="1"/>
  <c r="AB698" i="1"/>
  <c r="AB692" i="1"/>
  <c r="AB690" i="1"/>
  <c r="AB684" i="1"/>
  <c r="AB682" i="1"/>
  <c r="AB678" i="1"/>
  <c r="AB674" i="1"/>
  <c r="AB668" i="1"/>
  <c r="B670" i="3" s="1"/>
  <c r="AG800" i="1"/>
  <c r="AC800" i="1" s="1"/>
  <c r="AG799" i="1"/>
  <c r="AG798" i="1"/>
  <c r="AD798" i="1" s="1"/>
  <c r="AG797" i="1"/>
  <c r="AC797" i="1" s="1"/>
  <c r="AG796" i="1"/>
  <c r="AC796" i="1" s="1"/>
  <c r="AG795" i="1"/>
  <c r="AG794" i="1"/>
  <c r="AD794" i="1" s="1"/>
  <c r="AG793" i="1"/>
  <c r="AC793" i="1" s="1"/>
  <c r="AG792" i="1"/>
  <c r="AC792" i="1" s="1"/>
  <c r="AG791" i="1"/>
  <c r="AG790" i="1"/>
  <c r="AD790" i="1" s="1"/>
  <c r="AG789" i="1"/>
  <c r="AC789" i="1" s="1"/>
  <c r="AG788" i="1"/>
  <c r="AC788" i="1" s="1"/>
  <c r="AG787" i="1"/>
  <c r="AG786" i="1"/>
  <c r="AD786" i="1" s="1"/>
  <c r="AG785" i="1"/>
  <c r="AC785" i="1" s="1"/>
  <c r="AG784" i="1"/>
  <c r="AC784" i="1" s="1"/>
  <c r="AG783" i="1"/>
  <c r="AG782" i="1"/>
  <c r="AD782" i="1" s="1"/>
  <c r="AG781" i="1"/>
  <c r="AC781" i="1" s="1"/>
  <c r="AG780" i="1"/>
  <c r="AD780" i="1" s="1"/>
  <c r="AG779" i="1"/>
  <c r="AG778" i="1"/>
  <c r="AG777" i="1"/>
  <c r="AC777" i="1" s="1"/>
  <c r="AG776" i="1"/>
  <c r="AC776" i="1" s="1"/>
  <c r="AG775" i="1"/>
  <c r="AG774" i="1"/>
  <c r="AD774" i="1" s="1"/>
  <c r="AG773" i="1"/>
  <c r="AC773" i="1" s="1"/>
  <c r="AG772" i="1"/>
  <c r="AD772" i="1" s="1"/>
  <c r="AG771" i="1"/>
  <c r="AG770" i="1"/>
  <c r="AG769" i="1"/>
  <c r="AC769" i="1" s="1"/>
  <c r="AG768" i="1"/>
  <c r="AC768" i="1" s="1"/>
  <c r="AG767" i="1"/>
  <c r="AG766" i="1"/>
  <c r="AD766" i="1" s="1"/>
  <c r="AG765" i="1"/>
  <c r="AC765" i="1" s="1"/>
  <c r="AG764" i="1"/>
  <c r="AD764" i="1" s="1"/>
  <c r="AG763" i="1"/>
  <c r="AG762" i="1"/>
  <c r="AG761" i="1"/>
  <c r="AC761" i="1" s="1"/>
  <c r="AG760" i="1"/>
  <c r="AC760" i="1" s="1"/>
  <c r="AG759" i="1"/>
  <c r="AG758" i="1"/>
  <c r="AD758" i="1" s="1"/>
  <c r="AG757" i="1"/>
  <c r="AC757" i="1" s="1"/>
  <c r="AG756" i="1"/>
  <c r="AC756" i="1" s="1"/>
  <c r="AG755" i="1"/>
  <c r="AG754" i="1"/>
  <c r="AD754" i="1" s="1"/>
  <c r="AG753" i="1"/>
  <c r="AC753" i="1" s="1"/>
  <c r="AG752" i="1"/>
  <c r="AC752" i="1" s="1"/>
  <c r="AG751" i="1"/>
  <c r="AG750" i="1"/>
  <c r="AD750" i="1" s="1"/>
  <c r="AG749" i="1"/>
  <c r="AC749" i="1" s="1"/>
  <c r="AG748" i="1"/>
  <c r="AC748" i="1" s="1"/>
  <c r="AG747" i="1"/>
  <c r="AG746" i="1"/>
  <c r="AD746" i="1" s="1"/>
  <c r="AG745" i="1"/>
  <c r="AC745" i="1" s="1"/>
  <c r="AG744" i="1"/>
  <c r="AC744" i="1" s="1"/>
  <c r="AG743" i="1"/>
  <c r="AG742" i="1"/>
  <c r="AD742" i="1" s="1"/>
  <c r="AG741" i="1"/>
  <c r="AC741" i="1" s="1"/>
  <c r="AG740" i="1"/>
  <c r="AD740" i="1" s="1"/>
  <c r="AG739" i="1"/>
  <c r="AG738" i="1"/>
  <c r="AG737" i="1"/>
  <c r="AC737" i="1" s="1"/>
  <c r="AG736" i="1"/>
  <c r="AC736" i="1" s="1"/>
  <c r="AG735" i="1"/>
  <c r="AG734" i="1"/>
  <c r="AD734" i="1" s="1"/>
  <c r="AG733" i="1"/>
  <c r="AC733" i="1" s="1"/>
  <c r="AG732" i="1"/>
  <c r="AD732" i="1" s="1"/>
  <c r="AG731" i="1"/>
  <c r="AG730" i="1"/>
  <c r="AG729" i="1"/>
  <c r="AC729" i="1" s="1"/>
  <c r="AG728" i="1"/>
  <c r="AC728" i="1" s="1"/>
  <c r="AG727" i="1"/>
  <c r="AG726" i="1"/>
  <c r="AD726" i="1" s="1"/>
  <c r="AG725" i="1"/>
  <c r="AC725" i="1" s="1"/>
  <c r="AG724" i="1"/>
  <c r="AD724" i="1" s="1"/>
  <c r="AG723" i="1"/>
  <c r="AG722" i="1"/>
  <c r="AG721" i="1"/>
  <c r="AC721" i="1" s="1"/>
  <c r="AG720" i="1"/>
  <c r="AC720" i="1" s="1"/>
  <c r="AG719" i="1"/>
  <c r="AG718" i="1"/>
  <c r="AD718" i="1" s="1"/>
  <c r="AG717" i="1"/>
  <c r="AC717" i="1" s="1"/>
  <c r="AG716" i="1"/>
  <c r="AD716" i="1" s="1"/>
  <c r="AG715" i="1"/>
  <c r="AG714" i="1"/>
  <c r="AG713" i="1"/>
  <c r="AC713" i="1" s="1"/>
  <c r="AG712" i="1"/>
  <c r="AC712" i="1" s="1"/>
  <c r="AG711" i="1"/>
  <c r="AG710" i="1"/>
  <c r="AD710" i="1" s="1"/>
  <c r="AG709" i="1"/>
  <c r="AC709" i="1" s="1"/>
  <c r="AG708" i="1"/>
  <c r="AD708" i="1" s="1"/>
  <c r="AG707" i="1"/>
  <c r="AG706" i="1"/>
  <c r="AG705" i="1"/>
  <c r="AC705" i="1" s="1"/>
  <c r="AG704" i="1"/>
  <c r="AC704" i="1" s="1"/>
  <c r="AG703" i="1"/>
  <c r="AG702" i="1"/>
  <c r="AD702" i="1" s="1"/>
  <c r="AG701" i="1"/>
  <c r="AC701" i="1" s="1"/>
  <c r="AG700" i="1"/>
  <c r="AD700" i="1" s="1"/>
  <c r="AG699" i="1"/>
  <c r="AG698" i="1"/>
  <c r="AG697" i="1"/>
  <c r="AC697" i="1" s="1"/>
  <c r="AG696" i="1"/>
  <c r="AC696" i="1" s="1"/>
  <c r="AG695" i="1"/>
  <c r="AG694" i="1"/>
  <c r="AG693" i="1"/>
  <c r="AC693" i="1" s="1"/>
  <c r="AG692" i="1"/>
  <c r="AD692" i="1" s="1"/>
  <c r="AG691" i="1"/>
  <c r="AG690" i="1"/>
  <c r="AD690" i="1" s="1"/>
  <c r="AG689" i="1"/>
  <c r="AC689" i="1" s="1"/>
  <c r="AG688" i="1"/>
  <c r="AC688" i="1" s="1"/>
  <c r="AG687" i="1"/>
  <c r="AG686" i="1"/>
  <c r="AG685" i="1"/>
  <c r="AC685" i="1" s="1"/>
  <c r="AG684" i="1"/>
  <c r="AD684" i="1" s="1"/>
  <c r="AG683" i="1"/>
  <c r="AG682" i="1"/>
  <c r="AD682" i="1" s="1"/>
  <c r="AG681" i="1"/>
  <c r="AC681" i="1" s="1"/>
  <c r="AG680" i="1"/>
  <c r="AC680" i="1" s="1"/>
  <c r="AG679" i="1"/>
  <c r="AG678" i="1"/>
  <c r="AD678" i="1" s="1"/>
  <c r="AG677" i="1"/>
  <c r="AC677" i="1" s="1"/>
  <c r="AG676" i="1"/>
  <c r="AC676" i="1" s="1"/>
  <c r="AG675" i="1"/>
  <c r="AG674" i="1"/>
  <c r="AD674" i="1" s="1"/>
  <c r="AG673" i="1"/>
  <c r="AC673" i="1" s="1"/>
  <c r="AG672" i="1"/>
  <c r="AC672" i="1" s="1"/>
  <c r="AG671" i="1"/>
  <c r="AG670" i="1"/>
  <c r="AG669" i="1"/>
  <c r="AC669" i="1" s="1"/>
  <c r="AG668" i="1"/>
  <c r="AD668" i="1" s="1"/>
  <c r="D670" i="3" s="1"/>
  <c r="AG667" i="1"/>
  <c r="AG665" i="1"/>
  <c r="AB665" i="1"/>
  <c r="B667" i="3" s="1"/>
  <c r="AG663" i="1"/>
  <c r="AC663" i="1" s="1"/>
  <c r="C665" i="3" s="1"/>
  <c r="AB663" i="1"/>
  <c r="B665" i="3" s="1"/>
  <c r="AG661" i="1"/>
  <c r="AB661" i="1"/>
  <c r="B663" i="3" s="1"/>
  <c r="AG659" i="1"/>
  <c r="AC659" i="1" s="1"/>
  <c r="C661" i="3" s="1"/>
  <c r="AB659" i="1"/>
  <c r="B661" i="3" s="1"/>
  <c r="AG657" i="1"/>
  <c r="AB657" i="1"/>
  <c r="B659" i="3" s="1"/>
  <c r="AG655" i="1"/>
  <c r="AC655" i="1" s="1"/>
  <c r="C657" i="3" s="1"/>
  <c r="AB655" i="1"/>
  <c r="B657" i="3" s="1"/>
  <c r="AG653" i="1"/>
  <c r="AB653" i="1"/>
  <c r="B655" i="3" s="1"/>
  <c r="AG651" i="1"/>
  <c r="AC651" i="1" s="1"/>
  <c r="C653" i="3" s="1"/>
  <c r="AB651" i="1"/>
  <c r="B653" i="3" s="1"/>
  <c r="AG649" i="1"/>
  <c r="AB649" i="1"/>
  <c r="B651" i="3" s="1"/>
  <c r="AG647" i="1"/>
  <c r="AC647" i="1" s="1"/>
  <c r="C649" i="3" s="1"/>
  <c r="AB647" i="1"/>
  <c r="B649" i="3" s="1"/>
  <c r="AG645" i="1"/>
  <c r="AB645" i="1"/>
  <c r="B647" i="3" s="1"/>
  <c r="AG643" i="1"/>
  <c r="AC643" i="1" s="1"/>
  <c r="C645" i="3" s="1"/>
  <c r="AB643" i="1"/>
  <c r="B645" i="3" s="1"/>
  <c r="AG641" i="1"/>
  <c r="AB641" i="1"/>
  <c r="B643" i="3" s="1"/>
  <c r="AG639" i="1"/>
  <c r="AC639" i="1" s="1"/>
  <c r="C641" i="3" s="1"/>
  <c r="AB639" i="1"/>
  <c r="B641" i="3" s="1"/>
  <c r="AG637" i="1"/>
  <c r="AB637" i="1"/>
  <c r="B639" i="3" s="1"/>
  <c r="AG635" i="1"/>
  <c r="AC635" i="1" s="1"/>
  <c r="C637" i="3" s="1"/>
  <c r="AB635" i="1"/>
  <c r="B637" i="3" s="1"/>
  <c r="AG633" i="1"/>
  <c r="AB633" i="1"/>
  <c r="B635" i="3" s="1"/>
  <c r="AG631" i="1"/>
  <c r="AC631" i="1" s="1"/>
  <c r="C633" i="3" s="1"/>
  <c r="AB631" i="1"/>
  <c r="B633" i="3" s="1"/>
  <c r="AG629" i="1"/>
  <c r="AB629" i="1"/>
  <c r="B631" i="3" s="1"/>
  <c r="AG627" i="1"/>
  <c r="AC627" i="1" s="1"/>
  <c r="C629" i="3" s="1"/>
  <c r="AG625" i="1"/>
  <c r="AG623" i="1"/>
  <c r="AC623" i="1" s="1"/>
  <c r="C625" i="3" s="1"/>
  <c r="AG621" i="1"/>
  <c r="AG619" i="1"/>
  <c r="AC619" i="1" s="1"/>
  <c r="C621" i="3" s="1"/>
  <c r="AG617" i="1"/>
  <c r="AG615" i="1"/>
  <c r="AC615" i="1" s="1"/>
  <c r="C617" i="3" s="1"/>
  <c r="AG613" i="1"/>
  <c r="AG611" i="1"/>
  <c r="AC611" i="1" s="1"/>
  <c r="C613" i="3" s="1"/>
  <c r="AG609" i="1"/>
  <c r="AG607" i="1"/>
  <c r="AC607" i="1" s="1"/>
  <c r="C609" i="3" s="1"/>
  <c r="AG605" i="1"/>
  <c r="AG603" i="1"/>
  <c r="AC603" i="1" s="1"/>
  <c r="C605" i="3" s="1"/>
  <c r="AG601" i="1"/>
  <c r="AG599" i="1"/>
  <c r="AC599" i="1" s="1"/>
  <c r="C601" i="3" s="1"/>
  <c r="AG597" i="1"/>
  <c r="AG595" i="1"/>
  <c r="AC595" i="1" s="1"/>
  <c r="C597" i="3" s="1"/>
  <c r="AG593" i="1"/>
  <c r="AG591" i="1"/>
  <c r="AC591" i="1" s="1"/>
  <c r="C593" i="3" s="1"/>
  <c r="AG589" i="1"/>
  <c r="AG587" i="1"/>
  <c r="AC587" i="1" s="1"/>
  <c r="C589" i="3" s="1"/>
  <c r="AG585" i="1"/>
  <c r="AG583" i="1"/>
  <c r="AC583" i="1" s="1"/>
  <c r="C585" i="3" s="1"/>
  <c r="AG581" i="1"/>
  <c r="AG579" i="1"/>
  <c r="AC579" i="1" s="1"/>
  <c r="C581" i="3" s="1"/>
  <c r="AG577" i="1"/>
  <c r="AG381" i="1"/>
  <c r="AD381" i="1" s="1"/>
  <c r="D383" i="3" s="1"/>
  <c r="AG379" i="1"/>
  <c r="AD379" i="1" s="1"/>
  <c r="D381" i="3" s="1"/>
  <c r="AG377" i="1"/>
  <c r="AD377" i="1" s="1"/>
  <c r="D379" i="3" s="1"/>
  <c r="AG375" i="1"/>
  <c r="AD375" i="1" s="1"/>
  <c r="D377" i="3" s="1"/>
  <c r="AG373" i="1"/>
  <c r="AD373" i="1" s="1"/>
  <c r="D375" i="3" s="1"/>
  <c r="AG371" i="1"/>
  <c r="AD371" i="1" s="1"/>
  <c r="D373" i="3" s="1"/>
  <c r="AG369" i="1"/>
  <c r="AD369" i="1" s="1"/>
  <c r="D371" i="3" s="1"/>
  <c r="AG367" i="1"/>
  <c r="AD367" i="1" s="1"/>
  <c r="D369" i="3" s="1"/>
  <c r="AG365" i="1"/>
  <c r="AD365" i="1" s="1"/>
  <c r="D367" i="3" s="1"/>
  <c r="AG363" i="1"/>
  <c r="AD363" i="1" s="1"/>
  <c r="D365" i="3" s="1"/>
  <c r="AG361" i="1"/>
  <c r="AD361" i="1" s="1"/>
  <c r="D363" i="3" s="1"/>
  <c r="AG359" i="1"/>
  <c r="AD359" i="1" s="1"/>
  <c r="D361" i="3" s="1"/>
  <c r="AG357" i="1"/>
  <c r="AD357" i="1" s="1"/>
  <c r="D359" i="3" s="1"/>
  <c r="AG355" i="1"/>
  <c r="AD355" i="1" s="1"/>
  <c r="D357" i="3" s="1"/>
  <c r="AG353" i="1"/>
  <c r="AD353" i="1" s="1"/>
  <c r="D355" i="3" s="1"/>
  <c r="AG351" i="1"/>
  <c r="AD351" i="1" s="1"/>
  <c r="D353" i="3" s="1"/>
  <c r="AG349" i="1"/>
  <c r="AD349" i="1" s="1"/>
  <c r="D351" i="3" s="1"/>
  <c r="AG347" i="1"/>
  <c r="AD347" i="1" s="1"/>
  <c r="D349" i="3" s="1"/>
  <c r="AG345" i="1"/>
  <c r="AD345" i="1" s="1"/>
  <c r="D347" i="3" s="1"/>
  <c r="AG343" i="1"/>
  <c r="AD343" i="1" s="1"/>
  <c r="D345" i="3" s="1"/>
  <c r="AG341" i="1"/>
  <c r="AD341" i="1" s="1"/>
  <c r="D343" i="3" s="1"/>
  <c r="AG339" i="1"/>
  <c r="AD339" i="1" s="1"/>
  <c r="D341" i="3" s="1"/>
  <c r="AG337" i="1"/>
  <c r="AD337" i="1" s="1"/>
  <c r="D339" i="3" s="1"/>
  <c r="AG335" i="1"/>
  <c r="AD335" i="1" s="1"/>
  <c r="D337" i="3" s="1"/>
  <c r="AG333" i="1"/>
  <c r="AD333" i="1" s="1"/>
  <c r="D335" i="3" s="1"/>
  <c r="AG331" i="1"/>
  <c r="AD331" i="1" s="1"/>
  <c r="D333" i="3" s="1"/>
  <c r="AG329" i="1"/>
  <c r="AD329" i="1" s="1"/>
  <c r="D331" i="3" s="1"/>
  <c r="AG327" i="1"/>
  <c r="AD327" i="1" s="1"/>
  <c r="D329" i="3" s="1"/>
  <c r="AG325" i="1"/>
  <c r="AD325" i="1" s="1"/>
  <c r="D327" i="3" s="1"/>
  <c r="AG324" i="1"/>
  <c r="AD324" i="1" s="1"/>
  <c r="D326" i="3" s="1"/>
  <c r="AG323" i="1"/>
  <c r="AD323" i="1" s="1"/>
  <c r="D325" i="3" s="1"/>
  <c r="AG321" i="1"/>
  <c r="AD321" i="1" s="1"/>
  <c r="D323" i="3" s="1"/>
  <c r="AG320" i="1"/>
  <c r="AD320" i="1" s="1"/>
  <c r="D322" i="3" s="1"/>
  <c r="AG319" i="1"/>
  <c r="AD319" i="1" s="1"/>
  <c r="D321" i="3" s="1"/>
  <c r="AG318" i="1"/>
  <c r="AD318" i="1" s="1"/>
  <c r="D320" i="3" s="1"/>
  <c r="AG317" i="1"/>
  <c r="AD317" i="1" s="1"/>
  <c r="D319" i="3" s="1"/>
  <c r="AG316" i="1"/>
  <c r="AD316" i="1" s="1"/>
  <c r="D318" i="3" s="1"/>
  <c r="AG315" i="1"/>
  <c r="AD315" i="1" s="1"/>
  <c r="D317" i="3" s="1"/>
  <c r="AG314" i="1"/>
  <c r="AD314" i="1" s="1"/>
  <c r="D316" i="3" s="1"/>
  <c r="AG313" i="1"/>
  <c r="AD313" i="1" s="1"/>
  <c r="D315" i="3" s="1"/>
  <c r="AG312" i="1"/>
  <c r="AD312" i="1" s="1"/>
  <c r="D314" i="3" s="1"/>
  <c r="AG311" i="1"/>
  <c r="AD311" i="1" s="1"/>
  <c r="D313" i="3" s="1"/>
  <c r="AG310" i="1"/>
  <c r="AD310" i="1" s="1"/>
  <c r="D312" i="3" s="1"/>
  <c r="AG309" i="1"/>
  <c r="AD309" i="1" s="1"/>
  <c r="D311" i="3" s="1"/>
  <c r="AG308" i="1"/>
  <c r="AD308" i="1" s="1"/>
  <c r="D310" i="3" s="1"/>
  <c r="AG307" i="1"/>
  <c r="AD307" i="1" s="1"/>
  <c r="D309" i="3" s="1"/>
  <c r="AG306" i="1"/>
  <c r="AD306" i="1" s="1"/>
  <c r="D308" i="3" s="1"/>
  <c r="AG305" i="1"/>
  <c r="AD305" i="1" s="1"/>
  <c r="D307" i="3" s="1"/>
  <c r="AG304" i="1"/>
  <c r="AD304" i="1" s="1"/>
  <c r="D306" i="3" s="1"/>
  <c r="AG303" i="1"/>
  <c r="AD303" i="1" s="1"/>
  <c r="D305" i="3" s="1"/>
  <c r="AG302" i="1"/>
  <c r="AD302" i="1" s="1"/>
  <c r="D304" i="3" s="1"/>
  <c r="AG301" i="1"/>
  <c r="AD301" i="1" s="1"/>
  <c r="D303" i="3" s="1"/>
  <c r="AG300" i="1"/>
  <c r="AD300" i="1" s="1"/>
  <c r="D302" i="3" s="1"/>
  <c r="AG299" i="1"/>
  <c r="AD299" i="1" s="1"/>
  <c r="D301" i="3" s="1"/>
  <c r="AG298" i="1"/>
  <c r="AD298" i="1" s="1"/>
  <c r="D300" i="3" s="1"/>
  <c r="AG297" i="1"/>
  <c r="AD297" i="1" s="1"/>
  <c r="D299" i="3" s="1"/>
  <c r="AG296" i="1"/>
  <c r="AD296" i="1" s="1"/>
  <c r="D298" i="3" s="1"/>
  <c r="AG295" i="1"/>
  <c r="AD295" i="1" s="1"/>
  <c r="D297" i="3" s="1"/>
  <c r="AG294" i="1"/>
  <c r="AD294" i="1" s="1"/>
  <c r="D296" i="3" s="1"/>
  <c r="AG293" i="1"/>
  <c r="AD293" i="1" s="1"/>
  <c r="D295" i="3" s="1"/>
  <c r="AG292" i="1"/>
  <c r="AD292" i="1" s="1"/>
  <c r="D294" i="3" s="1"/>
  <c r="AG291" i="1"/>
  <c r="AD291" i="1" s="1"/>
  <c r="D293" i="3" s="1"/>
  <c r="AG290" i="1"/>
  <c r="AD290" i="1" s="1"/>
  <c r="D292" i="3" s="1"/>
  <c r="AG289" i="1"/>
  <c r="AD289" i="1" s="1"/>
  <c r="D291" i="3" s="1"/>
  <c r="AG288" i="1"/>
  <c r="AD288" i="1" s="1"/>
  <c r="D290" i="3" s="1"/>
  <c r="AG287" i="1"/>
  <c r="AC287" i="1" s="1"/>
  <c r="C289" i="3" s="1"/>
  <c r="AG286" i="1"/>
  <c r="AC286" i="1" s="1"/>
  <c r="C288" i="3" s="1"/>
  <c r="AG285" i="1"/>
  <c r="AC285" i="1" s="1"/>
  <c r="C287" i="3" s="1"/>
  <c r="AG284" i="1"/>
  <c r="AC284" i="1" s="1"/>
  <c r="C286" i="3" s="1"/>
  <c r="AG283" i="1"/>
  <c r="AC283" i="1" s="1"/>
  <c r="C285" i="3" s="1"/>
  <c r="AG282" i="1"/>
  <c r="AC282" i="1" s="1"/>
  <c r="C284" i="3" s="1"/>
  <c r="AG281" i="1"/>
  <c r="AC281" i="1" s="1"/>
  <c r="C283" i="3" s="1"/>
  <c r="AG280" i="1"/>
  <c r="AC280" i="1" s="1"/>
  <c r="C282" i="3" s="1"/>
  <c r="AG279" i="1"/>
  <c r="AC279" i="1" s="1"/>
  <c r="C281" i="3" s="1"/>
  <c r="AG278" i="1"/>
  <c r="AC278" i="1" s="1"/>
  <c r="C280" i="3" s="1"/>
  <c r="AG277" i="1"/>
  <c r="AC277" i="1" s="1"/>
  <c r="C279" i="3" s="1"/>
  <c r="AG276" i="1"/>
  <c r="AC276" i="1" s="1"/>
  <c r="C278" i="3" s="1"/>
  <c r="AG275" i="1"/>
  <c r="AC275" i="1" s="1"/>
  <c r="C277" i="3" s="1"/>
  <c r="AG274" i="1"/>
  <c r="AC274" i="1" s="1"/>
  <c r="C276" i="3" s="1"/>
  <c r="AG273" i="1"/>
  <c r="AC273" i="1" s="1"/>
  <c r="C275" i="3" s="1"/>
  <c r="AG272" i="1"/>
  <c r="AC272" i="1" s="1"/>
  <c r="C274" i="3" s="1"/>
  <c r="AG271" i="1"/>
  <c r="AC271" i="1" s="1"/>
  <c r="C273" i="3" s="1"/>
  <c r="AG270" i="1"/>
  <c r="AC270" i="1" s="1"/>
  <c r="C272" i="3" s="1"/>
  <c r="AG269" i="1"/>
  <c r="AC269" i="1" s="1"/>
  <c r="C271" i="3" s="1"/>
  <c r="AG268" i="1"/>
  <c r="AC268" i="1" s="1"/>
  <c r="C270" i="3" s="1"/>
  <c r="AG267" i="1"/>
  <c r="AC267" i="1" s="1"/>
  <c r="C269" i="3" s="1"/>
  <c r="AG266" i="1"/>
  <c r="AC266" i="1" s="1"/>
  <c r="C268" i="3" s="1"/>
  <c r="AG265" i="1"/>
  <c r="AC265" i="1" s="1"/>
  <c r="C267" i="3" s="1"/>
  <c r="AG264" i="1"/>
  <c r="AC264" i="1" s="1"/>
  <c r="C266" i="3" s="1"/>
  <c r="AG263" i="1"/>
  <c r="AC263" i="1" s="1"/>
  <c r="C265" i="3" s="1"/>
  <c r="AG262" i="1"/>
  <c r="AC262" i="1" s="1"/>
  <c r="C264" i="3" s="1"/>
  <c r="AG261" i="1"/>
  <c r="AC261" i="1" s="1"/>
  <c r="C263" i="3" s="1"/>
  <c r="AG260" i="1"/>
  <c r="AC260" i="1" s="1"/>
  <c r="C262" i="3" s="1"/>
  <c r="AG259" i="1"/>
  <c r="AC259" i="1" s="1"/>
  <c r="C261" i="3" s="1"/>
  <c r="AG258" i="1"/>
  <c r="AC258" i="1" s="1"/>
  <c r="C260" i="3" s="1"/>
  <c r="AG257" i="1"/>
  <c r="AC257" i="1" s="1"/>
  <c r="C259" i="3" s="1"/>
  <c r="AG256" i="1"/>
  <c r="AC256" i="1" s="1"/>
  <c r="C258" i="3" s="1"/>
  <c r="AG255" i="1"/>
  <c r="AC255" i="1" s="1"/>
  <c r="C257" i="3" s="1"/>
  <c r="AG254" i="1"/>
  <c r="AC254" i="1" s="1"/>
  <c r="C256" i="3" s="1"/>
  <c r="AG253" i="1"/>
  <c r="AC253" i="1" s="1"/>
  <c r="C255" i="3" s="1"/>
  <c r="AG252" i="1"/>
  <c r="AC252" i="1" s="1"/>
  <c r="C254" i="3" s="1"/>
  <c r="AG251" i="1"/>
  <c r="AC251" i="1" s="1"/>
  <c r="C253" i="3" s="1"/>
  <c r="AG250" i="1"/>
  <c r="AC250" i="1" s="1"/>
  <c r="C252" i="3" s="1"/>
  <c r="AG249" i="1"/>
  <c r="AC249" i="1" s="1"/>
  <c r="C251" i="3" s="1"/>
  <c r="AG248" i="1"/>
  <c r="AC248" i="1" s="1"/>
  <c r="C250" i="3" s="1"/>
  <c r="AG247" i="1"/>
  <c r="AC247" i="1" s="1"/>
  <c r="C249" i="3" s="1"/>
  <c r="AG246" i="1"/>
  <c r="AC246" i="1" s="1"/>
  <c r="C248" i="3" s="1"/>
  <c r="AG245" i="1"/>
  <c r="AC245" i="1" s="1"/>
  <c r="C247" i="3" s="1"/>
  <c r="AG244" i="1"/>
  <c r="AC244" i="1" s="1"/>
  <c r="C246" i="3" s="1"/>
  <c r="AG243" i="1"/>
  <c r="AC243" i="1" s="1"/>
  <c r="C245" i="3" s="1"/>
  <c r="AG242" i="1"/>
  <c r="AC242" i="1" s="1"/>
  <c r="C244" i="3" s="1"/>
  <c r="AG241" i="1"/>
  <c r="AC241" i="1" s="1"/>
  <c r="C243" i="3" s="1"/>
  <c r="AG240" i="1"/>
  <c r="AC240" i="1" s="1"/>
  <c r="C242" i="3" s="1"/>
  <c r="AG239" i="1"/>
  <c r="AC239" i="1" s="1"/>
  <c r="C241" i="3" s="1"/>
  <c r="AG238" i="1"/>
  <c r="AC238" i="1" s="1"/>
  <c r="C240" i="3" s="1"/>
  <c r="AG237" i="1"/>
  <c r="AC237" i="1" s="1"/>
  <c r="C239" i="3" s="1"/>
  <c r="AG236" i="1"/>
  <c r="AC236" i="1" s="1"/>
  <c r="C238" i="3" s="1"/>
  <c r="AG235" i="1"/>
  <c r="AC235" i="1" s="1"/>
  <c r="C237" i="3" s="1"/>
  <c r="AG234" i="1"/>
  <c r="AC234" i="1" s="1"/>
  <c r="C236" i="3" s="1"/>
  <c r="AG233" i="1"/>
  <c r="AC233" i="1" s="1"/>
  <c r="C235" i="3" s="1"/>
  <c r="AG232" i="1"/>
  <c r="AC232" i="1" s="1"/>
  <c r="C234" i="3" s="1"/>
  <c r="AG231" i="1"/>
  <c r="AC231" i="1" s="1"/>
  <c r="C233" i="3" s="1"/>
  <c r="AG230" i="1"/>
  <c r="AC230" i="1" s="1"/>
  <c r="C232" i="3" s="1"/>
  <c r="AG229" i="1"/>
  <c r="AC229" i="1" s="1"/>
  <c r="C231" i="3" s="1"/>
  <c r="AG228" i="1"/>
  <c r="AC228" i="1" s="1"/>
  <c r="C230" i="3" s="1"/>
  <c r="AG227" i="1"/>
  <c r="AC227" i="1" s="1"/>
  <c r="C229" i="3" s="1"/>
  <c r="AG226" i="1"/>
  <c r="AC226" i="1" s="1"/>
  <c r="C228" i="3" s="1"/>
  <c r="AG225" i="1"/>
  <c r="AC225" i="1" s="1"/>
  <c r="C227" i="3" s="1"/>
  <c r="AG224" i="1"/>
  <c r="AC224" i="1" s="1"/>
  <c r="C226" i="3" s="1"/>
  <c r="AG223" i="1"/>
  <c r="AC223" i="1" s="1"/>
  <c r="C225" i="3" s="1"/>
  <c r="AG222" i="1"/>
  <c r="AC222" i="1" s="1"/>
  <c r="C224" i="3" s="1"/>
  <c r="AG221" i="1"/>
  <c r="AC221" i="1" s="1"/>
  <c r="C223" i="3" s="1"/>
  <c r="AG220" i="1"/>
  <c r="AC220" i="1" s="1"/>
  <c r="C222" i="3" s="1"/>
  <c r="AG219" i="1"/>
  <c r="AC219" i="1" s="1"/>
  <c r="C221" i="3" s="1"/>
  <c r="AG218" i="1"/>
  <c r="AC218" i="1" s="1"/>
  <c r="C220" i="3" s="1"/>
  <c r="AG217" i="1"/>
  <c r="AC217" i="1" s="1"/>
  <c r="C219" i="3" s="1"/>
  <c r="AG216" i="1"/>
  <c r="AC216" i="1" s="1"/>
  <c r="C218" i="3" s="1"/>
  <c r="AG215" i="1"/>
  <c r="AC215" i="1" s="1"/>
  <c r="C217" i="3" s="1"/>
  <c r="AG214" i="1"/>
  <c r="AC214" i="1" s="1"/>
  <c r="C216" i="3" s="1"/>
  <c r="AG213" i="1"/>
  <c r="AC213" i="1" s="1"/>
  <c r="C215" i="3" s="1"/>
  <c r="AG212" i="1"/>
  <c r="AC212" i="1" s="1"/>
  <c r="C214" i="3" s="1"/>
  <c r="AG211" i="1"/>
  <c r="AC211" i="1" s="1"/>
  <c r="C213" i="3" s="1"/>
  <c r="AG210" i="1"/>
  <c r="AC210" i="1" s="1"/>
  <c r="C212" i="3" s="1"/>
  <c r="AG209" i="1"/>
  <c r="AC209" i="1" s="1"/>
  <c r="C211" i="3" s="1"/>
  <c r="AG208" i="1"/>
  <c r="AC208" i="1" s="1"/>
  <c r="C210" i="3" s="1"/>
  <c r="AG207" i="1"/>
  <c r="AC207" i="1" s="1"/>
  <c r="C209" i="3" s="1"/>
  <c r="AG206" i="1"/>
  <c r="AC206" i="1" s="1"/>
  <c r="C208" i="3" s="1"/>
  <c r="AG205" i="1"/>
  <c r="AC205" i="1" s="1"/>
  <c r="C207" i="3" s="1"/>
  <c r="AG204" i="1"/>
  <c r="AC204" i="1" s="1"/>
  <c r="C206" i="3" s="1"/>
  <c r="AG203" i="1"/>
  <c r="AC203" i="1" s="1"/>
  <c r="C205" i="3" s="1"/>
  <c r="AG202" i="1"/>
  <c r="AC202" i="1" s="1"/>
  <c r="C204" i="3" s="1"/>
  <c r="AG201" i="1"/>
  <c r="AC201" i="1" s="1"/>
  <c r="C203" i="3" s="1"/>
  <c r="AG200" i="1"/>
  <c r="AC200" i="1" s="1"/>
  <c r="C202" i="3" s="1"/>
  <c r="AG199" i="1"/>
  <c r="AC199" i="1" s="1"/>
  <c r="C201" i="3" s="1"/>
  <c r="AG198" i="1"/>
  <c r="AC198" i="1" s="1"/>
  <c r="C200" i="3" s="1"/>
  <c r="AG197" i="1"/>
  <c r="AC197" i="1" s="1"/>
  <c r="C199" i="3" s="1"/>
  <c r="AG196" i="1"/>
  <c r="AC196" i="1" s="1"/>
  <c r="C198" i="3" s="1"/>
  <c r="AG195" i="1"/>
  <c r="AC195" i="1" s="1"/>
  <c r="C197" i="3" s="1"/>
  <c r="AG194" i="1"/>
  <c r="AC194" i="1" s="1"/>
  <c r="C196" i="3" s="1"/>
  <c r="AG193" i="1"/>
  <c r="AC193" i="1" s="1"/>
  <c r="C195" i="3" s="1"/>
  <c r="AG192" i="1"/>
  <c r="AC192" i="1" s="1"/>
  <c r="C194" i="3" s="1"/>
  <c r="AG191" i="1"/>
  <c r="AC191" i="1" s="1"/>
  <c r="C193" i="3" s="1"/>
  <c r="AG190" i="1"/>
  <c r="AC190" i="1" s="1"/>
  <c r="C192" i="3" s="1"/>
  <c r="AG189" i="1"/>
  <c r="AC189" i="1" s="1"/>
  <c r="C191" i="3" s="1"/>
  <c r="AG188" i="1"/>
  <c r="AC188" i="1" s="1"/>
  <c r="C190" i="3" s="1"/>
  <c r="AG187" i="1"/>
  <c r="AC187" i="1" s="1"/>
  <c r="C189" i="3" s="1"/>
  <c r="AG186" i="1"/>
  <c r="AC186" i="1" s="1"/>
  <c r="C188" i="3" s="1"/>
  <c r="AG185" i="1"/>
  <c r="AC185" i="1" s="1"/>
  <c r="C187" i="3" s="1"/>
  <c r="AG184" i="1"/>
  <c r="AC184" i="1" s="1"/>
  <c r="C186" i="3" s="1"/>
  <c r="AG183" i="1"/>
  <c r="AC183" i="1" s="1"/>
  <c r="C185" i="3" s="1"/>
  <c r="AG182" i="1"/>
  <c r="AC182" i="1" s="1"/>
  <c r="C184" i="3" s="1"/>
  <c r="AG181" i="1"/>
  <c r="AC181" i="1" s="1"/>
  <c r="C183" i="3" s="1"/>
  <c r="AG180" i="1"/>
  <c r="AC180" i="1" s="1"/>
  <c r="C182" i="3" s="1"/>
  <c r="AG179" i="1"/>
  <c r="AC179" i="1" s="1"/>
  <c r="C181" i="3" s="1"/>
  <c r="AG178" i="1"/>
  <c r="AC178" i="1" s="1"/>
  <c r="C180" i="3" s="1"/>
  <c r="AG177" i="1"/>
  <c r="AC177" i="1" s="1"/>
  <c r="C179" i="3" s="1"/>
  <c r="AG176" i="1"/>
  <c r="AC176" i="1" s="1"/>
  <c r="C178" i="3" s="1"/>
  <c r="AG175" i="1"/>
  <c r="AC175" i="1" s="1"/>
  <c r="C177" i="3" s="1"/>
  <c r="AG174" i="1"/>
  <c r="AC174" i="1" s="1"/>
  <c r="C176" i="3" s="1"/>
  <c r="AC430" i="1"/>
  <c r="C432" i="3" s="1"/>
  <c r="AC428" i="1"/>
  <c r="C430" i="3" s="1"/>
  <c r="AC426" i="1"/>
  <c r="C428" i="3" s="1"/>
  <c r="AC424" i="1"/>
  <c r="C426" i="3" s="1"/>
  <c r="AC422" i="1"/>
  <c r="C424" i="3" s="1"/>
  <c r="AC420" i="1"/>
  <c r="C422" i="3" s="1"/>
  <c r="AC418" i="1"/>
  <c r="C420" i="3" s="1"/>
  <c r="AC416" i="1"/>
  <c r="C418" i="3" s="1"/>
  <c r="AC414" i="1"/>
  <c r="C416" i="3" s="1"/>
  <c r="AC412" i="1"/>
  <c r="C414" i="3" s="1"/>
  <c r="AC410" i="1"/>
  <c r="C412" i="3" s="1"/>
  <c r="AC408" i="1"/>
  <c r="C410" i="3" s="1"/>
  <c r="AC406" i="1"/>
  <c r="C408" i="3" s="1"/>
  <c r="AC404" i="1"/>
  <c r="C406" i="3" s="1"/>
  <c r="AC402" i="1"/>
  <c r="C404" i="3" s="1"/>
  <c r="AC400" i="1"/>
  <c r="C402" i="3" s="1"/>
  <c r="AC398" i="1"/>
  <c r="C400" i="3" s="1"/>
  <c r="AC396" i="1"/>
  <c r="C398" i="3" s="1"/>
  <c r="AC394" i="1"/>
  <c r="C396" i="3" s="1"/>
  <c r="AC392" i="1"/>
  <c r="C394" i="3" s="1"/>
  <c r="AC390" i="1"/>
  <c r="C392" i="3" s="1"/>
  <c r="AC388" i="1"/>
  <c r="C390" i="3" s="1"/>
  <c r="AC386" i="1"/>
  <c r="C388" i="3" s="1"/>
  <c r="AC384" i="1"/>
  <c r="C386" i="3" s="1"/>
  <c r="AG382" i="1"/>
  <c r="AC382" i="1" s="1"/>
  <c r="C384" i="3" s="1"/>
  <c r="AG380" i="1"/>
  <c r="AD380" i="1" s="1"/>
  <c r="D382" i="3" s="1"/>
  <c r="AG378" i="1"/>
  <c r="AD378" i="1" s="1"/>
  <c r="D380" i="3" s="1"/>
  <c r="AG376" i="1"/>
  <c r="AD376" i="1" s="1"/>
  <c r="D378" i="3" s="1"/>
  <c r="AG374" i="1"/>
  <c r="AD374" i="1" s="1"/>
  <c r="D376" i="3" s="1"/>
  <c r="AG372" i="1"/>
  <c r="AC372" i="1" s="1"/>
  <c r="C374" i="3" s="1"/>
  <c r="AG370" i="1"/>
  <c r="AD370" i="1" s="1"/>
  <c r="D372" i="3" s="1"/>
  <c r="AG368" i="1"/>
  <c r="AD368" i="1" s="1"/>
  <c r="D370" i="3" s="1"/>
  <c r="AG366" i="1"/>
  <c r="AD366" i="1" s="1"/>
  <c r="D368" i="3" s="1"/>
  <c r="AG364" i="1"/>
  <c r="AC364" i="1" s="1"/>
  <c r="C366" i="3" s="1"/>
  <c r="AG362" i="1"/>
  <c r="AD362" i="1" s="1"/>
  <c r="D364" i="3" s="1"/>
  <c r="AG360" i="1"/>
  <c r="AD360" i="1" s="1"/>
  <c r="D362" i="3" s="1"/>
  <c r="AG358" i="1"/>
  <c r="AD358" i="1" s="1"/>
  <c r="D360" i="3" s="1"/>
  <c r="AG356" i="1"/>
  <c r="AC356" i="1" s="1"/>
  <c r="C358" i="3" s="1"/>
  <c r="AG354" i="1"/>
  <c r="AD354" i="1" s="1"/>
  <c r="D356" i="3" s="1"/>
  <c r="AG352" i="1"/>
  <c r="AD352" i="1" s="1"/>
  <c r="D354" i="3" s="1"/>
  <c r="AG350" i="1"/>
  <c r="AD350" i="1" s="1"/>
  <c r="D352" i="3" s="1"/>
  <c r="AG348" i="1"/>
  <c r="AC348" i="1" s="1"/>
  <c r="C350" i="3" s="1"/>
  <c r="AG346" i="1"/>
  <c r="AD346" i="1" s="1"/>
  <c r="D348" i="3" s="1"/>
  <c r="AG344" i="1"/>
  <c r="AD344" i="1" s="1"/>
  <c r="D346" i="3" s="1"/>
  <c r="AG342" i="1"/>
  <c r="AD342" i="1" s="1"/>
  <c r="D344" i="3" s="1"/>
  <c r="AG340" i="1"/>
  <c r="AC340" i="1" s="1"/>
  <c r="C342" i="3" s="1"/>
  <c r="AG338" i="1"/>
  <c r="AD338" i="1" s="1"/>
  <c r="D340" i="3" s="1"/>
  <c r="AG336" i="1"/>
  <c r="AD336" i="1" s="1"/>
  <c r="D338" i="3" s="1"/>
  <c r="AG334" i="1"/>
  <c r="AD334" i="1" s="1"/>
  <c r="D336" i="3" s="1"/>
  <c r="AG332" i="1"/>
  <c r="AC332" i="1" s="1"/>
  <c r="C334" i="3" s="1"/>
  <c r="AG330" i="1"/>
  <c r="AD330" i="1" s="1"/>
  <c r="D332" i="3" s="1"/>
  <c r="AG328" i="1"/>
  <c r="AD328" i="1" s="1"/>
  <c r="D330" i="3" s="1"/>
  <c r="AG326" i="1"/>
  <c r="AD326" i="1" s="1"/>
  <c r="D328" i="3" s="1"/>
  <c r="AG322" i="1"/>
  <c r="AC322" i="1" s="1"/>
  <c r="C324" i="3" s="1"/>
  <c r="AG666" i="1"/>
  <c r="AC666" i="1" s="1"/>
  <c r="C668" i="3" s="1"/>
  <c r="AG664" i="1"/>
  <c r="AC664" i="1" s="1"/>
  <c r="C666" i="3" s="1"/>
  <c r="AG662" i="1"/>
  <c r="AC662" i="1" s="1"/>
  <c r="C664" i="3" s="1"/>
  <c r="AG660" i="1"/>
  <c r="AC660" i="1" s="1"/>
  <c r="C662" i="3" s="1"/>
  <c r="AG658" i="1"/>
  <c r="AC658" i="1" s="1"/>
  <c r="C660" i="3" s="1"/>
  <c r="AG656" i="1"/>
  <c r="AC656" i="1" s="1"/>
  <c r="C658" i="3" s="1"/>
  <c r="AG654" i="1"/>
  <c r="AC654" i="1" s="1"/>
  <c r="C656" i="3" s="1"/>
  <c r="AG652" i="1"/>
  <c r="AC652" i="1" s="1"/>
  <c r="C654" i="3" s="1"/>
  <c r="AG650" i="1"/>
  <c r="AC650" i="1" s="1"/>
  <c r="C652" i="3" s="1"/>
  <c r="AG648" i="1"/>
  <c r="AC648" i="1" s="1"/>
  <c r="C650" i="3" s="1"/>
  <c r="AG646" i="1"/>
  <c r="AC646" i="1" s="1"/>
  <c r="C648" i="3" s="1"/>
  <c r="AG644" i="1"/>
  <c r="AC644" i="1" s="1"/>
  <c r="C646" i="3" s="1"/>
  <c r="AG642" i="1"/>
  <c r="AC642" i="1" s="1"/>
  <c r="C644" i="3" s="1"/>
  <c r="AG640" i="1"/>
  <c r="AC640" i="1" s="1"/>
  <c r="C642" i="3" s="1"/>
  <c r="AG638" i="1"/>
  <c r="AC638" i="1" s="1"/>
  <c r="C640" i="3" s="1"/>
  <c r="AG636" i="1"/>
  <c r="AC636" i="1" s="1"/>
  <c r="C638" i="3" s="1"/>
  <c r="AG634" i="1"/>
  <c r="AC634" i="1" s="1"/>
  <c r="C636" i="3" s="1"/>
  <c r="AG632" i="1"/>
  <c r="AC632" i="1" s="1"/>
  <c r="C634" i="3" s="1"/>
  <c r="AG630" i="1"/>
  <c r="AC630" i="1" s="1"/>
  <c r="C632" i="3" s="1"/>
  <c r="AG628" i="1"/>
  <c r="AC628" i="1" s="1"/>
  <c r="C630" i="3" s="1"/>
  <c r="AG626" i="1"/>
  <c r="AC626" i="1" s="1"/>
  <c r="C628" i="3" s="1"/>
  <c r="AG624" i="1"/>
  <c r="AC624" i="1" s="1"/>
  <c r="C626" i="3" s="1"/>
  <c r="AG622" i="1"/>
  <c r="AC622" i="1" s="1"/>
  <c r="C624" i="3" s="1"/>
  <c r="AG620" i="1"/>
  <c r="AC620" i="1" s="1"/>
  <c r="C622" i="3" s="1"/>
  <c r="AG618" i="1"/>
  <c r="AC618" i="1" s="1"/>
  <c r="C620" i="3" s="1"/>
  <c r="AG616" i="1"/>
  <c r="AC616" i="1" s="1"/>
  <c r="C618" i="3" s="1"/>
  <c r="AG614" i="1"/>
  <c r="AC614" i="1" s="1"/>
  <c r="C616" i="3" s="1"/>
  <c r="AG612" i="1"/>
  <c r="AC612" i="1" s="1"/>
  <c r="C614" i="3" s="1"/>
  <c r="AG610" i="1"/>
  <c r="AC610" i="1" s="1"/>
  <c r="C612" i="3" s="1"/>
  <c r="AG608" i="1"/>
  <c r="AC608" i="1" s="1"/>
  <c r="C610" i="3" s="1"/>
  <c r="AG606" i="1"/>
  <c r="AC606" i="1" s="1"/>
  <c r="C608" i="3" s="1"/>
  <c r="AG604" i="1"/>
  <c r="AC604" i="1" s="1"/>
  <c r="C606" i="3" s="1"/>
  <c r="AG602" i="1"/>
  <c r="AC602" i="1" s="1"/>
  <c r="C604" i="3" s="1"/>
  <c r="AG600" i="1"/>
  <c r="AC600" i="1" s="1"/>
  <c r="C602" i="3" s="1"/>
  <c r="AG598" i="1"/>
  <c r="AC598" i="1" s="1"/>
  <c r="C600" i="3" s="1"/>
  <c r="AG596" i="1"/>
  <c r="AC596" i="1" s="1"/>
  <c r="C598" i="3" s="1"/>
  <c r="AG594" i="1"/>
  <c r="AC594" i="1" s="1"/>
  <c r="C596" i="3" s="1"/>
  <c r="AG592" i="1"/>
  <c r="AC592" i="1" s="1"/>
  <c r="C594" i="3" s="1"/>
  <c r="AG590" i="1"/>
  <c r="AC590" i="1" s="1"/>
  <c r="C592" i="3" s="1"/>
  <c r="AG588" i="1"/>
  <c r="AC588" i="1" s="1"/>
  <c r="C590" i="3" s="1"/>
  <c r="AG586" i="1"/>
  <c r="AC586" i="1" s="1"/>
  <c r="C588" i="3" s="1"/>
  <c r="AG584" i="1"/>
  <c r="AC584" i="1" s="1"/>
  <c r="C586" i="3" s="1"/>
  <c r="AG582" i="1"/>
  <c r="AC582" i="1" s="1"/>
  <c r="C584" i="3" s="1"/>
  <c r="AG580" i="1"/>
  <c r="AC580" i="1" s="1"/>
  <c r="C582" i="3" s="1"/>
  <c r="AG578" i="1"/>
  <c r="AC578" i="1" s="1"/>
  <c r="C580" i="3" s="1"/>
  <c r="AG576" i="1"/>
  <c r="AC576" i="1" s="1"/>
  <c r="C578" i="3" s="1"/>
  <c r="AD432" i="1"/>
  <c r="D434" i="3" s="1"/>
  <c r="AG431" i="1"/>
  <c r="AD431" i="1" s="1"/>
  <c r="D433" i="3" s="1"/>
  <c r="AD430" i="1"/>
  <c r="D432" i="3" s="1"/>
  <c r="AG429" i="1"/>
  <c r="AD429" i="1" s="1"/>
  <c r="D431" i="3" s="1"/>
  <c r="AD428" i="1"/>
  <c r="D430" i="3" s="1"/>
  <c r="AG427" i="1"/>
  <c r="AD427" i="1" s="1"/>
  <c r="D429" i="3" s="1"/>
  <c r="AD426" i="1"/>
  <c r="D428" i="3" s="1"/>
  <c r="AG425" i="1"/>
  <c r="AD425" i="1" s="1"/>
  <c r="D427" i="3" s="1"/>
  <c r="AD424" i="1"/>
  <c r="D426" i="3" s="1"/>
  <c r="AG423" i="1"/>
  <c r="AD423" i="1" s="1"/>
  <c r="D425" i="3" s="1"/>
  <c r="AD422" i="1"/>
  <c r="D424" i="3" s="1"/>
  <c r="AG421" i="1"/>
  <c r="AD421" i="1" s="1"/>
  <c r="D423" i="3" s="1"/>
  <c r="AD420" i="1"/>
  <c r="D422" i="3" s="1"/>
  <c r="AG419" i="1"/>
  <c r="AD419" i="1" s="1"/>
  <c r="D421" i="3" s="1"/>
  <c r="AD418" i="1"/>
  <c r="D420" i="3" s="1"/>
  <c r="AG417" i="1"/>
  <c r="AD417" i="1" s="1"/>
  <c r="D419" i="3" s="1"/>
  <c r="AD416" i="1"/>
  <c r="D418" i="3" s="1"/>
  <c r="AG415" i="1"/>
  <c r="AD415" i="1" s="1"/>
  <c r="D417" i="3" s="1"/>
  <c r="AD414" i="1"/>
  <c r="D416" i="3" s="1"/>
  <c r="AG413" i="1"/>
  <c r="AD413" i="1" s="1"/>
  <c r="D415" i="3" s="1"/>
  <c r="AD412" i="1"/>
  <c r="D414" i="3" s="1"/>
  <c r="AG411" i="1"/>
  <c r="AD411" i="1" s="1"/>
  <c r="D413" i="3" s="1"/>
  <c r="AD410" i="1"/>
  <c r="D412" i="3" s="1"/>
  <c r="AG409" i="1"/>
  <c r="AD409" i="1" s="1"/>
  <c r="D411" i="3" s="1"/>
  <c r="AD408" i="1"/>
  <c r="D410" i="3" s="1"/>
  <c r="AG407" i="1"/>
  <c r="AD407" i="1" s="1"/>
  <c r="D409" i="3" s="1"/>
  <c r="AD406" i="1"/>
  <c r="D408" i="3" s="1"/>
  <c r="AG405" i="1"/>
  <c r="AD405" i="1" s="1"/>
  <c r="D407" i="3" s="1"/>
  <c r="AD404" i="1"/>
  <c r="D406" i="3" s="1"/>
  <c r="AG403" i="1"/>
  <c r="AD403" i="1" s="1"/>
  <c r="D405" i="3" s="1"/>
  <c r="AD402" i="1"/>
  <c r="D404" i="3" s="1"/>
  <c r="AG401" i="1"/>
  <c r="AD401" i="1" s="1"/>
  <c r="D403" i="3" s="1"/>
  <c r="AD400" i="1"/>
  <c r="D402" i="3" s="1"/>
  <c r="AG399" i="1"/>
  <c r="AD399" i="1" s="1"/>
  <c r="D401" i="3" s="1"/>
  <c r="AD398" i="1"/>
  <c r="D400" i="3" s="1"/>
  <c r="AG397" i="1"/>
  <c r="AD397" i="1" s="1"/>
  <c r="D399" i="3" s="1"/>
  <c r="AD396" i="1"/>
  <c r="D398" i="3" s="1"/>
  <c r="AG395" i="1"/>
  <c r="AD395" i="1" s="1"/>
  <c r="D397" i="3" s="1"/>
  <c r="AD394" i="1"/>
  <c r="D396" i="3" s="1"/>
  <c r="AG393" i="1"/>
  <c r="AD393" i="1" s="1"/>
  <c r="D395" i="3" s="1"/>
  <c r="AD392" i="1"/>
  <c r="D394" i="3" s="1"/>
  <c r="AG391" i="1"/>
  <c r="AD391" i="1" s="1"/>
  <c r="D393" i="3" s="1"/>
  <c r="AD390" i="1"/>
  <c r="D392" i="3" s="1"/>
  <c r="AG389" i="1"/>
  <c r="AD389" i="1" s="1"/>
  <c r="D391" i="3" s="1"/>
  <c r="AD388" i="1"/>
  <c r="D390" i="3" s="1"/>
  <c r="AG387" i="1"/>
  <c r="AD387" i="1" s="1"/>
  <c r="D389" i="3" s="1"/>
  <c r="AD386" i="1"/>
  <c r="D388" i="3" s="1"/>
  <c r="AG385" i="1"/>
  <c r="AD385" i="1" s="1"/>
  <c r="D387" i="3" s="1"/>
  <c r="AD384" i="1"/>
  <c r="D386" i="3" s="1"/>
  <c r="AG383" i="1"/>
  <c r="AD383" i="1" s="1"/>
  <c r="D385" i="3" s="1"/>
  <c r="AG173" i="1"/>
  <c r="AC173" i="1" s="1"/>
  <c r="C175" i="3" s="1"/>
  <c r="AG172" i="1"/>
  <c r="AC172" i="1" s="1"/>
  <c r="C174" i="3" s="1"/>
  <c r="AG171" i="1"/>
  <c r="AC171" i="1" s="1"/>
  <c r="C173" i="3" s="1"/>
  <c r="AG170" i="1"/>
  <c r="AC170" i="1" s="1"/>
  <c r="C172" i="3" s="1"/>
  <c r="AG169" i="1"/>
  <c r="AC169" i="1" s="1"/>
  <c r="C171" i="3" s="1"/>
  <c r="AG168" i="1"/>
  <c r="AC168" i="1" s="1"/>
  <c r="C170" i="3" s="1"/>
  <c r="AG167" i="1"/>
  <c r="AC167" i="1" s="1"/>
  <c r="C169" i="3" s="1"/>
  <c r="AG166" i="1"/>
  <c r="AC166" i="1" s="1"/>
  <c r="C168" i="3" s="1"/>
  <c r="AG165" i="1"/>
  <c r="AC165" i="1" s="1"/>
  <c r="C167" i="3" s="1"/>
  <c r="AG164" i="1"/>
  <c r="AC164" i="1" s="1"/>
  <c r="C166" i="3" s="1"/>
  <c r="AG163" i="1"/>
  <c r="AC163" i="1" s="1"/>
  <c r="C165" i="3" s="1"/>
  <c r="AG162" i="1"/>
  <c r="AC162" i="1" s="1"/>
  <c r="C164" i="3" s="1"/>
  <c r="AG161" i="1"/>
  <c r="AC161" i="1" s="1"/>
  <c r="C163" i="3" s="1"/>
  <c r="AG160" i="1"/>
  <c r="AC160" i="1" s="1"/>
  <c r="C162" i="3" s="1"/>
  <c r="AG159" i="1"/>
  <c r="AC159" i="1" s="1"/>
  <c r="C161" i="3" s="1"/>
  <c r="AG158" i="1"/>
  <c r="AC158" i="1" s="1"/>
  <c r="C160" i="3" s="1"/>
  <c r="AG157" i="1"/>
  <c r="AC157" i="1" s="1"/>
  <c r="C159" i="3" s="1"/>
  <c r="AG156" i="1"/>
  <c r="AC156" i="1" s="1"/>
  <c r="C158" i="3" s="1"/>
  <c r="AG155" i="1"/>
  <c r="AC155" i="1" s="1"/>
  <c r="C157" i="3" s="1"/>
  <c r="AG154" i="1"/>
  <c r="AC154" i="1" s="1"/>
  <c r="C156" i="3" s="1"/>
  <c r="AG153" i="1"/>
  <c r="AC153" i="1" s="1"/>
  <c r="C155" i="3" s="1"/>
  <c r="AG152" i="1"/>
  <c r="AC152" i="1" s="1"/>
  <c r="C154" i="3" s="1"/>
  <c r="AG151" i="1"/>
  <c r="AC151" i="1" s="1"/>
  <c r="C153" i="3" s="1"/>
  <c r="AG150" i="1"/>
  <c r="AC150" i="1" s="1"/>
  <c r="C152" i="3" s="1"/>
  <c r="AG149" i="1"/>
  <c r="AC149" i="1" s="1"/>
  <c r="C151" i="3" s="1"/>
  <c r="AG148" i="1"/>
  <c r="AC148" i="1" s="1"/>
  <c r="C150" i="3" s="1"/>
  <c r="AG147" i="1"/>
  <c r="AC147" i="1" s="1"/>
  <c r="C149" i="3" s="1"/>
  <c r="AG146" i="1"/>
  <c r="AC146" i="1" s="1"/>
  <c r="C148" i="3" s="1"/>
  <c r="AG145" i="1"/>
  <c r="AC145" i="1" s="1"/>
  <c r="C147" i="3" s="1"/>
  <c r="AG144" i="1"/>
  <c r="AC144" i="1" s="1"/>
  <c r="C146" i="3" s="1"/>
  <c r="AG143" i="1"/>
  <c r="AC143" i="1" s="1"/>
  <c r="C145" i="3" s="1"/>
  <c r="AG142" i="1"/>
  <c r="AC142" i="1" s="1"/>
  <c r="C144" i="3" s="1"/>
  <c r="AG141" i="1"/>
  <c r="AC141" i="1" s="1"/>
  <c r="C143" i="3" s="1"/>
  <c r="AG140" i="1"/>
  <c r="AC140" i="1" s="1"/>
  <c r="C142" i="3" s="1"/>
  <c r="AG139" i="1"/>
  <c r="AC139" i="1" s="1"/>
  <c r="C141" i="3" s="1"/>
  <c r="AG575" i="1"/>
  <c r="AC575" i="1" s="1"/>
  <c r="C577" i="3" s="1"/>
  <c r="AG573" i="1"/>
  <c r="AC573" i="1" s="1"/>
  <c r="C575" i="3" s="1"/>
  <c r="AG571" i="1"/>
  <c r="AC571" i="1" s="1"/>
  <c r="C573" i="3" s="1"/>
  <c r="AG569" i="1"/>
  <c r="AC569" i="1" s="1"/>
  <c r="C571" i="3" s="1"/>
  <c r="AG567" i="1"/>
  <c r="AC567" i="1" s="1"/>
  <c r="C569" i="3" s="1"/>
  <c r="AG566" i="1"/>
  <c r="AC566" i="1" s="1"/>
  <c r="C568" i="3" s="1"/>
  <c r="AG574" i="1"/>
  <c r="AC574" i="1" s="1"/>
  <c r="C576" i="3" s="1"/>
  <c r="AG572" i="1"/>
  <c r="AC572" i="1" s="1"/>
  <c r="C574" i="3" s="1"/>
  <c r="AG570" i="1"/>
  <c r="AC570" i="1" s="1"/>
  <c r="C572" i="3" s="1"/>
  <c r="AG568" i="1"/>
  <c r="AC568" i="1" s="1"/>
  <c r="C570" i="3" s="1"/>
  <c r="B11" i="1"/>
  <c r="AE17" i="1" s="1"/>
  <c r="B3" i="1"/>
  <c r="AE3" i="1" s="1"/>
  <c r="A11" i="1"/>
  <c r="AB17" i="1" s="1"/>
  <c r="B19" i="3" s="1"/>
  <c r="AA512" i="2"/>
  <c r="AA608" i="2"/>
  <c r="AA36" i="2"/>
  <c r="AA38" i="2"/>
  <c r="AA40" i="2"/>
  <c r="AA42" i="2"/>
  <c r="AA44" i="2"/>
  <c r="AA46" i="2"/>
  <c r="AA48" i="2"/>
  <c r="AA50" i="2"/>
  <c r="AA52" i="2"/>
  <c r="AA54" i="2"/>
  <c r="AA56" i="2"/>
  <c r="AA58" i="2"/>
  <c r="AA60" i="2"/>
  <c r="AA62" i="2"/>
  <c r="AA64" i="2"/>
  <c r="AA66" i="2"/>
  <c r="AA68" i="2"/>
  <c r="AA70" i="2"/>
  <c r="AA72" i="2"/>
  <c r="AA74" i="2"/>
  <c r="AA76" i="2"/>
  <c r="AA78" i="2"/>
  <c r="AA80" i="2"/>
  <c r="AA82" i="2"/>
  <c r="AA84" i="2"/>
  <c r="AA86" i="2"/>
  <c r="AA88" i="2"/>
  <c r="AA90" i="2"/>
  <c r="AA92" i="2"/>
  <c r="AA94" i="2"/>
  <c r="AA96" i="2"/>
  <c r="AA98" i="2"/>
  <c r="AA100" i="2"/>
  <c r="AA102" i="2"/>
  <c r="AA104" i="2"/>
  <c r="AA106" i="2"/>
  <c r="AA108" i="2"/>
  <c r="AA110" i="2"/>
  <c r="AA112" i="2"/>
  <c r="AA114" i="2"/>
  <c r="AA116" i="2"/>
  <c r="AA118" i="2"/>
  <c r="AA120" i="2"/>
  <c r="AA122" i="2"/>
  <c r="AA124" i="2"/>
  <c r="AA126" i="2"/>
  <c r="AA128" i="2"/>
  <c r="AA130" i="2"/>
  <c r="AA132" i="2"/>
  <c r="AA134" i="2"/>
  <c r="AA136" i="2"/>
  <c r="AA138" i="2"/>
  <c r="AA140" i="2"/>
  <c r="AA142" i="2"/>
  <c r="AA144" i="2"/>
  <c r="AA146" i="2"/>
  <c r="AA148" i="2"/>
  <c r="AA150" i="2"/>
  <c r="AA152" i="2"/>
  <c r="AA154" i="2"/>
  <c r="AA156" i="2"/>
  <c r="AA158" i="2"/>
  <c r="AA160" i="2"/>
  <c r="AA162" i="2"/>
  <c r="AA164" i="2"/>
  <c r="AA166" i="2"/>
  <c r="AA168" i="2"/>
  <c r="AA170" i="2"/>
  <c r="AA172" i="2"/>
  <c r="AA174" i="2"/>
  <c r="AA176" i="2"/>
  <c r="AA178" i="2"/>
  <c r="AA180" i="2"/>
  <c r="AA182" i="2"/>
  <c r="AA184" i="2"/>
  <c r="AA186" i="2"/>
  <c r="AA188" i="2"/>
  <c r="AA190" i="2"/>
  <c r="AA192" i="2"/>
  <c r="AA194" i="2"/>
  <c r="AA196" i="2"/>
  <c r="AA198" i="2"/>
  <c r="AA576" i="2"/>
  <c r="AA616" i="2"/>
  <c r="AA35" i="2"/>
  <c r="AA37" i="2"/>
  <c r="AA39" i="2"/>
  <c r="AA41" i="2"/>
  <c r="AA43" i="2"/>
  <c r="AA45" i="2"/>
  <c r="AA47" i="2"/>
  <c r="AA49" i="2"/>
  <c r="AA51" i="2"/>
  <c r="AA53" i="2"/>
  <c r="AA55" i="2"/>
  <c r="AA57" i="2"/>
  <c r="AA59" i="2"/>
  <c r="AA61" i="2"/>
  <c r="AA63" i="2"/>
  <c r="AA65" i="2"/>
  <c r="AA67" i="2"/>
  <c r="AA69" i="2"/>
  <c r="AA71" i="2"/>
  <c r="AA73" i="2"/>
  <c r="AA75" i="2"/>
  <c r="AA77" i="2"/>
  <c r="AA79" i="2"/>
  <c r="AA81" i="2"/>
  <c r="AA83" i="2"/>
  <c r="AA85" i="2"/>
  <c r="AA87" i="2"/>
  <c r="AA89" i="2"/>
  <c r="AA91" i="2"/>
  <c r="AA93" i="2"/>
  <c r="AA95" i="2"/>
  <c r="AA97" i="2"/>
  <c r="AA99" i="2"/>
  <c r="AA101" i="2"/>
  <c r="AA103" i="2"/>
  <c r="AA105" i="2"/>
  <c r="AA107" i="2"/>
  <c r="AA109" i="2"/>
  <c r="AA111" i="2"/>
  <c r="AA113" i="2"/>
  <c r="AA115" i="2"/>
  <c r="AA117" i="2"/>
  <c r="AA119" i="2"/>
  <c r="AA121" i="2"/>
  <c r="AA123" i="2"/>
  <c r="AA125" i="2"/>
  <c r="AA127" i="2"/>
  <c r="AA129" i="2"/>
  <c r="AA131" i="2"/>
  <c r="AA133" i="2"/>
  <c r="AA135" i="2"/>
  <c r="AA137" i="2"/>
  <c r="AA139" i="2"/>
  <c r="AA141" i="2"/>
  <c r="AA143" i="2"/>
  <c r="AA145" i="2"/>
  <c r="AA147" i="2"/>
  <c r="AA149" i="2"/>
  <c r="AA151" i="2"/>
  <c r="AA153" i="2"/>
  <c r="AA155" i="2"/>
  <c r="AA157" i="2"/>
  <c r="AA159" i="2"/>
  <c r="AA161" i="2"/>
  <c r="AA163" i="2"/>
  <c r="AA165" i="2"/>
  <c r="AA167" i="2"/>
  <c r="AA169" i="2"/>
  <c r="AA171" i="2"/>
  <c r="AA173" i="2"/>
  <c r="AA175" i="2"/>
  <c r="AA177" i="2"/>
  <c r="AA179" i="2"/>
  <c r="AA181" i="2"/>
  <c r="AA183" i="2"/>
  <c r="AA185" i="2"/>
  <c r="AA187" i="2"/>
  <c r="AA189" i="2"/>
  <c r="AA191" i="2"/>
  <c r="AA193" i="2"/>
  <c r="AA195" i="2"/>
  <c r="AA197" i="2"/>
  <c r="AA199" i="2"/>
  <c r="AA201" i="2"/>
  <c r="AA203" i="2"/>
  <c r="AA205" i="2"/>
  <c r="AA207" i="2"/>
  <c r="AA209" i="2"/>
  <c r="AA211" i="2"/>
  <c r="AA213" i="2"/>
  <c r="AA215" i="2"/>
  <c r="AA217" i="2"/>
  <c r="AA219" i="2"/>
  <c r="AA221" i="2"/>
  <c r="AA223" i="2"/>
  <c r="AA225" i="2"/>
  <c r="AA227" i="2"/>
  <c r="AA229" i="2"/>
  <c r="AA231" i="2"/>
  <c r="AA233" i="2"/>
  <c r="AA235" i="2"/>
  <c r="AA237" i="2"/>
  <c r="AA239" i="2"/>
  <c r="AA241" i="2"/>
  <c r="AA243" i="2"/>
  <c r="AA245" i="2"/>
  <c r="AA247" i="2"/>
  <c r="AA249" i="2"/>
  <c r="AA251" i="2"/>
  <c r="AA253" i="2"/>
  <c r="AA255" i="2"/>
  <c r="AA257" i="2"/>
  <c r="AA259" i="2"/>
  <c r="AA261" i="2"/>
  <c r="AA263" i="2"/>
  <c r="AA265" i="2"/>
  <c r="AA267" i="2"/>
  <c r="AA269" i="2"/>
  <c r="AA271" i="2"/>
  <c r="AA273" i="2"/>
  <c r="AA275" i="2"/>
  <c r="AA277" i="2"/>
  <c r="AA279" i="2"/>
  <c r="AA281" i="2"/>
  <c r="AA283" i="2"/>
  <c r="AA285" i="2"/>
  <c r="AA287" i="2"/>
  <c r="AA289" i="2"/>
  <c r="AA291" i="2"/>
  <c r="AA293" i="2"/>
  <c r="AA295" i="2"/>
  <c r="AA297" i="2"/>
  <c r="AA299" i="2"/>
  <c r="AA301" i="2"/>
  <c r="AA303" i="2"/>
  <c r="AA305" i="2"/>
  <c r="AA307" i="2"/>
  <c r="AA309" i="2"/>
  <c r="AA311" i="2"/>
  <c r="AA313" i="2"/>
  <c r="AA315" i="2"/>
  <c r="AA317" i="2"/>
  <c r="AA319" i="2"/>
  <c r="AA321" i="2"/>
  <c r="AA323" i="2"/>
  <c r="AA325" i="2"/>
  <c r="AA327" i="2"/>
  <c r="AA329" i="2"/>
  <c r="AA331" i="2"/>
  <c r="AA333" i="2"/>
  <c r="AA335" i="2"/>
  <c r="AA337" i="2"/>
  <c r="AA339" i="2"/>
  <c r="AA341" i="2"/>
  <c r="AA343" i="2"/>
  <c r="AA345" i="2"/>
  <c r="AA347" i="2"/>
  <c r="AA349" i="2"/>
  <c r="AA351" i="2"/>
  <c r="AA353" i="2"/>
  <c r="AA355" i="2"/>
  <c r="AA357" i="2"/>
  <c r="AA359" i="2"/>
  <c r="AA361" i="2"/>
  <c r="AA363" i="2"/>
  <c r="AA365" i="2"/>
  <c r="AA367" i="2"/>
  <c r="AA369" i="2"/>
  <c r="AA200" i="2"/>
  <c r="AA202" i="2"/>
  <c r="AA204" i="2"/>
  <c r="AA206" i="2"/>
  <c r="AA208" i="2"/>
  <c r="AA210" i="2"/>
  <c r="AA212" i="2"/>
  <c r="AA214" i="2"/>
  <c r="AA216" i="2"/>
  <c r="AA218" i="2"/>
  <c r="AA220" i="2"/>
  <c r="AA222" i="2"/>
  <c r="AA224" i="2"/>
  <c r="AA226" i="2"/>
  <c r="AA228" i="2"/>
  <c r="AA230" i="2"/>
  <c r="AA232" i="2"/>
  <c r="AA234" i="2"/>
  <c r="AA236" i="2"/>
  <c r="AA238" i="2"/>
  <c r="AA240" i="2"/>
  <c r="AA242" i="2"/>
  <c r="AA244" i="2"/>
  <c r="AA246" i="2"/>
  <c r="AA248" i="2"/>
  <c r="AA250" i="2"/>
  <c r="AA252" i="2"/>
  <c r="AA254" i="2"/>
  <c r="AA256" i="2"/>
  <c r="AA258" i="2"/>
  <c r="AA260" i="2"/>
  <c r="AA262" i="2"/>
  <c r="AA264" i="2"/>
  <c r="AA266" i="2"/>
  <c r="AA268" i="2"/>
  <c r="AA270" i="2"/>
  <c r="AA272" i="2"/>
  <c r="AA274" i="2"/>
  <c r="AA276" i="2"/>
  <c r="AA278" i="2"/>
  <c r="AA280" i="2"/>
  <c r="AA282" i="2"/>
  <c r="AA284" i="2"/>
  <c r="AA286" i="2"/>
  <c r="AA288" i="2"/>
  <c r="AA290" i="2"/>
  <c r="AA292" i="2"/>
  <c r="AA294" i="2"/>
  <c r="AA296" i="2"/>
  <c r="AA298" i="2"/>
  <c r="AA300" i="2"/>
  <c r="AA302" i="2"/>
  <c r="AA304" i="2"/>
  <c r="AA306" i="2"/>
  <c r="AA308" i="2"/>
  <c r="AA310" i="2"/>
  <c r="AA312" i="2"/>
  <c r="AA314" i="2"/>
  <c r="AA316" i="2"/>
  <c r="AA318" i="2"/>
  <c r="AA320" i="2"/>
  <c r="AA322" i="2"/>
  <c r="AA324" i="2"/>
  <c r="AA326" i="2"/>
  <c r="AA328" i="2"/>
  <c r="AA330" i="2"/>
  <c r="AA332" i="2"/>
  <c r="AA334" i="2"/>
  <c r="AA336" i="2"/>
  <c r="AA338" i="2"/>
  <c r="AA340" i="2"/>
  <c r="AA342" i="2"/>
  <c r="AA344" i="2"/>
  <c r="AA346" i="2"/>
  <c r="AA348" i="2"/>
  <c r="AA350" i="2"/>
  <c r="AA352" i="2"/>
  <c r="AA354" i="2"/>
  <c r="AA356" i="2"/>
  <c r="AA358" i="2"/>
  <c r="AA360" i="2"/>
  <c r="AA362" i="2"/>
  <c r="AA364" i="2"/>
  <c r="AA366" i="2"/>
  <c r="AA368" i="2"/>
  <c r="AA370" i="2"/>
  <c r="AA372" i="2"/>
  <c r="AA374" i="2"/>
  <c r="AA376" i="2"/>
  <c r="AA378" i="2"/>
  <c r="AA380" i="2"/>
  <c r="AA382" i="2"/>
  <c r="AA384" i="2"/>
  <c r="AA386" i="2"/>
  <c r="AA388" i="2"/>
  <c r="AA390" i="2"/>
  <c r="AA392" i="2"/>
  <c r="AA394" i="2"/>
  <c r="AA396" i="2"/>
  <c r="AA398" i="2"/>
  <c r="AA400" i="2"/>
  <c r="AA402" i="2"/>
  <c r="AA404" i="2"/>
  <c r="AA406" i="2"/>
  <c r="AA408" i="2"/>
  <c r="AA410" i="2"/>
  <c r="AA412" i="2"/>
  <c r="AA414" i="2"/>
  <c r="AA416" i="2"/>
  <c r="AA418" i="2"/>
  <c r="AA420" i="2"/>
  <c r="AA422" i="2"/>
  <c r="AA424" i="2"/>
  <c r="AA426" i="2"/>
  <c r="AA428" i="2"/>
  <c r="AA430" i="2"/>
  <c r="AA432" i="2"/>
  <c r="AA434" i="2"/>
  <c r="AA436" i="2"/>
  <c r="AA438" i="2"/>
  <c r="AA440" i="2"/>
  <c r="AA442" i="2"/>
  <c r="AA444" i="2"/>
  <c r="AA446" i="2"/>
  <c r="AA448" i="2"/>
  <c r="AA450" i="2"/>
  <c r="AA452" i="2"/>
  <c r="AA454" i="2"/>
  <c r="AA456" i="2"/>
  <c r="AA458" i="2"/>
  <c r="AA460" i="2"/>
  <c r="AA462" i="2"/>
  <c r="AA464" i="2"/>
  <c r="AA466" i="2"/>
  <c r="AA468" i="2"/>
  <c r="AA470" i="2"/>
  <c r="AA472" i="2"/>
  <c r="AA474" i="2"/>
  <c r="AA476" i="2"/>
  <c r="AA478" i="2"/>
  <c r="AA480" i="2"/>
  <c r="AA482" i="2"/>
  <c r="AA484" i="2"/>
  <c r="AA486" i="2"/>
  <c r="AA488" i="2"/>
  <c r="AA490" i="2"/>
  <c r="AA492" i="2"/>
  <c r="AA494" i="2"/>
  <c r="AA496" i="2"/>
  <c r="AA498" i="2"/>
  <c r="AA500" i="2"/>
  <c r="AA502" i="2"/>
  <c r="AA504" i="2"/>
  <c r="AA506" i="2"/>
  <c r="AA508" i="2"/>
  <c r="AA510" i="2"/>
  <c r="AA513" i="2"/>
  <c r="AA515" i="2"/>
  <c r="AA517" i="2"/>
  <c r="AA519" i="2"/>
  <c r="AA521" i="2"/>
  <c r="AA523" i="2"/>
  <c r="AA525" i="2"/>
  <c r="AA527" i="2"/>
  <c r="AA529" i="2"/>
  <c r="AA531" i="2"/>
  <c r="AA533" i="2"/>
  <c r="AA535" i="2"/>
  <c r="AA537" i="2"/>
  <c r="AA539" i="2"/>
  <c r="AA541" i="2"/>
  <c r="AA543" i="2"/>
  <c r="AA545" i="2"/>
  <c r="AA547" i="2"/>
  <c r="AA549" i="2"/>
  <c r="AA551" i="2"/>
  <c r="AA553" i="2"/>
  <c r="AA555" i="2"/>
  <c r="AA557" i="2"/>
  <c r="AA559" i="2"/>
  <c r="AA561" i="2"/>
  <c r="AA563" i="2"/>
  <c r="AA565" i="2"/>
  <c r="AA567" i="2"/>
  <c r="AA569" i="2"/>
  <c r="AA571" i="2"/>
  <c r="AA573" i="2"/>
  <c r="AA575" i="2"/>
  <c r="AA578" i="2"/>
  <c r="AA580" i="2"/>
  <c r="AA582" i="2"/>
  <c r="AA584" i="2"/>
  <c r="AA586" i="2"/>
  <c r="AA588" i="2"/>
  <c r="AA590" i="2"/>
  <c r="AA592" i="2"/>
  <c r="AA594" i="2"/>
  <c r="AA596" i="2"/>
  <c r="AA598" i="2"/>
  <c r="AA600" i="2"/>
  <c r="AA602" i="2"/>
  <c r="AA604" i="2"/>
  <c r="AA606" i="2"/>
  <c r="AA609" i="2"/>
  <c r="AA611" i="2"/>
  <c r="AA613" i="2"/>
  <c r="AA615" i="2"/>
  <c r="AA618" i="2"/>
  <c r="AA620" i="2"/>
  <c r="AA371" i="2"/>
  <c r="AA373" i="2"/>
  <c r="AA375" i="2"/>
  <c r="AA377" i="2"/>
  <c r="AA379" i="2"/>
  <c r="AA381" i="2"/>
  <c r="AA383" i="2"/>
  <c r="AA385" i="2"/>
  <c r="AA387" i="2"/>
  <c r="AA389" i="2"/>
  <c r="AA391" i="2"/>
  <c r="AA393" i="2"/>
  <c r="AA395" i="2"/>
  <c r="AA397" i="2"/>
  <c r="AA399" i="2"/>
  <c r="AA401" i="2"/>
  <c r="AA403" i="2"/>
  <c r="AA405" i="2"/>
  <c r="AA407" i="2"/>
  <c r="AA409" i="2"/>
  <c r="AA411" i="2"/>
  <c r="AA413" i="2"/>
  <c r="AA415" i="2"/>
  <c r="AA417" i="2"/>
  <c r="AA419" i="2"/>
  <c r="AA421" i="2"/>
  <c r="AA423" i="2"/>
  <c r="AA425" i="2"/>
  <c r="AA427" i="2"/>
  <c r="AA429" i="2"/>
  <c r="AA431" i="2"/>
  <c r="AA433" i="2"/>
  <c r="AA435" i="2"/>
  <c r="AA437" i="2"/>
  <c r="AA439" i="2"/>
  <c r="AA441" i="2"/>
  <c r="AA443" i="2"/>
  <c r="AA445" i="2"/>
  <c r="AA447" i="2"/>
  <c r="AA449" i="2"/>
  <c r="AA451" i="2"/>
  <c r="AA453" i="2"/>
  <c r="AA455" i="2"/>
  <c r="AA457" i="2"/>
  <c r="AA459" i="2"/>
  <c r="AA461" i="2"/>
  <c r="AA463" i="2"/>
  <c r="AA465" i="2"/>
  <c r="AA467" i="2"/>
  <c r="AA469" i="2"/>
  <c r="AA471" i="2"/>
  <c r="AA473" i="2"/>
  <c r="AA475" i="2"/>
  <c r="AA477" i="2"/>
  <c r="AA479" i="2"/>
  <c r="AA481" i="2"/>
  <c r="AA483" i="2"/>
  <c r="AA485" i="2"/>
  <c r="AA487" i="2"/>
  <c r="AA489" i="2"/>
  <c r="AA491" i="2"/>
  <c r="AA493" i="2"/>
  <c r="AA495" i="2"/>
  <c r="AA497" i="2"/>
  <c r="AA499" i="2"/>
  <c r="AA501" i="2"/>
  <c r="AA503" i="2"/>
  <c r="AA505" i="2"/>
  <c r="AA507" i="2"/>
  <c r="AA509" i="2"/>
  <c r="AA511" i="2"/>
  <c r="AA514" i="2"/>
  <c r="AA516" i="2"/>
  <c r="AA518" i="2"/>
  <c r="AA520" i="2"/>
  <c r="AA522" i="2"/>
  <c r="AA524" i="2"/>
  <c r="AA526" i="2"/>
  <c r="AA528" i="2"/>
  <c r="AA530" i="2"/>
  <c r="AA532" i="2"/>
  <c r="AA534" i="2"/>
  <c r="AA536" i="2"/>
  <c r="AA538" i="2"/>
  <c r="AA540" i="2"/>
  <c r="AA542" i="2"/>
  <c r="AA544" i="2"/>
  <c r="AA546" i="2"/>
  <c r="AA548" i="2"/>
  <c r="AA550" i="2"/>
  <c r="AA552" i="2"/>
  <c r="AA554" i="2"/>
  <c r="AA556" i="2"/>
  <c r="AA558" i="2"/>
  <c r="AA560" i="2"/>
  <c r="AA562" i="2"/>
  <c r="AA564" i="2"/>
  <c r="AA566" i="2"/>
  <c r="AA568" i="2"/>
  <c r="AA570" i="2"/>
  <c r="AA572" i="2"/>
  <c r="AA574" i="2"/>
  <c r="AA577" i="2"/>
  <c r="AA579" i="2"/>
  <c r="AA581" i="2"/>
  <c r="AA583" i="2"/>
  <c r="AA585" i="2"/>
  <c r="AA587" i="2"/>
  <c r="AA589" i="2"/>
  <c r="AA591" i="2"/>
  <c r="AA593" i="2"/>
  <c r="AA595" i="2"/>
  <c r="AA597" i="2"/>
  <c r="AA599" i="2"/>
  <c r="AA601" i="2"/>
  <c r="AA603" i="2"/>
  <c r="AA605" i="2"/>
  <c r="AA607" i="2"/>
  <c r="AA610" i="2"/>
  <c r="AA612" i="2"/>
  <c r="AA614" i="2"/>
  <c r="AA617" i="2"/>
  <c r="AA619" i="2"/>
  <c r="B107" i="1"/>
  <c r="AE335" i="1" s="1"/>
  <c r="B7" i="1"/>
  <c r="AE10" i="1" s="1"/>
  <c r="A4" i="1"/>
  <c r="AB4" i="1" s="1"/>
  <c r="B6" i="3" s="1"/>
  <c r="B66" i="1"/>
  <c r="AE180" i="1" s="1"/>
  <c r="A44" i="1"/>
  <c r="AB99" i="1" s="1"/>
  <c r="B101" i="3" s="1"/>
  <c r="B34" i="1"/>
  <c r="AE72" i="1" s="1"/>
  <c r="A8" i="1"/>
  <c r="AB11" i="1" s="1"/>
  <c r="B13" i="3" s="1"/>
  <c r="A113" i="1"/>
  <c r="AB356" i="1" s="1"/>
  <c r="B358" i="3" s="1"/>
  <c r="B123" i="1"/>
  <c r="AE396" i="1" s="1"/>
  <c r="B13" i="1"/>
  <c r="AE20" i="1" s="1"/>
  <c r="B9" i="1"/>
  <c r="AE13" i="1" s="1"/>
  <c r="B5" i="1"/>
  <c r="AE6" i="1" s="1"/>
  <c r="A141" i="1"/>
  <c r="AB468" i="1" s="1"/>
  <c r="B470" i="3" s="1"/>
  <c r="B129" i="1"/>
  <c r="AE420" i="1" s="1"/>
  <c r="A127" i="1"/>
  <c r="AB412" i="1" s="1"/>
  <c r="B414" i="3" s="1"/>
  <c r="B93" i="1"/>
  <c r="AE279" i="1" s="1"/>
  <c r="A15" i="1"/>
  <c r="AB24" i="1" s="1"/>
  <c r="B26" i="3" s="1"/>
  <c r="A84" i="1"/>
  <c r="AB243" i="1" s="1"/>
  <c r="B245" i="3" s="1"/>
  <c r="B22" i="1"/>
  <c r="B50" i="1"/>
  <c r="AE118" i="1" s="1"/>
  <c r="B116" i="1"/>
  <c r="AE369" i="1" s="1"/>
  <c r="A36" i="1"/>
  <c r="AB76" i="1" s="1"/>
  <c r="B78" i="3" s="1"/>
  <c r="A97" i="1"/>
  <c r="AB293" i="1" s="1"/>
  <c r="B295" i="3" s="1"/>
  <c r="B97" i="1"/>
  <c r="AE294" i="1" s="1"/>
  <c r="A50" i="1"/>
  <c r="AB118" i="1" s="1"/>
  <c r="B120" i="3" s="1"/>
  <c r="A74" i="1"/>
  <c r="AB206" i="1" s="1"/>
  <c r="B208" i="3" s="1"/>
  <c r="B104" i="1"/>
  <c r="AE320" i="1" s="1"/>
  <c r="B146" i="1"/>
  <c r="AE488" i="1" s="1"/>
  <c r="B154" i="1"/>
  <c r="B42" i="1"/>
  <c r="AE94" i="1" s="1"/>
  <c r="B58" i="1"/>
  <c r="B14" i="1"/>
  <c r="A158" i="1"/>
  <c r="AB533" i="1" s="1"/>
  <c r="B535" i="3" s="1"/>
  <c r="A154" i="1"/>
  <c r="AB521" i="1" s="1"/>
  <c r="B523" i="3" s="1"/>
  <c r="A146" i="1"/>
  <c r="A140" i="1"/>
  <c r="AB465" i="1" s="1"/>
  <c r="B467" i="3" s="1"/>
  <c r="A138" i="1"/>
  <c r="A136" i="1"/>
  <c r="AB449" i="1" s="1"/>
  <c r="B451" i="3" s="1"/>
  <c r="A134" i="1"/>
  <c r="AB442" i="1" s="1"/>
  <c r="B444" i="3" s="1"/>
  <c r="A130" i="1"/>
  <c r="AB425" i="1" s="1"/>
  <c r="B427" i="3" s="1"/>
  <c r="A124" i="1"/>
  <c r="A116" i="1"/>
  <c r="AB368" i="1" s="1"/>
  <c r="B370" i="3" s="1"/>
  <c r="A112" i="1"/>
  <c r="A104" i="1"/>
  <c r="AB320" i="1" s="1"/>
  <c r="B322" i="3" s="1"/>
  <c r="A98" i="1"/>
  <c r="AB296" i="1" s="1"/>
  <c r="B298" i="3" s="1"/>
  <c r="A96" i="1"/>
  <c r="AB288" i="1" s="1"/>
  <c r="B290" i="3" s="1"/>
  <c r="A94" i="1"/>
  <c r="AB280" i="1" s="1"/>
  <c r="B282" i="3" s="1"/>
  <c r="B86" i="1"/>
  <c r="AE254" i="1" s="1"/>
  <c r="B84" i="1"/>
  <c r="B82" i="1"/>
  <c r="AE238" i="1" s="1"/>
  <c r="A78" i="1"/>
  <c r="AB219" i="1" s="1"/>
  <c r="B221" i="3" s="1"/>
  <c r="B74" i="1"/>
  <c r="AE208" i="1" s="1"/>
  <c r="A72" i="1"/>
  <c r="AB198" i="1" s="1"/>
  <c r="B200" i="3" s="1"/>
  <c r="A68" i="1"/>
  <c r="AB182" i="1" s="1"/>
  <c r="B184" i="3" s="1"/>
  <c r="A66" i="1"/>
  <c r="AB177" i="1" s="1"/>
  <c r="B179" i="3" s="1"/>
  <c r="A64" i="1"/>
  <c r="AB169" i="1" s="1"/>
  <c r="B171" i="3" s="1"/>
  <c r="A60" i="1"/>
  <c r="AB155" i="1" s="1"/>
  <c r="B157" i="3" s="1"/>
  <c r="A58" i="1"/>
  <c r="AB146" i="1" s="1"/>
  <c r="B148" i="3" s="1"/>
  <c r="A56" i="1"/>
  <c r="A52" i="1"/>
  <c r="AB124" i="1" s="1"/>
  <c r="B126" i="3" s="1"/>
  <c r="A48" i="1"/>
  <c r="AB110" i="1" s="1"/>
  <c r="B112" i="3" s="1"/>
  <c r="B44" i="1"/>
  <c r="AE98" i="1" s="1"/>
  <c r="A42" i="1"/>
  <c r="AB92" i="1" s="1"/>
  <c r="B94" i="3" s="1"/>
  <c r="A40" i="1"/>
  <c r="AB87" i="1" s="1"/>
  <c r="B89" i="3" s="1"/>
  <c r="B36" i="1"/>
  <c r="AE78" i="1" s="1"/>
  <c r="A34" i="1"/>
  <c r="AB70" i="1" s="1"/>
  <c r="B72" i="3" s="1"/>
  <c r="A32" i="1"/>
  <c r="AB64" i="1" s="1"/>
  <c r="B66" i="3" s="1"/>
  <c r="A28" i="1"/>
  <c r="AB54" i="1" s="1"/>
  <c r="B56" i="3" s="1"/>
  <c r="A24" i="1"/>
  <c r="AB44" i="1" s="1"/>
  <c r="B46" i="3" s="1"/>
  <c r="A22" i="1"/>
  <c r="AB38" i="1" s="1"/>
  <c r="B40" i="3" s="1"/>
  <c r="A20" i="1"/>
  <c r="AB32" i="1" s="1"/>
  <c r="B34" i="3" s="1"/>
  <c r="A16" i="1"/>
  <c r="A14" i="1"/>
  <c r="A12" i="1"/>
  <c r="AB18" i="1" s="1"/>
  <c r="B20" i="3" s="1"/>
  <c r="A10" i="1"/>
  <c r="AB16" i="1" s="1"/>
  <c r="B18" i="3" s="1"/>
  <c r="B8" i="1"/>
  <c r="AE11" i="1" s="1"/>
  <c r="A6" i="1"/>
  <c r="A156" i="1"/>
  <c r="AB528" i="1" s="1"/>
  <c r="B530" i="3" s="1"/>
  <c r="B156" i="1"/>
  <c r="AE528" i="1" s="1"/>
  <c r="A152" i="1"/>
  <c r="AB514" i="1" s="1"/>
  <c r="B516" i="3" s="1"/>
  <c r="B152" i="1"/>
  <c r="AE512" i="1" s="1"/>
  <c r="A148" i="1"/>
  <c r="AB497" i="1" s="1"/>
  <c r="B499" i="3" s="1"/>
  <c r="B148" i="1"/>
  <c r="A126" i="1"/>
  <c r="AB409" i="1" s="1"/>
  <c r="B411" i="3" s="1"/>
  <c r="B126" i="1"/>
  <c r="AE409" i="1" s="1"/>
  <c r="B120" i="1"/>
  <c r="AE386" i="1" s="1"/>
  <c r="A120" i="1"/>
  <c r="AB387" i="1" s="1"/>
  <c r="B389" i="3" s="1"/>
  <c r="A110" i="1"/>
  <c r="AB347" i="1" s="1"/>
  <c r="B349" i="3" s="1"/>
  <c r="B110" i="1"/>
  <c r="AE344" i="1" s="1"/>
  <c r="A102" i="1"/>
  <c r="AB312" i="1" s="1"/>
  <c r="B314" i="3" s="1"/>
  <c r="B102" i="1"/>
  <c r="AE315" i="1" s="1"/>
  <c r="A90" i="1"/>
  <c r="AB264" i="1" s="1"/>
  <c r="B266" i="3" s="1"/>
  <c r="B90" i="1"/>
  <c r="AE266" i="1" s="1"/>
  <c r="A88" i="1"/>
  <c r="AB256" i="1" s="1"/>
  <c r="B258" i="3" s="1"/>
  <c r="B88" i="1"/>
  <c r="B80" i="1"/>
  <c r="AE230" i="1" s="1"/>
  <c r="A80" i="1"/>
  <c r="AB227" i="1" s="1"/>
  <c r="B229" i="3" s="1"/>
  <c r="A70" i="1"/>
  <c r="AB190" i="1" s="1"/>
  <c r="B192" i="3" s="1"/>
  <c r="B70" i="1"/>
  <c r="AE192" i="1" s="1"/>
  <c r="A62" i="1"/>
  <c r="AB161" i="1" s="1"/>
  <c r="B163" i="3" s="1"/>
  <c r="B62" i="1"/>
  <c r="AE164" i="1" s="1"/>
  <c r="A54" i="1"/>
  <c r="AB132" i="1" s="1"/>
  <c r="B134" i="3" s="1"/>
  <c r="B54" i="1"/>
  <c r="AE134" i="1" s="1"/>
  <c r="A46" i="1"/>
  <c r="AB106" i="1" s="1"/>
  <c r="B108" i="3" s="1"/>
  <c r="B46" i="1"/>
  <c r="AE106" i="1" s="1"/>
  <c r="A38" i="1"/>
  <c r="AB80" i="1" s="1"/>
  <c r="B82" i="3" s="1"/>
  <c r="B38" i="1"/>
  <c r="AE82" i="1" s="1"/>
  <c r="A30" i="1"/>
  <c r="AB58" i="1" s="1"/>
  <c r="B60" i="3" s="1"/>
  <c r="B30" i="1"/>
  <c r="AE60" i="1" s="1"/>
  <c r="A26" i="1"/>
  <c r="AB50" i="1" s="1"/>
  <c r="B52" i="3" s="1"/>
  <c r="B26" i="1"/>
  <c r="A18" i="1"/>
  <c r="B18" i="1"/>
  <c r="B157" i="1"/>
  <c r="AE532" i="1" s="1"/>
  <c r="A49" i="1"/>
  <c r="A59" i="1"/>
  <c r="AB149" i="1" s="1"/>
  <c r="B151" i="3" s="1"/>
  <c r="A105" i="1"/>
  <c r="AB326" i="1" s="1"/>
  <c r="B328" i="3" s="1"/>
  <c r="A155" i="1"/>
  <c r="AB524" i="1" s="1"/>
  <c r="B526" i="3" s="1"/>
  <c r="A31" i="1"/>
  <c r="AB63" i="1" s="1"/>
  <c r="B65" i="3" s="1"/>
  <c r="B137" i="1"/>
  <c r="AE452" i="1" s="1"/>
  <c r="B95" i="1"/>
  <c r="AE286" i="1" s="1"/>
  <c r="B75" i="1"/>
  <c r="AE212" i="1" s="1"/>
  <c r="A19" i="1"/>
  <c r="AB31" i="1" s="1"/>
  <c r="B33" i="3" s="1"/>
  <c r="A150" i="1"/>
  <c r="AB506" i="1" s="1"/>
  <c r="B508" i="3" s="1"/>
  <c r="B150" i="1"/>
  <c r="AE505" i="1" s="1"/>
  <c r="A144" i="1"/>
  <c r="AB480" i="1" s="1"/>
  <c r="B482" i="3" s="1"/>
  <c r="B144" i="1"/>
  <c r="AE481" i="1" s="1"/>
  <c r="A142" i="1"/>
  <c r="AB474" i="1" s="1"/>
  <c r="B476" i="3" s="1"/>
  <c r="B142" i="1"/>
  <c r="AE472" i="1" s="1"/>
  <c r="A132" i="1"/>
  <c r="AB434" i="1" s="1"/>
  <c r="B436" i="3" s="1"/>
  <c r="B132" i="1"/>
  <c r="A128" i="1"/>
  <c r="AB418" i="1" s="1"/>
  <c r="B420" i="3" s="1"/>
  <c r="B128" i="1"/>
  <c r="A122" i="1"/>
  <c r="AB394" i="1" s="1"/>
  <c r="B396" i="3" s="1"/>
  <c r="B122" i="1"/>
  <c r="A118" i="1"/>
  <c r="AB378" i="1" s="1"/>
  <c r="B380" i="3" s="1"/>
  <c r="B118" i="1"/>
  <c r="A114" i="1"/>
  <c r="AB360" i="1" s="1"/>
  <c r="B362" i="3" s="1"/>
  <c r="B114" i="1"/>
  <c r="A108" i="1"/>
  <c r="AB337" i="1" s="1"/>
  <c r="B339" i="3" s="1"/>
  <c r="B108" i="1"/>
  <c r="A106" i="1"/>
  <c r="AB329" i="1" s="1"/>
  <c r="B331" i="3" s="1"/>
  <c r="B106" i="1"/>
  <c r="A100" i="1"/>
  <c r="AB305" i="1" s="1"/>
  <c r="B307" i="3" s="1"/>
  <c r="B100" i="1"/>
  <c r="A92" i="1"/>
  <c r="AB273" i="1" s="1"/>
  <c r="B275" i="3" s="1"/>
  <c r="B92" i="1"/>
  <c r="A76" i="1"/>
  <c r="AB214" i="1" s="1"/>
  <c r="B216" i="3" s="1"/>
  <c r="B76" i="1"/>
  <c r="A39" i="1"/>
  <c r="AB85" i="1" s="1"/>
  <c r="B87" i="3" s="1"/>
  <c r="A51" i="1"/>
  <c r="A55" i="1"/>
  <c r="AB137" i="1" s="1"/>
  <c r="B139" i="3" s="1"/>
  <c r="A57" i="1"/>
  <c r="AB144" i="1" s="1"/>
  <c r="B146" i="3" s="1"/>
  <c r="A61" i="1"/>
  <c r="AB159" i="1" s="1"/>
  <c r="B161" i="3" s="1"/>
  <c r="A45" i="1"/>
  <c r="A65" i="1"/>
  <c r="AB174" i="1" s="1"/>
  <c r="B176" i="3" s="1"/>
  <c r="A67" i="1"/>
  <c r="AB181" i="1" s="1"/>
  <c r="B183" i="3" s="1"/>
  <c r="A69" i="1"/>
  <c r="AB187" i="1" s="1"/>
  <c r="B189" i="3" s="1"/>
  <c r="A71" i="1"/>
  <c r="AB194" i="1" s="1"/>
  <c r="B196" i="3" s="1"/>
  <c r="A73" i="1"/>
  <c r="AB203" i="1" s="1"/>
  <c r="B205" i="3" s="1"/>
  <c r="A75" i="1"/>
  <c r="AB210" i="1" s="1"/>
  <c r="B212" i="3" s="1"/>
  <c r="A77" i="1"/>
  <c r="AB218" i="1" s="1"/>
  <c r="B220" i="3" s="1"/>
  <c r="A79" i="1"/>
  <c r="AB225" i="1" s="1"/>
  <c r="B227" i="3" s="1"/>
  <c r="A81" i="1"/>
  <c r="AB233" i="1" s="1"/>
  <c r="B235" i="3" s="1"/>
  <c r="A83" i="1"/>
  <c r="AB241" i="1" s="1"/>
  <c r="B243" i="3" s="1"/>
  <c r="A85" i="1"/>
  <c r="AB249" i="1" s="1"/>
  <c r="B251" i="3" s="1"/>
  <c r="A87" i="1"/>
  <c r="AB255" i="1" s="1"/>
  <c r="B257" i="3" s="1"/>
  <c r="A89" i="1"/>
  <c r="AB261" i="1" s="1"/>
  <c r="B263" i="3" s="1"/>
  <c r="A91" i="1"/>
  <c r="AB271" i="1" s="1"/>
  <c r="B273" i="3" s="1"/>
  <c r="A119" i="1"/>
  <c r="AB380" i="1" s="1"/>
  <c r="B382" i="3" s="1"/>
  <c r="A121" i="1"/>
  <c r="AB388" i="1" s="1"/>
  <c r="B390" i="3" s="1"/>
  <c r="A123" i="1"/>
  <c r="AB396" i="1" s="1"/>
  <c r="B398" i="3" s="1"/>
  <c r="A125" i="1"/>
  <c r="AB404" i="1" s="1"/>
  <c r="B406" i="3" s="1"/>
  <c r="A135" i="1"/>
  <c r="AB444" i="1" s="1"/>
  <c r="B446" i="3" s="1"/>
  <c r="A137" i="1"/>
  <c r="AB452" i="1" s="1"/>
  <c r="B454" i="3" s="1"/>
  <c r="A139" i="1"/>
  <c r="AB460" i="1" s="1"/>
  <c r="B462" i="3" s="1"/>
  <c r="A145" i="1"/>
  <c r="AB484" i="1" s="1"/>
  <c r="B486" i="3" s="1"/>
  <c r="A147" i="1"/>
  <c r="AB492" i="1" s="1"/>
  <c r="B494" i="3" s="1"/>
  <c r="A23" i="1"/>
  <c r="A33" i="1"/>
  <c r="AB67" i="1" s="1"/>
  <c r="B69" i="3" s="1"/>
  <c r="A35" i="1"/>
  <c r="AB73" i="1" s="1"/>
  <c r="B75" i="3" s="1"/>
  <c r="A37" i="1"/>
  <c r="AB79" i="1" s="1"/>
  <c r="B81" i="3" s="1"/>
  <c r="A47" i="1"/>
  <c r="AB107" i="1" s="1"/>
  <c r="B109" i="3" s="1"/>
  <c r="A53" i="1"/>
  <c r="A41" i="1"/>
  <c r="A95" i="1"/>
  <c r="AB286" i="1" s="1"/>
  <c r="B288" i="3" s="1"/>
  <c r="A99" i="1"/>
  <c r="AB303" i="1" s="1"/>
  <c r="B305" i="3" s="1"/>
  <c r="A103" i="1"/>
  <c r="AB317" i="1" s="1"/>
  <c r="B319" i="3" s="1"/>
  <c r="A107" i="1"/>
  <c r="AB332" i="1" s="1"/>
  <c r="B334" i="3" s="1"/>
  <c r="A111" i="1"/>
  <c r="AB348" i="1" s="1"/>
  <c r="B350" i="3" s="1"/>
  <c r="A115" i="1"/>
  <c r="AB364" i="1" s="1"/>
  <c r="B366" i="3" s="1"/>
  <c r="A129" i="1"/>
  <c r="AB420" i="1" s="1"/>
  <c r="B422" i="3" s="1"/>
  <c r="A133" i="1"/>
  <c r="AB436" i="1" s="1"/>
  <c r="B438" i="3" s="1"/>
  <c r="A143" i="1"/>
  <c r="AB476" i="1" s="1"/>
  <c r="B478" i="3" s="1"/>
  <c r="A149" i="1"/>
  <c r="AB500" i="1" s="1"/>
  <c r="B502" i="3" s="1"/>
  <c r="A153" i="1"/>
  <c r="AB516" i="1" s="1"/>
  <c r="B518" i="3" s="1"/>
  <c r="A25" i="1"/>
  <c r="A29" i="1"/>
  <c r="B125" i="1"/>
  <c r="B101" i="1"/>
  <c r="B127" i="1"/>
  <c r="B131" i="1"/>
  <c r="B103" i="1"/>
  <c r="B135" i="1"/>
  <c r="AE445" i="1" s="1"/>
  <c r="B105" i="1"/>
  <c r="B139" i="1"/>
  <c r="AE460" i="1" s="1"/>
  <c r="B141" i="1"/>
  <c r="AE468" i="1" s="1"/>
  <c r="B143" i="1"/>
  <c r="AE478" i="1" s="1"/>
  <c r="B145" i="1"/>
  <c r="AE487" i="1" s="1"/>
  <c r="B113" i="1"/>
  <c r="B115" i="1"/>
  <c r="B117" i="1"/>
  <c r="B119" i="1"/>
  <c r="B155" i="1"/>
  <c r="AE527" i="1" s="1"/>
  <c r="B121" i="1"/>
  <c r="B81" i="1"/>
  <c r="B83" i="1"/>
  <c r="B85" i="1"/>
  <c r="B87" i="1"/>
  <c r="AE255" i="1" s="1"/>
  <c r="B79" i="1"/>
  <c r="B77" i="1"/>
  <c r="AE218" i="1" s="1"/>
  <c r="B29" i="1"/>
  <c r="B31" i="1"/>
  <c r="B33" i="1"/>
  <c r="B35" i="1"/>
  <c r="B37" i="1"/>
  <c r="AE79" i="1" s="1"/>
  <c r="B39" i="1"/>
  <c r="B41" i="1"/>
  <c r="B43" i="1"/>
  <c r="B45" i="1"/>
  <c r="B47" i="1"/>
  <c r="AE107" i="1" s="1"/>
  <c r="B49" i="1"/>
  <c r="B51" i="1"/>
  <c r="B53" i="1"/>
  <c r="B55" i="1"/>
  <c r="B57" i="1"/>
  <c r="AE144" i="1" s="1"/>
  <c r="B59" i="1"/>
  <c r="B61" i="1"/>
  <c r="B63" i="1"/>
  <c r="B65" i="1"/>
  <c r="B67" i="1"/>
  <c r="AE181" i="1" s="1"/>
  <c r="B69" i="1"/>
  <c r="B71" i="1"/>
  <c r="B73" i="1"/>
  <c r="B15" i="1"/>
  <c r="AE24" i="1" s="1"/>
  <c r="B17" i="1"/>
  <c r="B19" i="1"/>
  <c r="AE31" i="1" s="1"/>
  <c r="B21" i="1"/>
  <c r="B23" i="1"/>
  <c r="B25" i="1"/>
  <c r="B27" i="1"/>
  <c r="AE51" i="1" s="1"/>
  <c r="B12" i="1"/>
  <c r="B10" i="1"/>
  <c r="B6" i="1"/>
  <c r="B4" i="1"/>
  <c r="AE4" i="1" s="1"/>
  <c r="A13" i="1"/>
  <c r="A9" i="1"/>
  <c r="A7" i="1"/>
  <c r="AB10" i="1" s="1"/>
  <c r="B12" i="3" s="1"/>
  <c r="A5" i="1"/>
  <c r="A21" i="1"/>
  <c r="A17" i="1"/>
  <c r="B28" i="1"/>
  <c r="B24" i="1"/>
  <c r="B20" i="1"/>
  <c r="AE32" i="1" s="1"/>
  <c r="B16" i="1"/>
  <c r="B72" i="1"/>
  <c r="B68" i="1"/>
  <c r="B64" i="1"/>
  <c r="B60" i="1"/>
  <c r="B56" i="1"/>
  <c r="B52" i="1"/>
  <c r="B48" i="1"/>
  <c r="B40" i="1"/>
  <c r="B32" i="1"/>
  <c r="B78" i="1"/>
  <c r="B98" i="1"/>
  <c r="B96" i="1"/>
  <c r="B94" i="1"/>
  <c r="B91" i="1"/>
  <c r="B89" i="1"/>
  <c r="B99" i="1"/>
  <c r="B153" i="1"/>
  <c r="AE518" i="1" s="1"/>
  <c r="B151" i="1"/>
  <c r="AE508" i="1" s="1"/>
  <c r="B149" i="1"/>
  <c r="AE502" i="1" s="1"/>
  <c r="B147" i="1"/>
  <c r="AE492" i="1" s="1"/>
  <c r="B112" i="1"/>
  <c r="B111" i="1"/>
  <c r="B109" i="1"/>
  <c r="B140" i="1"/>
  <c r="AE467" i="1" s="1"/>
  <c r="B138" i="1"/>
  <c r="B136" i="1"/>
  <c r="AE448" i="1" s="1"/>
  <c r="B134" i="1"/>
  <c r="AE440" i="1" s="1"/>
  <c r="B133" i="1"/>
  <c r="AE437" i="1" s="1"/>
  <c r="B130" i="1"/>
  <c r="B124" i="1"/>
  <c r="A27" i="1"/>
  <c r="AB51" i="1" s="1"/>
  <c r="B53" i="3" s="1"/>
  <c r="A151" i="1"/>
  <c r="AB508" i="1" s="1"/>
  <c r="B510" i="3" s="1"/>
  <c r="A131" i="1"/>
  <c r="AB428" i="1" s="1"/>
  <c r="B430" i="3" s="1"/>
  <c r="A117" i="1"/>
  <c r="AB372" i="1" s="1"/>
  <c r="B374" i="3" s="1"/>
  <c r="A109" i="1"/>
  <c r="AB340" i="1" s="1"/>
  <c r="B342" i="3" s="1"/>
  <c r="A101" i="1"/>
  <c r="AB311" i="1" s="1"/>
  <c r="B313" i="3" s="1"/>
  <c r="A93" i="1"/>
  <c r="A86" i="1"/>
  <c r="AB251" i="1" s="1"/>
  <c r="B253" i="3" s="1"/>
  <c r="A82" i="1"/>
  <c r="AB235" i="1" s="1"/>
  <c r="B237" i="3" s="1"/>
  <c r="A63" i="1"/>
  <c r="AB165" i="1" s="1"/>
  <c r="B167" i="3" s="1"/>
  <c r="A43" i="1"/>
  <c r="B164" i="1"/>
  <c r="AE539" i="1" s="1"/>
  <c r="A164" i="1"/>
  <c r="AB539" i="1" s="1"/>
  <c r="B541" i="3" s="1"/>
  <c r="B162" i="1"/>
  <c r="AE537" i="1" s="1"/>
  <c r="A162" i="1"/>
  <c r="AB537" i="1" s="1"/>
  <c r="B539" i="3" s="1"/>
  <c r="A160" i="1"/>
  <c r="AB535" i="1" s="1"/>
  <c r="B537" i="3" s="1"/>
  <c r="B160" i="1"/>
  <c r="AE535" i="1" s="1"/>
  <c r="A161" i="1"/>
  <c r="AB536" i="1" s="1"/>
  <c r="B538" i="3" s="1"/>
  <c r="A157" i="1"/>
  <c r="AB532" i="1" s="1"/>
  <c r="B534" i="3" s="1"/>
  <c r="A159" i="1"/>
  <c r="AB534" i="1" s="1"/>
  <c r="B536" i="3" s="1"/>
  <c r="A163" i="1"/>
  <c r="AB538" i="1" s="1"/>
  <c r="B540" i="3" s="1"/>
  <c r="B165" i="1"/>
  <c r="AE540" i="1" s="1"/>
  <c r="B159" i="1"/>
  <c r="AE534" i="1" s="1"/>
  <c r="B161" i="1"/>
  <c r="AE536" i="1" s="1"/>
  <c r="B163" i="1"/>
  <c r="AE538" i="1" s="1"/>
  <c r="B158" i="1"/>
  <c r="AE533" i="1" s="1"/>
  <c r="A165" i="1"/>
  <c r="AB540" i="1" s="1"/>
  <c r="B542" i="3" s="1"/>
  <c r="AB358" i="1"/>
  <c r="B360" i="3" s="1"/>
  <c r="AB184" i="1" l="1"/>
  <c r="B186" i="3" s="1"/>
  <c r="AB450" i="1"/>
  <c r="B452" i="3" s="1"/>
  <c r="AB321" i="1"/>
  <c r="B323" i="3" s="1"/>
  <c r="AE334" i="1"/>
  <c r="AE177" i="1"/>
  <c r="AB592" i="1"/>
  <c r="B594" i="3" s="1"/>
  <c r="AB630" i="1"/>
  <c r="B632" i="3" s="1"/>
  <c r="AE630" i="1"/>
  <c r="AB632" i="1"/>
  <c r="B634" i="3" s="1"/>
  <c r="AE632" i="1"/>
  <c r="AB636" i="1"/>
  <c r="B638" i="3" s="1"/>
  <c r="AE636" i="1"/>
  <c r="AB640" i="1"/>
  <c r="B642" i="3" s="1"/>
  <c r="AE640" i="1"/>
  <c r="AB644" i="1"/>
  <c r="B646" i="3" s="1"/>
  <c r="AE644" i="1"/>
  <c r="AB648" i="1"/>
  <c r="B650" i="3" s="1"/>
  <c r="AE648" i="1"/>
  <c r="AB652" i="1"/>
  <c r="B654" i="3" s="1"/>
  <c r="AE652" i="1"/>
  <c r="AB656" i="1"/>
  <c r="B658" i="3" s="1"/>
  <c r="AE656" i="1"/>
  <c r="AB660" i="1"/>
  <c r="B662" i="3" s="1"/>
  <c r="AE660" i="1"/>
  <c r="AB664" i="1"/>
  <c r="B666" i="3" s="1"/>
  <c r="AE664" i="1"/>
  <c r="AE601" i="1"/>
  <c r="AE599" i="1"/>
  <c r="AE597" i="1"/>
  <c r="AE595" i="1"/>
  <c r="AE593" i="1"/>
  <c r="AE613" i="1"/>
  <c r="AE611" i="1"/>
  <c r="AE609" i="1"/>
  <c r="AE607" i="1"/>
  <c r="AE605" i="1"/>
  <c r="AE603" i="1"/>
  <c r="AE621" i="1"/>
  <c r="AE619" i="1"/>
  <c r="AE627" i="1"/>
  <c r="AE628" i="1"/>
  <c r="AE624" i="1"/>
  <c r="AE620" i="1"/>
  <c r="AE616" i="1"/>
  <c r="AB667" i="1"/>
  <c r="B669" i="3" s="1"/>
  <c r="AE667" i="1"/>
  <c r="AD79" i="1"/>
  <c r="D81" i="3" s="1"/>
  <c r="AD561" i="1"/>
  <c r="D563" i="3" s="1"/>
  <c r="AD63" i="1"/>
  <c r="D65" i="3" s="1"/>
  <c r="AD95" i="1"/>
  <c r="D97" i="3" s="1"/>
  <c r="AD89" i="1"/>
  <c r="D91" i="3" s="1"/>
  <c r="AD69" i="1"/>
  <c r="D71" i="3" s="1"/>
  <c r="AD538" i="1"/>
  <c r="D540" i="3" s="1"/>
  <c r="AD71" i="1"/>
  <c r="D73" i="3" s="1"/>
  <c r="AD87" i="1"/>
  <c r="D89" i="3" s="1"/>
  <c r="AD103" i="1"/>
  <c r="D105" i="3" s="1"/>
  <c r="AD73" i="1"/>
  <c r="D75" i="3" s="1"/>
  <c r="AD101" i="1"/>
  <c r="D103" i="3" s="1"/>
  <c r="AB580" i="1"/>
  <c r="B582" i="3" s="1"/>
  <c r="AE576" i="1"/>
  <c r="AB587" i="1"/>
  <c r="B589" i="3" s="1"/>
  <c r="AB585" i="1"/>
  <c r="B587" i="3" s="1"/>
  <c r="AB583" i="1"/>
  <c r="B585" i="3" s="1"/>
  <c r="AB581" i="1"/>
  <c r="B583" i="3" s="1"/>
  <c r="AE591" i="1"/>
  <c r="AB601" i="1"/>
  <c r="B603" i="3" s="1"/>
  <c r="AB599" i="1"/>
  <c r="B601" i="3" s="1"/>
  <c r="AB597" i="1"/>
  <c r="B599" i="3" s="1"/>
  <c r="AB595" i="1"/>
  <c r="B597" i="3" s="1"/>
  <c r="AB593" i="1"/>
  <c r="B595" i="3" s="1"/>
  <c r="AB613" i="1"/>
  <c r="B615" i="3" s="1"/>
  <c r="AB611" i="1"/>
  <c r="B613" i="3" s="1"/>
  <c r="AB609" i="1"/>
  <c r="B611" i="3" s="1"/>
  <c r="AB607" i="1"/>
  <c r="B609" i="3" s="1"/>
  <c r="AB605" i="1"/>
  <c r="B607" i="3" s="1"/>
  <c r="AB603" i="1"/>
  <c r="B605" i="3" s="1"/>
  <c r="AB586" i="1"/>
  <c r="B588" i="3" s="1"/>
  <c r="AB584" i="1"/>
  <c r="B586" i="3" s="1"/>
  <c r="AB582" i="1"/>
  <c r="B584" i="3" s="1"/>
  <c r="AB602" i="1"/>
  <c r="B604" i="3" s="1"/>
  <c r="AB600" i="1"/>
  <c r="B602" i="3" s="1"/>
  <c r="AD66" i="1"/>
  <c r="D68" i="3" s="1"/>
  <c r="AD82" i="1"/>
  <c r="D84" i="3" s="1"/>
  <c r="AC530" i="1"/>
  <c r="C532" i="3" s="1"/>
  <c r="AD58" i="1"/>
  <c r="D60" i="3" s="1"/>
  <c r="AD74" i="1"/>
  <c r="D76" i="3" s="1"/>
  <c r="AD92" i="1"/>
  <c r="D94" i="3" s="1"/>
  <c r="AC542" i="1"/>
  <c r="C544" i="3" s="1"/>
  <c r="AD62" i="1"/>
  <c r="D64" i="3" s="1"/>
  <c r="AD70" i="1"/>
  <c r="D72" i="3" s="1"/>
  <c r="AD78" i="1"/>
  <c r="D80" i="3" s="1"/>
  <c r="AD86" i="1"/>
  <c r="D88" i="3" s="1"/>
  <c r="AD100" i="1"/>
  <c r="D102" i="3" s="1"/>
  <c r="AC526" i="1"/>
  <c r="C528" i="3" s="1"/>
  <c r="AC534" i="1"/>
  <c r="C536" i="3" s="1"/>
  <c r="AC550" i="1"/>
  <c r="C552" i="3" s="1"/>
  <c r="AD60" i="1"/>
  <c r="D62" i="3" s="1"/>
  <c r="AD64" i="1"/>
  <c r="D66" i="3" s="1"/>
  <c r="AD68" i="1"/>
  <c r="D70" i="3" s="1"/>
  <c r="AD72" i="1"/>
  <c r="D74" i="3" s="1"/>
  <c r="AD76" i="1"/>
  <c r="D78" i="3" s="1"/>
  <c r="AD80" i="1"/>
  <c r="D82" i="3" s="1"/>
  <c r="AD84" i="1"/>
  <c r="D86" i="3" s="1"/>
  <c r="AD88" i="1"/>
  <c r="D90" i="3" s="1"/>
  <c r="AD96" i="1"/>
  <c r="D98" i="3" s="1"/>
  <c r="AD104" i="1"/>
  <c r="D106" i="3" s="1"/>
  <c r="AB568" i="1"/>
  <c r="B570" i="3" s="1"/>
  <c r="AE565" i="1"/>
  <c r="AB572" i="1"/>
  <c r="B574" i="3" s="1"/>
  <c r="AB589" i="1"/>
  <c r="B591" i="3" s="1"/>
  <c r="AE589" i="1"/>
  <c r="AE587" i="1"/>
  <c r="AE585" i="1"/>
  <c r="AE583" i="1"/>
  <c r="AE581" i="1"/>
  <c r="AB591" i="1"/>
  <c r="B593" i="3" s="1"/>
  <c r="AB598" i="1"/>
  <c r="B600" i="3" s="1"/>
  <c r="AB596" i="1"/>
  <c r="B598" i="3" s="1"/>
  <c r="AB594" i="1"/>
  <c r="B596" i="3" s="1"/>
  <c r="AB614" i="1"/>
  <c r="B616" i="3" s="1"/>
  <c r="AB612" i="1"/>
  <c r="B614" i="3" s="1"/>
  <c r="AB610" i="1"/>
  <c r="B612" i="3" s="1"/>
  <c r="AB608" i="1"/>
  <c r="B610" i="3" s="1"/>
  <c r="AB606" i="1"/>
  <c r="B608" i="3" s="1"/>
  <c r="AB604" i="1"/>
  <c r="B606" i="3" s="1"/>
  <c r="AB616" i="1"/>
  <c r="B618" i="3" s="1"/>
  <c r="AB624" i="1"/>
  <c r="B626" i="3" s="1"/>
  <c r="AB618" i="1"/>
  <c r="B620" i="3" s="1"/>
  <c r="AB626" i="1"/>
  <c r="B628" i="3" s="1"/>
  <c r="AB621" i="1"/>
  <c r="B623" i="3" s="1"/>
  <c r="AB615" i="1"/>
  <c r="B617" i="3" s="1"/>
  <c r="AB623" i="1"/>
  <c r="B625" i="3" s="1"/>
  <c r="AE555" i="1"/>
  <c r="AE564" i="1"/>
  <c r="AD90" i="1"/>
  <c r="D92" i="3" s="1"/>
  <c r="AD94" i="1"/>
  <c r="D96" i="3" s="1"/>
  <c r="AD98" i="1"/>
  <c r="D100" i="3" s="1"/>
  <c r="AD102" i="1"/>
  <c r="D104" i="3" s="1"/>
  <c r="AD106" i="1"/>
  <c r="D108" i="3" s="1"/>
  <c r="AD105" i="1"/>
  <c r="D107" i="3" s="1"/>
  <c r="AB569" i="1"/>
  <c r="B571" i="3" s="1"/>
  <c r="AB571" i="1"/>
  <c r="B573" i="3" s="1"/>
  <c r="AB573" i="1"/>
  <c r="B575" i="3" s="1"/>
  <c r="AB575" i="1"/>
  <c r="B577" i="3" s="1"/>
  <c r="AD546" i="1"/>
  <c r="D548" i="3" s="1"/>
  <c r="AC554" i="1"/>
  <c r="C556" i="3" s="1"/>
  <c r="AE572" i="1"/>
  <c r="AD59" i="1"/>
  <c r="D61" i="3" s="1"/>
  <c r="AD67" i="1"/>
  <c r="D69" i="3" s="1"/>
  <c r="AD75" i="1"/>
  <c r="D77" i="3" s="1"/>
  <c r="AD83" i="1"/>
  <c r="D85" i="3" s="1"/>
  <c r="AD91" i="1"/>
  <c r="D93" i="3" s="1"/>
  <c r="AD99" i="1"/>
  <c r="D101" i="3" s="1"/>
  <c r="AD107" i="1"/>
  <c r="D109" i="3" s="1"/>
  <c r="AD65" i="1"/>
  <c r="D67" i="3" s="1"/>
  <c r="AD81" i="1"/>
  <c r="D83" i="3" s="1"/>
  <c r="AD97" i="1"/>
  <c r="D99" i="3" s="1"/>
  <c r="AD85" i="1"/>
  <c r="D87" i="3" s="1"/>
  <c r="AD61" i="1"/>
  <c r="D63" i="3" s="1"/>
  <c r="AD559" i="1"/>
  <c r="D561" i="3" s="1"/>
  <c r="AC565" i="1"/>
  <c r="C567" i="3" s="1"/>
  <c r="AC367" i="1"/>
  <c r="C369" i="3" s="1"/>
  <c r="AE544" i="1"/>
  <c r="AB544" i="1"/>
  <c r="B546" i="3" s="1"/>
  <c r="AE547" i="1"/>
  <c r="AB553" i="1"/>
  <c r="B555" i="3" s="1"/>
  <c r="AE568" i="1"/>
  <c r="AE557" i="1"/>
  <c r="AB541" i="1"/>
  <c r="B543" i="3" s="1"/>
  <c r="AB548" i="1"/>
  <c r="B550" i="3" s="1"/>
  <c r="AE578" i="1"/>
  <c r="AB577" i="1"/>
  <c r="B579" i="3" s="1"/>
  <c r="AB579" i="1"/>
  <c r="B581" i="3" s="1"/>
  <c r="AE541" i="1"/>
  <c r="AE558" i="1"/>
  <c r="AE559" i="1"/>
  <c r="AE562" i="1"/>
  <c r="AE574" i="1"/>
  <c r="AE552" i="1"/>
  <c r="AB552" i="1"/>
  <c r="B554" i="3" s="1"/>
  <c r="AE554" i="1"/>
  <c r="AB554" i="1"/>
  <c r="B556" i="3" s="1"/>
  <c r="AB555" i="1"/>
  <c r="B557" i="3" s="1"/>
  <c r="AE556" i="1"/>
  <c r="AB563" i="1"/>
  <c r="B565" i="3" s="1"/>
  <c r="AB564" i="1"/>
  <c r="B566" i="3" s="1"/>
  <c r="AB566" i="1"/>
  <c r="B568" i="3" s="1"/>
  <c r="AB567" i="1"/>
  <c r="B569" i="3" s="1"/>
  <c r="AE549" i="1"/>
  <c r="AB557" i="1"/>
  <c r="B559" i="3" s="1"/>
  <c r="AB558" i="1"/>
  <c r="B560" i="3" s="1"/>
  <c r="AB559" i="1"/>
  <c r="B561" i="3" s="1"/>
  <c r="AB561" i="1"/>
  <c r="B563" i="3" s="1"/>
  <c r="AB565" i="1"/>
  <c r="B567" i="3" s="1"/>
  <c r="AE566" i="1"/>
  <c r="AE567" i="1"/>
  <c r="AE569" i="1"/>
  <c r="AE571" i="1"/>
  <c r="AB570" i="1"/>
  <c r="B572" i="3" s="1"/>
  <c r="AB574" i="1"/>
  <c r="B576" i="3" s="1"/>
  <c r="AB578" i="1"/>
  <c r="B580" i="3" s="1"/>
  <c r="AB546" i="1"/>
  <c r="B548" i="3" s="1"/>
  <c r="AB549" i="1"/>
  <c r="B551" i="3" s="1"/>
  <c r="AE561" i="1"/>
  <c r="AE573" i="1"/>
  <c r="AE575" i="1"/>
  <c r="AE577" i="1"/>
  <c r="AE579" i="1"/>
  <c r="AD563" i="1"/>
  <c r="D565" i="3" s="1"/>
  <c r="AD162" i="1"/>
  <c r="D164" i="3" s="1"/>
  <c r="AE545" i="1"/>
  <c r="AC366" i="1"/>
  <c r="C368" i="3" s="1"/>
  <c r="AC317" i="1"/>
  <c r="C319" i="3" s="1"/>
  <c r="AD725" i="1"/>
  <c r="AD789" i="1"/>
  <c r="AD145" i="1"/>
  <c r="D147" i="3" s="1"/>
  <c r="AD146" i="1"/>
  <c r="D148" i="3" s="1"/>
  <c r="AC334" i="1"/>
  <c r="C336" i="3" s="1"/>
  <c r="AC301" i="1"/>
  <c r="C303" i="3" s="1"/>
  <c r="AC343" i="1"/>
  <c r="C345" i="3" s="1"/>
  <c r="AD153" i="1"/>
  <c r="D155" i="3" s="1"/>
  <c r="AD154" i="1"/>
  <c r="D156" i="3" s="1"/>
  <c r="AD169" i="1"/>
  <c r="D171" i="3" s="1"/>
  <c r="AD170" i="1"/>
  <c r="D172" i="3" s="1"/>
  <c r="AC350" i="1"/>
  <c r="C352" i="3" s="1"/>
  <c r="AC293" i="1"/>
  <c r="C295" i="3" s="1"/>
  <c r="AC309" i="1"/>
  <c r="C311" i="3" s="1"/>
  <c r="AC327" i="1"/>
  <c r="C329" i="3" s="1"/>
  <c r="AC359" i="1"/>
  <c r="C361" i="3" s="1"/>
  <c r="AC375" i="1"/>
  <c r="C377" i="3" s="1"/>
  <c r="AD599" i="1"/>
  <c r="D601" i="3" s="1"/>
  <c r="AD693" i="1"/>
  <c r="AD757" i="1"/>
  <c r="AD161" i="1"/>
  <c r="D163" i="3" s="1"/>
  <c r="AD551" i="1"/>
  <c r="D553" i="3" s="1"/>
  <c r="AD568" i="1"/>
  <c r="D570" i="3" s="1"/>
  <c r="AD570" i="1"/>
  <c r="D572" i="3" s="1"/>
  <c r="AD572" i="1"/>
  <c r="D574" i="3" s="1"/>
  <c r="AD574" i="1"/>
  <c r="D576" i="3" s="1"/>
  <c r="AD141" i="1"/>
  <c r="D143" i="3" s="1"/>
  <c r="AD142" i="1"/>
  <c r="D144" i="3" s="1"/>
  <c r="AD149" i="1"/>
  <c r="D151" i="3" s="1"/>
  <c r="AD150" i="1"/>
  <c r="D152" i="3" s="1"/>
  <c r="AD157" i="1"/>
  <c r="D159" i="3" s="1"/>
  <c r="AD158" i="1"/>
  <c r="D160" i="3" s="1"/>
  <c r="AD165" i="1"/>
  <c r="D167" i="3" s="1"/>
  <c r="AD166" i="1"/>
  <c r="D168" i="3" s="1"/>
  <c r="AC326" i="1"/>
  <c r="C328" i="3" s="1"/>
  <c r="AC342" i="1"/>
  <c r="C344" i="3" s="1"/>
  <c r="AC358" i="1"/>
  <c r="C360" i="3" s="1"/>
  <c r="AC374" i="1"/>
  <c r="C376" i="3" s="1"/>
  <c r="AD286" i="1"/>
  <c r="D288" i="3" s="1"/>
  <c r="AD287" i="1"/>
  <c r="D289" i="3" s="1"/>
  <c r="AC289" i="1"/>
  <c r="C291" i="3" s="1"/>
  <c r="AC297" i="1"/>
  <c r="C299" i="3" s="1"/>
  <c r="AC305" i="1"/>
  <c r="C307" i="3" s="1"/>
  <c r="AC313" i="1"/>
  <c r="C315" i="3" s="1"/>
  <c r="AC321" i="1"/>
  <c r="C323" i="3" s="1"/>
  <c r="AC335" i="1"/>
  <c r="C337" i="3" s="1"/>
  <c r="AC351" i="1"/>
  <c r="C353" i="3" s="1"/>
  <c r="AC353" i="1"/>
  <c r="C355" i="3" s="1"/>
  <c r="AC355" i="1"/>
  <c r="C357" i="3" s="1"/>
  <c r="AC361" i="1"/>
  <c r="C363" i="3" s="1"/>
  <c r="AC363" i="1"/>
  <c r="C365" i="3" s="1"/>
  <c r="AC369" i="1"/>
  <c r="C371" i="3" s="1"/>
  <c r="AC371" i="1"/>
  <c r="C373" i="3" s="1"/>
  <c r="AC377" i="1"/>
  <c r="C379" i="3" s="1"/>
  <c r="AC379" i="1"/>
  <c r="C381" i="3" s="1"/>
  <c r="AD583" i="1"/>
  <c r="D585" i="3" s="1"/>
  <c r="AD615" i="1"/>
  <c r="D617" i="3" s="1"/>
  <c r="AD677" i="1"/>
  <c r="AD709" i="1"/>
  <c r="AD741" i="1"/>
  <c r="AD773" i="1"/>
  <c r="AD541" i="1"/>
  <c r="D543" i="3" s="1"/>
  <c r="AD543" i="1"/>
  <c r="D545" i="3" s="1"/>
  <c r="AD549" i="1"/>
  <c r="D551" i="3" s="1"/>
  <c r="AC330" i="1"/>
  <c r="C332" i="3" s="1"/>
  <c r="AC338" i="1"/>
  <c r="C340" i="3" s="1"/>
  <c r="AC346" i="1"/>
  <c r="C348" i="3" s="1"/>
  <c r="AC354" i="1"/>
  <c r="C356" i="3" s="1"/>
  <c r="AC362" i="1"/>
  <c r="C364" i="3" s="1"/>
  <c r="AC370" i="1"/>
  <c r="C372" i="3" s="1"/>
  <c r="AC378" i="1"/>
  <c r="C380" i="3" s="1"/>
  <c r="AD282" i="1"/>
  <c r="D284" i="3" s="1"/>
  <c r="AD283" i="1"/>
  <c r="D285" i="3" s="1"/>
  <c r="AC290" i="1"/>
  <c r="C292" i="3" s="1"/>
  <c r="AC291" i="1"/>
  <c r="C293" i="3" s="1"/>
  <c r="AC294" i="1"/>
  <c r="C296" i="3" s="1"/>
  <c r="AC295" i="1"/>
  <c r="C297" i="3" s="1"/>
  <c r="AC298" i="1"/>
  <c r="C300" i="3" s="1"/>
  <c r="AC299" i="1"/>
  <c r="C301" i="3" s="1"/>
  <c r="AC302" i="1"/>
  <c r="C304" i="3" s="1"/>
  <c r="AC303" i="1"/>
  <c r="C305" i="3" s="1"/>
  <c r="AC306" i="1"/>
  <c r="C308" i="3" s="1"/>
  <c r="AC307" i="1"/>
  <c r="C309" i="3" s="1"/>
  <c r="AC310" i="1"/>
  <c r="C312" i="3" s="1"/>
  <c r="AC311" i="1"/>
  <c r="C313" i="3" s="1"/>
  <c r="AC314" i="1"/>
  <c r="C316" i="3" s="1"/>
  <c r="AC315" i="1"/>
  <c r="C317" i="3" s="1"/>
  <c r="AC318" i="1"/>
  <c r="C320" i="3" s="1"/>
  <c r="AC319" i="1"/>
  <c r="C321" i="3" s="1"/>
  <c r="AC323" i="1"/>
  <c r="C325" i="3" s="1"/>
  <c r="AC324" i="1"/>
  <c r="C326" i="3" s="1"/>
  <c r="AC329" i="1"/>
  <c r="C331" i="3" s="1"/>
  <c r="AC331" i="1"/>
  <c r="C333" i="3" s="1"/>
  <c r="AC337" i="1"/>
  <c r="C339" i="3" s="1"/>
  <c r="AC339" i="1"/>
  <c r="C341" i="3" s="1"/>
  <c r="AC345" i="1"/>
  <c r="C347" i="3" s="1"/>
  <c r="AC347" i="1"/>
  <c r="C349" i="3" s="1"/>
  <c r="AD571" i="1"/>
  <c r="D573" i="3" s="1"/>
  <c r="AD173" i="1"/>
  <c r="D175" i="3" s="1"/>
  <c r="AD591" i="1"/>
  <c r="D593" i="3" s="1"/>
  <c r="AD607" i="1"/>
  <c r="D609" i="3" s="1"/>
  <c r="AD623" i="1"/>
  <c r="D625" i="3" s="1"/>
  <c r="AD669" i="1"/>
  <c r="AD685" i="1"/>
  <c r="AD701" i="1"/>
  <c r="AD717" i="1"/>
  <c r="AD733" i="1"/>
  <c r="AD749" i="1"/>
  <c r="AD765" i="1"/>
  <c r="AD781" i="1"/>
  <c r="AD797" i="1"/>
  <c r="AD579" i="1"/>
  <c r="D581" i="3" s="1"/>
  <c r="AD587" i="1"/>
  <c r="D589" i="3" s="1"/>
  <c r="AD595" i="1"/>
  <c r="D597" i="3" s="1"/>
  <c r="AD603" i="1"/>
  <c r="D605" i="3" s="1"/>
  <c r="AD611" i="1"/>
  <c r="D613" i="3" s="1"/>
  <c r="AD619" i="1"/>
  <c r="D621" i="3" s="1"/>
  <c r="AD627" i="1"/>
  <c r="D629" i="3" s="1"/>
  <c r="AD635" i="1"/>
  <c r="D637" i="3" s="1"/>
  <c r="AD643" i="1"/>
  <c r="D645" i="3" s="1"/>
  <c r="AD651" i="1"/>
  <c r="D653" i="3" s="1"/>
  <c r="AD659" i="1"/>
  <c r="D661" i="3" s="1"/>
  <c r="AD673" i="1"/>
  <c r="AD681" i="1"/>
  <c r="AD689" i="1"/>
  <c r="AD697" i="1"/>
  <c r="AD705" i="1"/>
  <c r="AD713" i="1"/>
  <c r="AD721" i="1"/>
  <c r="AD729" i="1"/>
  <c r="AD737" i="1"/>
  <c r="AD745" i="1"/>
  <c r="AD753" i="1"/>
  <c r="AD761" i="1"/>
  <c r="AD769" i="1"/>
  <c r="AD777" i="1"/>
  <c r="AD785" i="1"/>
  <c r="AD793" i="1"/>
  <c r="AD672" i="1"/>
  <c r="AD680" i="1"/>
  <c r="AD704" i="1"/>
  <c r="AD720" i="1"/>
  <c r="AD736" i="1"/>
  <c r="AD748" i="1"/>
  <c r="AD756" i="1"/>
  <c r="AD768" i="1"/>
  <c r="AD784" i="1"/>
  <c r="AD792" i="1"/>
  <c r="AD800" i="1"/>
  <c r="AD558" i="1"/>
  <c r="D560" i="3" s="1"/>
  <c r="AD560" i="1"/>
  <c r="D562" i="3" s="1"/>
  <c r="AD567" i="1"/>
  <c r="D569" i="3" s="1"/>
  <c r="AD575" i="1"/>
  <c r="D577" i="3" s="1"/>
  <c r="AD139" i="1"/>
  <c r="D141" i="3" s="1"/>
  <c r="AD140" i="1"/>
  <c r="D142" i="3" s="1"/>
  <c r="AD143" i="1"/>
  <c r="D145" i="3" s="1"/>
  <c r="AD144" i="1"/>
  <c r="D146" i="3" s="1"/>
  <c r="AD147" i="1"/>
  <c r="D149" i="3" s="1"/>
  <c r="AD148" i="1"/>
  <c r="D150" i="3" s="1"/>
  <c r="AD151" i="1"/>
  <c r="D153" i="3" s="1"/>
  <c r="AD152" i="1"/>
  <c r="D154" i="3" s="1"/>
  <c r="AD155" i="1"/>
  <c r="D157" i="3" s="1"/>
  <c r="AD156" i="1"/>
  <c r="D158" i="3" s="1"/>
  <c r="AD159" i="1"/>
  <c r="D161" i="3" s="1"/>
  <c r="AD160" i="1"/>
  <c r="D162" i="3" s="1"/>
  <c r="AD163" i="1"/>
  <c r="D165" i="3" s="1"/>
  <c r="AD164" i="1"/>
  <c r="D166" i="3" s="1"/>
  <c r="AD167" i="1"/>
  <c r="D169" i="3" s="1"/>
  <c r="AD168" i="1"/>
  <c r="D170" i="3" s="1"/>
  <c r="AD171" i="1"/>
  <c r="D173" i="3" s="1"/>
  <c r="AD172" i="1"/>
  <c r="D174" i="3" s="1"/>
  <c r="AD576" i="1"/>
  <c r="D578" i="3" s="1"/>
  <c r="AD578" i="1"/>
  <c r="D580" i="3" s="1"/>
  <c r="AD580" i="1"/>
  <c r="D582" i="3" s="1"/>
  <c r="AD582" i="1"/>
  <c r="D584" i="3" s="1"/>
  <c r="AD584" i="1"/>
  <c r="D586" i="3" s="1"/>
  <c r="AD586" i="1"/>
  <c r="D588" i="3" s="1"/>
  <c r="AD588" i="1"/>
  <c r="D590" i="3" s="1"/>
  <c r="AD590" i="1"/>
  <c r="D592" i="3" s="1"/>
  <c r="AD592" i="1"/>
  <c r="D594" i="3" s="1"/>
  <c r="AD594" i="1"/>
  <c r="D596" i="3" s="1"/>
  <c r="AD596" i="1"/>
  <c r="D598" i="3" s="1"/>
  <c r="AD598" i="1"/>
  <c r="D600" i="3" s="1"/>
  <c r="AD600" i="1"/>
  <c r="D602" i="3" s="1"/>
  <c r="AD602" i="1"/>
  <c r="D604" i="3" s="1"/>
  <c r="AD604" i="1"/>
  <c r="D606" i="3" s="1"/>
  <c r="AD606" i="1"/>
  <c r="D608" i="3" s="1"/>
  <c r="AD608" i="1"/>
  <c r="D610" i="3" s="1"/>
  <c r="AD610" i="1"/>
  <c r="D612" i="3" s="1"/>
  <c r="AD612" i="1"/>
  <c r="D614" i="3" s="1"/>
  <c r="AD614" i="1"/>
  <c r="D616" i="3" s="1"/>
  <c r="AD616" i="1"/>
  <c r="D618" i="3" s="1"/>
  <c r="AD618" i="1"/>
  <c r="D620" i="3" s="1"/>
  <c r="AD620" i="1"/>
  <c r="D622" i="3" s="1"/>
  <c r="AD622" i="1"/>
  <c r="D624" i="3" s="1"/>
  <c r="AD624" i="1"/>
  <c r="D626" i="3" s="1"/>
  <c r="AD626" i="1"/>
  <c r="D628" i="3" s="1"/>
  <c r="AD628" i="1"/>
  <c r="D630" i="3" s="1"/>
  <c r="AD630" i="1"/>
  <c r="D632" i="3" s="1"/>
  <c r="AD632" i="1"/>
  <c r="D634" i="3" s="1"/>
  <c r="AD634" i="1"/>
  <c r="D636" i="3" s="1"/>
  <c r="AD636" i="1"/>
  <c r="D638" i="3" s="1"/>
  <c r="AD638" i="1"/>
  <c r="D640" i="3" s="1"/>
  <c r="AD640" i="1"/>
  <c r="D642" i="3" s="1"/>
  <c r="AD642" i="1"/>
  <c r="D644" i="3" s="1"/>
  <c r="AD644" i="1"/>
  <c r="D646" i="3" s="1"/>
  <c r="AD646" i="1"/>
  <c r="D648" i="3" s="1"/>
  <c r="AD648" i="1"/>
  <c r="D650" i="3" s="1"/>
  <c r="AD650" i="1"/>
  <c r="D652" i="3" s="1"/>
  <c r="AD652" i="1"/>
  <c r="D654" i="3" s="1"/>
  <c r="AD654" i="1"/>
  <c r="D656" i="3" s="1"/>
  <c r="AD656" i="1"/>
  <c r="D658" i="3" s="1"/>
  <c r="AD658" i="1"/>
  <c r="D660" i="3" s="1"/>
  <c r="AD660" i="1"/>
  <c r="D662" i="3" s="1"/>
  <c r="AD662" i="1"/>
  <c r="D664" i="3" s="1"/>
  <c r="AD664" i="1"/>
  <c r="D666" i="3" s="1"/>
  <c r="AD666" i="1"/>
  <c r="D668" i="3" s="1"/>
  <c r="AC380" i="1"/>
  <c r="C382" i="3" s="1"/>
  <c r="AD284" i="1"/>
  <c r="D286" i="3" s="1"/>
  <c r="AD285" i="1"/>
  <c r="D287" i="3" s="1"/>
  <c r="AC288" i="1"/>
  <c r="C290" i="3" s="1"/>
  <c r="AC292" i="1"/>
  <c r="C294" i="3" s="1"/>
  <c r="AC296" i="1"/>
  <c r="C298" i="3" s="1"/>
  <c r="AC300" i="1"/>
  <c r="C302" i="3" s="1"/>
  <c r="AC304" i="1"/>
  <c r="C306" i="3" s="1"/>
  <c r="AC308" i="1"/>
  <c r="C310" i="3" s="1"/>
  <c r="AC312" i="1"/>
  <c r="C314" i="3" s="1"/>
  <c r="AC316" i="1"/>
  <c r="C318" i="3" s="1"/>
  <c r="AC320" i="1"/>
  <c r="C322" i="3" s="1"/>
  <c r="AC325" i="1"/>
  <c r="C327" i="3" s="1"/>
  <c r="AC333" i="1"/>
  <c r="C335" i="3" s="1"/>
  <c r="AC341" i="1"/>
  <c r="C343" i="3" s="1"/>
  <c r="AC349" i="1"/>
  <c r="C351" i="3" s="1"/>
  <c r="AC357" i="1"/>
  <c r="C359" i="3" s="1"/>
  <c r="AC365" i="1"/>
  <c r="C367" i="3" s="1"/>
  <c r="AC373" i="1"/>
  <c r="C375" i="3" s="1"/>
  <c r="AC381" i="1"/>
  <c r="C383" i="3" s="1"/>
  <c r="AD631" i="1"/>
  <c r="D633" i="3" s="1"/>
  <c r="AD639" i="1"/>
  <c r="D641" i="3" s="1"/>
  <c r="AD647" i="1"/>
  <c r="D649" i="3" s="1"/>
  <c r="AD655" i="1"/>
  <c r="D657" i="3" s="1"/>
  <c r="AD663" i="1"/>
  <c r="D665" i="3" s="1"/>
  <c r="AD676" i="1"/>
  <c r="AD688" i="1"/>
  <c r="AD712" i="1"/>
  <c r="AD728" i="1"/>
  <c r="AD744" i="1"/>
  <c r="AD752" i="1"/>
  <c r="AD760" i="1"/>
  <c r="AD776" i="1"/>
  <c r="AD788" i="1"/>
  <c r="AD796" i="1"/>
  <c r="AC328" i="1"/>
  <c r="C330" i="3" s="1"/>
  <c r="AC336" i="1"/>
  <c r="C338" i="3" s="1"/>
  <c r="AC344" i="1"/>
  <c r="C346" i="3" s="1"/>
  <c r="AC352" i="1"/>
  <c r="C354" i="3" s="1"/>
  <c r="AC360" i="1"/>
  <c r="C362" i="3" s="1"/>
  <c r="AC368" i="1"/>
  <c r="C370" i="3" s="1"/>
  <c r="AC376" i="1"/>
  <c r="C378" i="3" s="1"/>
  <c r="AB147" i="1"/>
  <c r="B149" i="3" s="1"/>
  <c r="AB257" i="1"/>
  <c r="B259" i="3" s="1"/>
  <c r="AB78" i="1"/>
  <c r="B80" i="3" s="1"/>
  <c r="AE489" i="1"/>
  <c r="AD566" i="1"/>
  <c r="D568" i="3" s="1"/>
  <c r="AD569" i="1"/>
  <c r="D571" i="3" s="1"/>
  <c r="AD573" i="1"/>
  <c r="D575" i="3" s="1"/>
  <c r="AD382" i="1"/>
  <c r="D384" i="3" s="1"/>
  <c r="AD322" i="1"/>
  <c r="D324" i="3" s="1"/>
  <c r="AD332" i="1"/>
  <c r="D334" i="3" s="1"/>
  <c r="AD340" i="1"/>
  <c r="D342" i="3" s="1"/>
  <c r="AD348" i="1"/>
  <c r="D350" i="3" s="1"/>
  <c r="AD356" i="1"/>
  <c r="D358" i="3" s="1"/>
  <c r="AD364" i="1"/>
  <c r="D366" i="3" s="1"/>
  <c r="AD372" i="1"/>
  <c r="D374" i="3" s="1"/>
  <c r="AD174" i="1"/>
  <c r="D176" i="3" s="1"/>
  <c r="AD175" i="1"/>
  <c r="D177" i="3" s="1"/>
  <c r="AD176" i="1"/>
  <c r="D178" i="3" s="1"/>
  <c r="AD177" i="1"/>
  <c r="D179" i="3" s="1"/>
  <c r="AD178" i="1"/>
  <c r="D180" i="3" s="1"/>
  <c r="AD179" i="1"/>
  <c r="D181" i="3" s="1"/>
  <c r="AD180" i="1"/>
  <c r="D182" i="3" s="1"/>
  <c r="AD181" i="1"/>
  <c r="D183" i="3" s="1"/>
  <c r="AD182" i="1"/>
  <c r="D184" i="3" s="1"/>
  <c r="AD183" i="1"/>
  <c r="D185" i="3" s="1"/>
  <c r="AD184" i="1"/>
  <c r="D186" i="3" s="1"/>
  <c r="AD185" i="1"/>
  <c r="D187" i="3" s="1"/>
  <c r="AD186" i="1"/>
  <c r="D188" i="3" s="1"/>
  <c r="AD187" i="1"/>
  <c r="D189" i="3" s="1"/>
  <c r="AD188" i="1"/>
  <c r="D190" i="3" s="1"/>
  <c r="AD189" i="1"/>
  <c r="D191" i="3" s="1"/>
  <c r="AD190" i="1"/>
  <c r="D192" i="3" s="1"/>
  <c r="AD191" i="1"/>
  <c r="D193" i="3" s="1"/>
  <c r="AD192" i="1"/>
  <c r="D194" i="3" s="1"/>
  <c r="AD193" i="1"/>
  <c r="D195" i="3" s="1"/>
  <c r="AD194" i="1"/>
  <c r="D196" i="3" s="1"/>
  <c r="AD195" i="1"/>
  <c r="D197" i="3" s="1"/>
  <c r="AD196" i="1"/>
  <c r="D198" i="3" s="1"/>
  <c r="AD197" i="1"/>
  <c r="D199" i="3" s="1"/>
  <c r="AD198" i="1"/>
  <c r="D200" i="3" s="1"/>
  <c r="AD199" i="1"/>
  <c r="D201" i="3" s="1"/>
  <c r="AD200" i="1"/>
  <c r="D202" i="3" s="1"/>
  <c r="AD201" i="1"/>
  <c r="D203" i="3" s="1"/>
  <c r="AD202" i="1"/>
  <c r="D204" i="3" s="1"/>
  <c r="AD203" i="1"/>
  <c r="D205" i="3" s="1"/>
  <c r="AD204" i="1"/>
  <c r="D206" i="3" s="1"/>
  <c r="AD205" i="1"/>
  <c r="D207" i="3" s="1"/>
  <c r="AD206" i="1"/>
  <c r="D208" i="3" s="1"/>
  <c r="AD207" i="1"/>
  <c r="D209" i="3" s="1"/>
  <c r="AD208" i="1"/>
  <c r="D210" i="3" s="1"/>
  <c r="AD209" i="1"/>
  <c r="D211" i="3" s="1"/>
  <c r="AD210" i="1"/>
  <c r="D212" i="3" s="1"/>
  <c r="AD211" i="1"/>
  <c r="D213" i="3" s="1"/>
  <c r="AD212" i="1"/>
  <c r="D214" i="3" s="1"/>
  <c r="AD213" i="1"/>
  <c r="D215" i="3" s="1"/>
  <c r="AD214" i="1"/>
  <c r="D216" i="3" s="1"/>
  <c r="AD215" i="1"/>
  <c r="D217" i="3" s="1"/>
  <c r="AD216" i="1"/>
  <c r="D218" i="3" s="1"/>
  <c r="AD217" i="1"/>
  <c r="D219" i="3" s="1"/>
  <c r="AD218" i="1"/>
  <c r="D220" i="3" s="1"/>
  <c r="AD219" i="1"/>
  <c r="D221" i="3" s="1"/>
  <c r="AD220" i="1"/>
  <c r="D222" i="3" s="1"/>
  <c r="AD221" i="1"/>
  <c r="D223" i="3" s="1"/>
  <c r="AD222" i="1"/>
  <c r="D224" i="3" s="1"/>
  <c r="AD223" i="1"/>
  <c r="D225" i="3" s="1"/>
  <c r="AD224" i="1"/>
  <c r="D226" i="3" s="1"/>
  <c r="AD225" i="1"/>
  <c r="D227" i="3" s="1"/>
  <c r="AD226" i="1"/>
  <c r="D228" i="3" s="1"/>
  <c r="AD227" i="1"/>
  <c r="D229" i="3" s="1"/>
  <c r="AD228" i="1"/>
  <c r="D230" i="3" s="1"/>
  <c r="AD229" i="1"/>
  <c r="D231" i="3" s="1"/>
  <c r="AD230" i="1"/>
  <c r="D232" i="3" s="1"/>
  <c r="AD231" i="1"/>
  <c r="D233" i="3" s="1"/>
  <c r="AD232" i="1"/>
  <c r="D234" i="3" s="1"/>
  <c r="AD233" i="1"/>
  <c r="D235" i="3" s="1"/>
  <c r="AD234" i="1"/>
  <c r="D236" i="3" s="1"/>
  <c r="AD235" i="1"/>
  <c r="D237" i="3" s="1"/>
  <c r="AD236" i="1"/>
  <c r="D238" i="3" s="1"/>
  <c r="AD237" i="1"/>
  <c r="D239" i="3" s="1"/>
  <c r="AD238" i="1"/>
  <c r="D240" i="3" s="1"/>
  <c r="AD239" i="1"/>
  <c r="D241" i="3" s="1"/>
  <c r="AD240" i="1"/>
  <c r="D242" i="3" s="1"/>
  <c r="AD241" i="1"/>
  <c r="D243" i="3" s="1"/>
  <c r="AD242" i="1"/>
  <c r="D244" i="3" s="1"/>
  <c r="AD243" i="1"/>
  <c r="D245" i="3" s="1"/>
  <c r="AD244" i="1"/>
  <c r="D246" i="3" s="1"/>
  <c r="AD245" i="1"/>
  <c r="D247" i="3" s="1"/>
  <c r="AD246" i="1"/>
  <c r="D248" i="3" s="1"/>
  <c r="AD247" i="1"/>
  <c r="D249" i="3" s="1"/>
  <c r="AD248" i="1"/>
  <c r="D250" i="3" s="1"/>
  <c r="AD249" i="1"/>
  <c r="D251" i="3" s="1"/>
  <c r="AD250" i="1"/>
  <c r="D252" i="3" s="1"/>
  <c r="AD251" i="1"/>
  <c r="D253" i="3" s="1"/>
  <c r="AD252" i="1"/>
  <c r="D254" i="3" s="1"/>
  <c r="AD253" i="1"/>
  <c r="D255" i="3" s="1"/>
  <c r="AD254" i="1"/>
  <c r="D256" i="3" s="1"/>
  <c r="AD255" i="1"/>
  <c r="D257" i="3" s="1"/>
  <c r="AD256" i="1"/>
  <c r="D258" i="3" s="1"/>
  <c r="AD257" i="1"/>
  <c r="D259" i="3" s="1"/>
  <c r="AD258" i="1"/>
  <c r="D260" i="3" s="1"/>
  <c r="AD259" i="1"/>
  <c r="D261" i="3" s="1"/>
  <c r="AD260" i="1"/>
  <c r="D262" i="3" s="1"/>
  <c r="AD261" i="1"/>
  <c r="D263" i="3" s="1"/>
  <c r="AD262" i="1"/>
  <c r="D264" i="3" s="1"/>
  <c r="AD263" i="1"/>
  <c r="D265" i="3" s="1"/>
  <c r="AD264" i="1"/>
  <c r="D266" i="3" s="1"/>
  <c r="AD265" i="1"/>
  <c r="D267" i="3" s="1"/>
  <c r="AD266" i="1"/>
  <c r="D268" i="3" s="1"/>
  <c r="AD267" i="1"/>
  <c r="D269" i="3" s="1"/>
  <c r="AD268" i="1"/>
  <c r="D270" i="3" s="1"/>
  <c r="AD269" i="1"/>
  <c r="D271" i="3" s="1"/>
  <c r="AD270" i="1"/>
  <c r="D272" i="3" s="1"/>
  <c r="AD271" i="1"/>
  <c r="D273" i="3" s="1"/>
  <c r="AD272" i="1"/>
  <c r="D274" i="3" s="1"/>
  <c r="AD273" i="1"/>
  <c r="D275" i="3" s="1"/>
  <c r="AD274" i="1"/>
  <c r="D276" i="3" s="1"/>
  <c r="AD275" i="1"/>
  <c r="D277" i="3" s="1"/>
  <c r="AD276" i="1"/>
  <c r="D278" i="3" s="1"/>
  <c r="AD277" i="1"/>
  <c r="D279" i="3" s="1"/>
  <c r="AD278" i="1"/>
  <c r="D280" i="3" s="1"/>
  <c r="AD279" i="1"/>
  <c r="D281" i="3" s="1"/>
  <c r="AD280" i="1"/>
  <c r="D282" i="3" s="1"/>
  <c r="AD281" i="1"/>
  <c r="D283" i="3" s="1"/>
  <c r="AC385" i="1"/>
  <c r="C387" i="3" s="1"/>
  <c r="AC389" i="1"/>
  <c r="C391" i="3" s="1"/>
  <c r="AC393" i="1"/>
  <c r="C395" i="3" s="1"/>
  <c r="AC397" i="1"/>
  <c r="C399" i="3" s="1"/>
  <c r="AC401" i="1"/>
  <c r="C403" i="3" s="1"/>
  <c r="AC405" i="1"/>
  <c r="C407" i="3" s="1"/>
  <c r="AC409" i="1"/>
  <c r="C411" i="3" s="1"/>
  <c r="AC413" i="1"/>
  <c r="C415" i="3" s="1"/>
  <c r="AC417" i="1"/>
  <c r="C419" i="3" s="1"/>
  <c r="AC421" i="1"/>
  <c r="C423" i="3" s="1"/>
  <c r="AC425" i="1"/>
  <c r="C427" i="3" s="1"/>
  <c r="AC429" i="1"/>
  <c r="C431" i="3" s="1"/>
  <c r="AC581" i="1"/>
  <c r="C583" i="3" s="1"/>
  <c r="AD581" i="1"/>
  <c r="D583" i="3" s="1"/>
  <c r="AC589" i="1"/>
  <c r="C591" i="3" s="1"/>
  <c r="AD589" i="1"/>
  <c r="D591" i="3" s="1"/>
  <c r="AC597" i="1"/>
  <c r="C599" i="3" s="1"/>
  <c r="AD597" i="1"/>
  <c r="D599" i="3" s="1"/>
  <c r="AC605" i="1"/>
  <c r="C607" i="3" s="1"/>
  <c r="AD605" i="1"/>
  <c r="D607" i="3" s="1"/>
  <c r="AC613" i="1"/>
  <c r="C615" i="3" s="1"/>
  <c r="AD613" i="1"/>
  <c r="D615" i="3" s="1"/>
  <c r="AC621" i="1"/>
  <c r="C623" i="3" s="1"/>
  <c r="AD621" i="1"/>
  <c r="D623" i="3" s="1"/>
  <c r="AC629" i="1"/>
  <c r="C631" i="3" s="1"/>
  <c r="AD629" i="1"/>
  <c r="D631" i="3" s="1"/>
  <c r="AC637" i="1"/>
  <c r="C639" i="3" s="1"/>
  <c r="AD637" i="1"/>
  <c r="D639" i="3" s="1"/>
  <c r="AC645" i="1"/>
  <c r="C647" i="3" s="1"/>
  <c r="AD645" i="1"/>
  <c r="D647" i="3" s="1"/>
  <c r="AC653" i="1"/>
  <c r="C655" i="3" s="1"/>
  <c r="AD653" i="1"/>
  <c r="D655" i="3" s="1"/>
  <c r="AC661" i="1"/>
  <c r="C663" i="3" s="1"/>
  <c r="AD661" i="1"/>
  <c r="D663" i="3" s="1"/>
  <c r="AC667" i="1"/>
  <c r="C669" i="3" s="1"/>
  <c r="AD667" i="1"/>
  <c r="D669" i="3" s="1"/>
  <c r="AC670" i="1"/>
  <c r="AD670" i="1"/>
  <c r="AC675" i="1"/>
  <c r="AD675" i="1"/>
  <c r="AC683" i="1"/>
  <c r="AD683" i="1"/>
  <c r="AC686" i="1"/>
  <c r="AD686" i="1"/>
  <c r="AC691" i="1"/>
  <c r="AD691" i="1"/>
  <c r="AD694" i="1"/>
  <c r="AC694" i="1"/>
  <c r="AC699" i="1"/>
  <c r="AD699" i="1"/>
  <c r="AC707" i="1"/>
  <c r="AD707" i="1"/>
  <c r="AC715" i="1"/>
  <c r="AD715" i="1"/>
  <c r="AC723" i="1"/>
  <c r="AD723" i="1"/>
  <c r="AC731" i="1"/>
  <c r="AD731" i="1"/>
  <c r="AC739" i="1"/>
  <c r="AD739" i="1"/>
  <c r="AC747" i="1"/>
  <c r="AD747" i="1"/>
  <c r="AC755" i="1"/>
  <c r="AD755" i="1"/>
  <c r="AC763" i="1"/>
  <c r="AD763" i="1"/>
  <c r="AC771" i="1"/>
  <c r="AD771" i="1"/>
  <c r="AC779" i="1"/>
  <c r="AD779" i="1"/>
  <c r="AC787" i="1"/>
  <c r="AD787" i="1"/>
  <c r="AC795" i="1"/>
  <c r="AD795" i="1"/>
  <c r="AC702" i="1"/>
  <c r="AC710" i="1"/>
  <c r="AC718" i="1"/>
  <c r="AC726" i="1"/>
  <c r="AC734" i="1"/>
  <c r="AC742" i="1"/>
  <c r="AC746" i="1"/>
  <c r="AC750" i="1"/>
  <c r="AC754" i="1"/>
  <c r="AC758" i="1"/>
  <c r="AC766" i="1"/>
  <c r="AC774" i="1"/>
  <c r="AC782" i="1"/>
  <c r="AC786" i="1"/>
  <c r="AC790" i="1"/>
  <c r="AC794" i="1"/>
  <c r="AC798" i="1"/>
  <c r="AD433" i="1"/>
  <c r="D435" i="3" s="1"/>
  <c r="AC433" i="1"/>
  <c r="C435" i="3" s="1"/>
  <c r="AD437" i="1"/>
  <c r="D439" i="3" s="1"/>
  <c r="AC437" i="1"/>
  <c r="C439" i="3" s="1"/>
  <c r="AD441" i="1"/>
  <c r="D443" i="3" s="1"/>
  <c r="AC441" i="1"/>
  <c r="C443" i="3" s="1"/>
  <c r="AD445" i="1"/>
  <c r="D447" i="3" s="1"/>
  <c r="AC445" i="1"/>
  <c r="C447" i="3" s="1"/>
  <c r="AD449" i="1"/>
  <c r="D451" i="3" s="1"/>
  <c r="AC449" i="1"/>
  <c r="C451" i="3" s="1"/>
  <c r="AD453" i="1"/>
  <c r="D455" i="3" s="1"/>
  <c r="AC453" i="1"/>
  <c r="C455" i="3" s="1"/>
  <c r="AD457" i="1"/>
  <c r="D459" i="3" s="1"/>
  <c r="AC457" i="1"/>
  <c r="C459" i="3" s="1"/>
  <c r="AD461" i="1"/>
  <c r="D463" i="3" s="1"/>
  <c r="AC461" i="1"/>
  <c r="C463" i="3" s="1"/>
  <c r="AD465" i="1"/>
  <c r="D467" i="3" s="1"/>
  <c r="AC465" i="1"/>
  <c r="C467" i="3" s="1"/>
  <c r="AD469" i="1"/>
  <c r="D471" i="3" s="1"/>
  <c r="AC469" i="1"/>
  <c r="C471" i="3" s="1"/>
  <c r="AD473" i="1"/>
  <c r="D475" i="3" s="1"/>
  <c r="AC473" i="1"/>
  <c r="C475" i="3" s="1"/>
  <c r="AD477" i="1"/>
  <c r="D479" i="3" s="1"/>
  <c r="AC477" i="1"/>
  <c r="C479" i="3" s="1"/>
  <c r="AD481" i="1"/>
  <c r="D483" i="3" s="1"/>
  <c r="AC481" i="1"/>
  <c r="C483" i="3" s="1"/>
  <c r="AD485" i="1"/>
  <c r="D487" i="3" s="1"/>
  <c r="AC485" i="1"/>
  <c r="C487" i="3" s="1"/>
  <c r="AD489" i="1"/>
  <c r="D491" i="3" s="1"/>
  <c r="AC489" i="1"/>
  <c r="C491" i="3" s="1"/>
  <c r="AD493" i="1"/>
  <c r="D495" i="3" s="1"/>
  <c r="AC493" i="1"/>
  <c r="C495" i="3" s="1"/>
  <c r="AD497" i="1"/>
  <c r="D499" i="3" s="1"/>
  <c r="AC497" i="1"/>
  <c r="C499" i="3" s="1"/>
  <c r="AD501" i="1"/>
  <c r="D503" i="3" s="1"/>
  <c r="AC501" i="1"/>
  <c r="C503" i="3" s="1"/>
  <c r="AD505" i="1"/>
  <c r="D507" i="3" s="1"/>
  <c r="AC505" i="1"/>
  <c r="C507" i="3" s="1"/>
  <c r="AD509" i="1"/>
  <c r="D511" i="3" s="1"/>
  <c r="AC509" i="1"/>
  <c r="C511" i="3" s="1"/>
  <c r="AC383" i="1"/>
  <c r="C385" i="3" s="1"/>
  <c r="AC387" i="1"/>
  <c r="C389" i="3" s="1"/>
  <c r="AC391" i="1"/>
  <c r="C393" i="3" s="1"/>
  <c r="AC395" i="1"/>
  <c r="C397" i="3" s="1"/>
  <c r="AC399" i="1"/>
  <c r="C401" i="3" s="1"/>
  <c r="AC403" i="1"/>
  <c r="C405" i="3" s="1"/>
  <c r="AC407" i="1"/>
  <c r="C409" i="3" s="1"/>
  <c r="AC411" i="1"/>
  <c r="C413" i="3" s="1"/>
  <c r="AC415" i="1"/>
  <c r="C417" i="3" s="1"/>
  <c r="AC419" i="1"/>
  <c r="C421" i="3" s="1"/>
  <c r="AC423" i="1"/>
  <c r="C425" i="3" s="1"/>
  <c r="AC427" i="1"/>
  <c r="C429" i="3" s="1"/>
  <c r="AC431" i="1"/>
  <c r="C433" i="3" s="1"/>
  <c r="AC577" i="1"/>
  <c r="C579" i="3" s="1"/>
  <c r="AD577" i="1"/>
  <c r="D579" i="3" s="1"/>
  <c r="AC585" i="1"/>
  <c r="C587" i="3" s="1"/>
  <c r="AD585" i="1"/>
  <c r="D587" i="3" s="1"/>
  <c r="AC593" i="1"/>
  <c r="C595" i="3" s="1"/>
  <c r="AD593" i="1"/>
  <c r="D595" i="3" s="1"/>
  <c r="AC601" i="1"/>
  <c r="C603" i="3" s="1"/>
  <c r="AD601" i="1"/>
  <c r="D603" i="3" s="1"/>
  <c r="AC609" i="1"/>
  <c r="C611" i="3" s="1"/>
  <c r="AD609" i="1"/>
  <c r="D611" i="3" s="1"/>
  <c r="AC617" i="1"/>
  <c r="C619" i="3" s="1"/>
  <c r="AD617" i="1"/>
  <c r="D619" i="3" s="1"/>
  <c r="AC625" i="1"/>
  <c r="C627" i="3" s="1"/>
  <c r="AD625" i="1"/>
  <c r="D627" i="3" s="1"/>
  <c r="AC633" i="1"/>
  <c r="C635" i="3" s="1"/>
  <c r="AD633" i="1"/>
  <c r="D635" i="3" s="1"/>
  <c r="AC641" i="1"/>
  <c r="C643" i="3" s="1"/>
  <c r="AD641" i="1"/>
  <c r="D643" i="3" s="1"/>
  <c r="AC649" i="1"/>
  <c r="C651" i="3" s="1"/>
  <c r="AD649" i="1"/>
  <c r="D651" i="3" s="1"/>
  <c r="AC657" i="1"/>
  <c r="C659" i="3" s="1"/>
  <c r="AD657" i="1"/>
  <c r="D659" i="3" s="1"/>
  <c r="AC665" i="1"/>
  <c r="C667" i="3" s="1"/>
  <c r="AD665" i="1"/>
  <c r="D667" i="3" s="1"/>
  <c r="AC671" i="1"/>
  <c r="AD671" i="1"/>
  <c r="AC679" i="1"/>
  <c r="AD679" i="1"/>
  <c r="AC687" i="1"/>
  <c r="AD687" i="1"/>
  <c r="AC695" i="1"/>
  <c r="AD695" i="1"/>
  <c r="AD698" i="1"/>
  <c r="AC698" i="1"/>
  <c r="AC703" i="1"/>
  <c r="AD703" i="1"/>
  <c r="AC706" i="1"/>
  <c r="AD706" i="1"/>
  <c r="AC711" i="1"/>
  <c r="AD711" i="1"/>
  <c r="AC714" i="1"/>
  <c r="AD714" i="1"/>
  <c r="AC719" i="1"/>
  <c r="AD719" i="1"/>
  <c r="AC722" i="1"/>
  <c r="AD722" i="1"/>
  <c r="AC727" i="1"/>
  <c r="AD727" i="1"/>
  <c r="AC730" i="1"/>
  <c r="AD730" i="1"/>
  <c r="AC735" i="1"/>
  <c r="AD735" i="1"/>
  <c r="AC738" i="1"/>
  <c r="AD738" i="1"/>
  <c r="AC743" i="1"/>
  <c r="AD743" i="1"/>
  <c r="AC751" i="1"/>
  <c r="AD751" i="1"/>
  <c r="AC759" i="1"/>
  <c r="AD759" i="1"/>
  <c r="AC762" i="1"/>
  <c r="AD762" i="1"/>
  <c r="AC767" i="1"/>
  <c r="AD767" i="1"/>
  <c r="AC770" i="1"/>
  <c r="AD770" i="1"/>
  <c r="AC775" i="1"/>
  <c r="AD775" i="1"/>
  <c r="AC778" i="1"/>
  <c r="AD778" i="1"/>
  <c r="AC783" i="1"/>
  <c r="AD783" i="1"/>
  <c r="AC791" i="1"/>
  <c r="AD791" i="1"/>
  <c r="AC799" i="1"/>
  <c r="AD799" i="1"/>
  <c r="AC674" i="1"/>
  <c r="AC678" i="1"/>
  <c r="AC682" i="1"/>
  <c r="AC690" i="1"/>
  <c r="AD435" i="1"/>
  <c r="D437" i="3" s="1"/>
  <c r="AC435" i="1"/>
  <c r="C437" i="3" s="1"/>
  <c r="AD439" i="1"/>
  <c r="D441" i="3" s="1"/>
  <c r="AC439" i="1"/>
  <c r="C441" i="3" s="1"/>
  <c r="AD443" i="1"/>
  <c r="D445" i="3" s="1"/>
  <c r="AC443" i="1"/>
  <c r="C445" i="3" s="1"/>
  <c r="AD447" i="1"/>
  <c r="D449" i="3" s="1"/>
  <c r="AC447" i="1"/>
  <c r="C449" i="3" s="1"/>
  <c r="AD451" i="1"/>
  <c r="D453" i="3" s="1"/>
  <c r="AC451" i="1"/>
  <c r="C453" i="3" s="1"/>
  <c r="AD455" i="1"/>
  <c r="D457" i="3" s="1"/>
  <c r="AC455" i="1"/>
  <c r="C457" i="3" s="1"/>
  <c r="AD459" i="1"/>
  <c r="D461" i="3" s="1"/>
  <c r="AC459" i="1"/>
  <c r="C461" i="3" s="1"/>
  <c r="AD463" i="1"/>
  <c r="D465" i="3" s="1"/>
  <c r="AC463" i="1"/>
  <c r="C465" i="3" s="1"/>
  <c r="AD467" i="1"/>
  <c r="D469" i="3" s="1"/>
  <c r="AC467" i="1"/>
  <c r="C469" i="3" s="1"/>
  <c r="AD471" i="1"/>
  <c r="D473" i="3" s="1"/>
  <c r="AC471" i="1"/>
  <c r="C473" i="3" s="1"/>
  <c r="AD475" i="1"/>
  <c r="D477" i="3" s="1"/>
  <c r="AC475" i="1"/>
  <c r="C477" i="3" s="1"/>
  <c r="AD479" i="1"/>
  <c r="D481" i="3" s="1"/>
  <c r="AC479" i="1"/>
  <c r="C481" i="3" s="1"/>
  <c r="AD483" i="1"/>
  <c r="D485" i="3" s="1"/>
  <c r="AC483" i="1"/>
  <c r="C485" i="3" s="1"/>
  <c r="AD487" i="1"/>
  <c r="D489" i="3" s="1"/>
  <c r="AC487" i="1"/>
  <c r="C489" i="3" s="1"/>
  <c r="AD491" i="1"/>
  <c r="D493" i="3" s="1"/>
  <c r="AC491" i="1"/>
  <c r="C493" i="3" s="1"/>
  <c r="AD495" i="1"/>
  <c r="D497" i="3" s="1"/>
  <c r="AC495" i="1"/>
  <c r="C497" i="3" s="1"/>
  <c r="AD499" i="1"/>
  <c r="D501" i="3" s="1"/>
  <c r="AC499" i="1"/>
  <c r="C501" i="3" s="1"/>
  <c r="AD503" i="1"/>
  <c r="D505" i="3" s="1"/>
  <c r="AC503" i="1"/>
  <c r="C505" i="3" s="1"/>
  <c r="AD507" i="1"/>
  <c r="D509" i="3" s="1"/>
  <c r="AC507" i="1"/>
  <c r="C509" i="3" s="1"/>
  <c r="AD511" i="1"/>
  <c r="D513" i="3" s="1"/>
  <c r="AC511" i="1"/>
  <c r="C513" i="3" s="1"/>
  <c r="AC668" i="1"/>
  <c r="C670" i="3" s="1"/>
  <c r="AC684" i="1"/>
  <c r="AC692" i="1"/>
  <c r="AD696" i="1"/>
  <c r="AC708" i="1"/>
  <c r="AC716" i="1"/>
  <c r="AC724" i="1"/>
  <c r="AC732" i="1"/>
  <c r="AC740" i="1"/>
  <c r="AC764" i="1"/>
  <c r="AC772" i="1"/>
  <c r="AC780" i="1"/>
  <c r="AC513" i="1"/>
  <c r="C515" i="3" s="1"/>
  <c r="AC515" i="1"/>
  <c r="C517" i="3" s="1"/>
  <c r="AC517" i="1"/>
  <c r="C519" i="3" s="1"/>
  <c r="AC519" i="1"/>
  <c r="C521" i="3" s="1"/>
  <c r="AC521" i="1"/>
  <c r="C523" i="3" s="1"/>
  <c r="AC523" i="1"/>
  <c r="C525" i="3" s="1"/>
  <c r="AC525" i="1"/>
  <c r="C527" i="3" s="1"/>
  <c r="AC527" i="1"/>
  <c r="C529" i="3" s="1"/>
  <c r="AC529" i="1"/>
  <c r="C531" i="3" s="1"/>
  <c r="AC531" i="1"/>
  <c r="C533" i="3" s="1"/>
  <c r="AC533" i="1"/>
  <c r="C535" i="3" s="1"/>
  <c r="AC535" i="1"/>
  <c r="C537" i="3" s="1"/>
  <c r="AC537" i="1"/>
  <c r="C539" i="3" s="1"/>
  <c r="AC539" i="1"/>
  <c r="C541" i="3" s="1"/>
  <c r="AC556" i="1"/>
  <c r="C558" i="3" s="1"/>
  <c r="AD562" i="1"/>
  <c r="D564" i="3" s="1"/>
  <c r="AD564" i="1"/>
  <c r="D566" i="3" s="1"/>
  <c r="AC700" i="1"/>
  <c r="AD545" i="1"/>
  <c r="D547" i="3" s="1"/>
  <c r="AD547" i="1"/>
  <c r="D549" i="3" s="1"/>
  <c r="AD553" i="1"/>
  <c r="D555" i="3" s="1"/>
  <c r="AD555" i="1"/>
  <c r="D557" i="3" s="1"/>
  <c r="AB88" i="1"/>
  <c r="B90" i="3" s="1"/>
  <c r="AB245" i="1"/>
  <c r="B247" i="3" s="1"/>
  <c r="AB289" i="1"/>
  <c r="B291" i="3" s="1"/>
  <c r="AE491" i="1"/>
  <c r="AB426" i="1"/>
  <c r="B428" i="3" s="1"/>
  <c r="AB5" i="1"/>
  <c r="B7" i="3" s="1"/>
  <c r="AB466" i="1"/>
  <c r="B468" i="3" s="1"/>
  <c r="AB77" i="1"/>
  <c r="B79" i="3" s="1"/>
  <c r="AB395" i="1"/>
  <c r="B397" i="3" s="1"/>
  <c r="AE333" i="1"/>
  <c r="AE332" i="1"/>
  <c r="AB199" i="1"/>
  <c r="B201" i="3" s="1"/>
  <c r="AB471" i="1"/>
  <c r="B473" i="3" s="1"/>
  <c r="AB152" i="1"/>
  <c r="B154" i="3" s="1"/>
  <c r="AB135" i="1"/>
  <c r="B137" i="3" s="1"/>
  <c r="AE421" i="1"/>
  <c r="AB512" i="1"/>
  <c r="B514" i="3" s="1"/>
  <c r="AB499" i="1"/>
  <c r="B501" i="3" s="1"/>
  <c r="AE323" i="1"/>
  <c r="AB4" i="2"/>
  <c r="AB6" i="2"/>
  <c r="AB8" i="2"/>
  <c r="AB10" i="2"/>
  <c r="AB12" i="2"/>
  <c r="AB14" i="2"/>
  <c r="AB16" i="2"/>
  <c r="AB18" i="2"/>
  <c r="AB20" i="2"/>
  <c r="AB22" i="2"/>
  <c r="AB24" i="2"/>
  <c r="AB26" i="2"/>
  <c r="AB28" i="2"/>
  <c r="AB30" i="2"/>
  <c r="AB32" i="2"/>
  <c r="AB34" i="2"/>
  <c r="AB36" i="2"/>
  <c r="AB38" i="2"/>
  <c r="AB40" i="2"/>
  <c r="AB42" i="2"/>
  <c r="AB44" i="2"/>
  <c r="AB46" i="2"/>
  <c r="AB48" i="2"/>
  <c r="AB50" i="2"/>
  <c r="AB52" i="2"/>
  <c r="AB54" i="2"/>
  <c r="AB56" i="2"/>
  <c r="AB58" i="2"/>
  <c r="AB60" i="2"/>
  <c r="AB62" i="2"/>
  <c r="AB64" i="2"/>
  <c r="AB66" i="2"/>
  <c r="AB68" i="2"/>
  <c r="AB70" i="2"/>
  <c r="AB72" i="2"/>
  <c r="AB74" i="2"/>
  <c r="AB76" i="2"/>
  <c r="AB78" i="2"/>
  <c r="AB82" i="2"/>
  <c r="AB3" i="2"/>
  <c r="AB5" i="2"/>
  <c r="AB7" i="2"/>
  <c r="AB9" i="2"/>
  <c r="AB11" i="2"/>
  <c r="AB13" i="2"/>
  <c r="AB15" i="2"/>
  <c r="AB17" i="2"/>
  <c r="AB19" i="2"/>
  <c r="AB21" i="2"/>
  <c r="AB23" i="2"/>
  <c r="AB25" i="2"/>
  <c r="AB27" i="2"/>
  <c r="AB29" i="2"/>
  <c r="AB31" i="2"/>
  <c r="AB33" i="2"/>
  <c r="AB35" i="2"/>
  <c r="AB37" i="2"/>
  <c r="AB39" i="2"/>
  <c r="AB41" i="2"/>
  <c r="AB43" i="2"/>
  <c r="AB45" i="2"/>
  <c r="AB47" i="2"/>
  <c r="AB49" i="2"/>
  <c r="AB51" i="2"/>
  <c r="AB53" i="2"/>
  <c r="AB55" i="2"/>
  <c r="AB57" i="2"/>
  <c r="AB59" i="2"/>
  <c r="AB61" i="2"/>
  <c r="AB63" i="2"/>
  <c r="AB65" i="2"/>
  <c r="AB67" i="2"/>
  <c r="AB69" i="2"/>
  <c r="AB71" i="2"/>
  <c r="AB73" i="2"/>
  <c r="AB75" i="2"/>
  <c r="AB77" i="2"/>
  <c r="AB79" i="2"/>
  <c r="AB81" i="2"/>
  <c r="AB83" i="2"/>
  <c r="AB84" i="2"/>
  <c r="AB85" i="2"/>
  <c r="AB80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145" i="2"/>
  <c r="AB146" i="2"/>
  <c r="AB147" i="2"/>
  <c r="AB148" i="2"/>
  <c r="AB149" i="2"/>
  <c r="AB150" i="2"/>
  <c r="AB151" i="2"/>
  <c r="AB152" i="2"/>
  <c r="AB156" i="2"/>
  <c r="AB157" i="2"/>
  <c r="AB158" i="2"/>
  <c r="AB159" i="2"/>
  <c r="AB160" i="2"/>
  <c r="AB164" i="2"/>
  <c r="AB165" i="2"/>
  <c r="AB166" i="2"/>
  <c r="AB167" i="2"/>
  <c r="AB168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53" i="2"/>
  <c r="AB154" i="2"/>
  <c r="AB155" i="2"/>
  <c r="AB161" i="2"/>
  <c r="AB162" i="2"/>
  <c r="AB163" i="2"/>
  <c r="AB169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330" i="2"/>
  <c r="AB340" i="2"/>
  <c r="AB342" i="2"/>
  <c r="AB343" i="2"/>
  <c r="AB345" i="2"/>
  <c r="AB346" i="2"/>
  <c r="AB356" i="2"/>
  <c r="AB357" i="2"/>
  <c r="AB358" i="2"/>
  <c r="AB359" i="2"/>
  <c r="AB360" i="2"/>
  <c r="AB363" i="2"/>
  <c r="AB364" i="2"/>
  <c r="AB369" i="2"/>
  <c r="AB370" i="2"/>
  <c r="AB371" i="2"/>
  <c r="AB377" i="2"/>
  <c r="AB378" i="2"/>
  <c r="AB384" i="2"/>
  <c r="AB387" i="2"/>
  <c r="AB388" i="2"/>
  <c r="AB389" i="2"/>
  <c r="AB390" i="2"/>
  <c r="AB392" i="2"/>
  <c r="AB393" i="2"/>
  <c r="AB394" i="2"/>
  <c r="AB395" i="2"/>
  <c r="AB396" i="2"/>
  <c r="AB399" i="2"/>
  <c r="AB400" i="2"/>
  <c r="AB401" i="2"/>
  <c r="AB402" i="2"/>
  <c r="AB403" i="2"/>
  <c r="AB404" i="2"/>
  <c r="AB407" i="2"/>
  <c r="AB408" i="2"/>
  <c r="AB411" i="2"/>
  <c r="AB412" i="2"/>
  <c r="AB413" i="2"/>
  <c r="AB414" i="2"/>
  <c r="AB417" i="2"/>
  <c r="AB420" i="2"/>
  <c r="AB422" i="2"/>
  <c r="AB424" i="2"/>
  <c r="AB425" i="2"/>
  <c r="AB426" i="2"/>
  <c r="AB428" i="2"/>
  <c r="AB429" i="2"/>
  <c r="AB430" i="2"/>
  <c r="AB432" i="2"/>
  <c r="AB433" i="2"/>
  <c r="AB434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1" i="2"/>
  <c r="AB332" i="2"/>
  <c r="AB333" i="2"/>
  <c r="AB334" i="2"/>
  <c r="AB335" i="2"/>
  <c r="AB336" i="2"/>
  <c r="AB337" i="2"/>
  <c r="AB338" i="2"/>
  <c r="AB339" i="2"/>
  <c r="AB341" i="2"/>
  <c r="AB344" i="2"/>
  <c r="AB347" i="2"/>
  <c r="AB348" i="2"/>
  <c r="AB349" i="2"/>
  <c r="AB350" i="2"/>
  <c r="AB351" i="2"/>
  <c r="AB352" i="2"/>
  <c r="AB353" i="2"/>
  <c r="AB354" i="2"/>
  <c r="AB355" i="2"/>
  <c r="AB361" i="2"/>
  <c r="AB362" i="2"/>
  <c r="AB365" i="2"/>
  <c r="AB366" i="2"/>
  <c r="AB367" i="2"/>
  <c r="AB368" i="2"/>
  <c r="AB372" i="2"/>
  <c r="AB373" i="2"/>
  <c r="AB374" i="2"/>
  <c r="AB375" i="2"/>
  <c r="AB376" i="2"/>
  <c r="AB379" i="2"/>
  <c r="AB380" i="2"/>
  <c r="AB381" i="2"/>
  <c r="AB382" i="2"/>
  <c r="AB383" i="2"/>
  <c r="AB385" i="2"/>
  <c r="AB386" i="2"/>
  <c r="AB391" i="2"/>
  <c r="AB397" i="2"/>
  <c r="AB398" i="2"/>
  <c r="AB405" i="2"/>
  <c r="AB406" i="2"/>
  <c r="AB409" i="2"/>
  <c r="AB410" i="2"/>
  <c r="AB415" i="2"/>
  <c r="AB416" i="2"/>
  <c r="AB418" i="2"/>
  <c r="AB419" i="2"/>
  <c r="AB421" i="2"/>
  <c r="AB423" i="2"/>
  <c r="AB427" i="2"/>
  <c r="AB431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3" i="2"/>
  <c r="AB455" i="2"/>
  <c r="AB457" i="2"/>
  <c r="AB465" i="2"/>
  <c r="AB471" i="2"/>
  <c r="AB473" i="2"/>
  <c r="AB477" i="2"/>
  <c r="AB480" i="2"/>
  <c r="AB482" i="2"/>
  <c r="AB483" i="2"/>
  <c r="AB484" i="2"/>
  <c r="AB485" i="2"/>
  <c r="AB486" i="2"/>
  <c r="AB488" i="2"/>
  <c r="AB489" i="2"/>
  <c r="AB494" i="2"/>
  <c r="AB495" i="2"/>
  <c r="AB497" i="2"/>
  <c r="AB499" i="2"/>
  <c r="AB501" i="2"/>
  <c r="AB503" i="2"/>
  <c r="AB505" i="2"/>
  <c r="AB507" i="2"/>
  <c r="AB509" i="2"/>
  <c r="AB511" i="2"/>
  <c r="AB513" i="2"/>
  <c r="AB520" i="2"/>
  <c r="AB521" i="2"/>
  <c r="AB523" i="2"/>
  <c r="AB525" i="2"/>
  <c r="AB528" i="2"/>
  <c r="AB530" i="2"/>
  <c r="AB532" i="2"/>
  <c r="AB534" i="2"/>
  <c r="AB535" i="2"/>
  <c r="AB537" i="2"/>
  <c r="AB538" i="2"/>
  <c r="AB539" i="2"/>
  <c r="AB541" i="2"/>
  <c r="AB542" i="2"/>
  <c r="AB544" i="2"/>
  <c r="AB547" i="2"/>
  <c r="AB549" i="2"/>
  <c r="AB551" i="2"/>
  <c r="AB552" i="2"/>
  <c r="AB555" i="2"/>
  <c r="AB557" i="2"/>
  <c r="AB558" i="2"/>
  <c r="AB560" i="2"/>
  <c r="AB563" i="2"/>
  <c r="AB565" i="2"/>
  <c r="AB567" i="2"/>
  <c r="AB575" i="2"/>
  <c r="AB576" i="2"/>
  <c r="AB580" i="2"/>
  <c r="AB583" i="2"/>
  <c r="AB585" i="2"/>
  <c r="AB587" i="2"/>
  <c r="AB588" i="2"/>
  <c r="AB589" i="2"/>
  <c r="AB592" i="2"/>
  <c r="AB594" i="2"/>
  <c r="AB595" i="2"/>
  <c r="AB597" i="2"/>
  <c r="AB599" i="2"/>
  <c r="AB601" i="2"/>
  <c r="AB603" i="2"/>
  <c r="AB605" i="2"/>
  <c r="AB607" i="2"/>
  <c r="AB609" i="2"/>
  <c r="AB610" i="2"/>
  <c r="AB612" i="2"/>
  <c r="AB615" i="2"/>
  <c r="AB617" i="2"/>
  <c r="AB619" i="2"/>
  <c r="AB450" i="2"/>
  <c r="AB451" i="2"/>
  <c r="AB452" i="2"/>
  <c r="AB454" i="2"/>
  <c r="AB456" i="2"/>
  <c r="AB458" i="2"/>
  <c r="AB459" i="2"/>
  <c r="AB460" i="2"/>
  <c r="AB461" i="2"/>
  <c r="AB462" i="2"/>
  <c r="AB463" i="2"/>
  <c r="AB464" i="2"/>
  <c r="AB466" i="2"/>
  <c r="AB467" i="2"/>
  <c r="AB468" i="2"/>
  <c r="AB469" i="2"/>
  <c r="AB470" i="2"/>
  <c r="AB472" i="2"/>
  <c r="AB474" i="2"/>
  <c r="AB475" i="2"/>
  <c r="AB476" i="2"/>
  <c r="AB478" i="2"/>
  <c r="AB479" i="2"/>
  <c r="AB481" i="2"/>
  <c r="AB487" i="2"/>
  <c r="AB490" i="2"/>
  <c r="AB491" i="2"/>
  <c r="AB492" i="2"/>
  <c r="AB493" i="2"/>
  <c r="AB496" i="2"/>
  <c r="AB498" i="2"/>
  <c r="AB500" i="2"/>
  <c r="AB502" i="2"/>
  <c r="AB504" i="2"/>
  <c r="AB506" i="2"/>
  <c r="AB508" i="2"/>
  <c r="AB510" i="2"/>
  <c r="AB512" i="2"/>
  <c r="AB514" i="2"/>
  <c r="AB515" i="2"/>
  <c r="AB516" i="2"/>
  <c r="AB517" i="2"/>
  <c r="AB518" i="2"/>
  <c r="AB519" i="2"/>
  <c r="AB522" i="2"/>
  <c r="AB524" i="2"/>
  <c r="AB526" i="2"/>
  <c r="AB527" i="2"/>
  <c r="AB529" i="2"/>
  <c r="AB531" i="2"/>
  <c r="AB533" i="2"/>
  <c r="AB536" i="2"/>
  <c r="AB540" i="2"/>
  <c r="AB543" i="2"/>
  <c r="AB545" i="2"/>
  <c r="AB546" i="2"/>
  <c r="AB548" i="2"/>
  <c r="AB550" i="2"/>
  <c r="AB553" i="2"/>
  <c r="AB554" i="2"/>
  <c r="AB556" i="2"/>
  <c r="AB559" i="2"/>
  <c r="AB561" i="2"/>
  <c r="AB562" i="2"/>
  <c r="AB564" i="2"/>
  <c r="AB566" i="2"/>
  <c r="AB568" i="2"/>
  <c r="AB569" i="2"/>
  <c r="AB570" i="2"/>
  <c r="AB571" i="2"/>
  <c r="AB572" i="2"/>
  <c r="AB573" i="2"/>
  <c r="AB574" i="2"/>
  <c r="AB577" i="2"/>
  <c r="AB578" i="2"/>
  <c r="AB579" i="2"/>
  <c r="AB581" i="2"/>
  <c r="AB582" i="2"/>
  <c r="AB584" i="2"/>
  <c r="AB586" i="2"/>
  <c r="AB590" i="2"/>
  <c r="AB591" i="2"/>
  <c r="AB593" i="2"/>
  <c r="AB596" i="2"/>
  <c r="AB598" i="2"/>
  <c r="AB600" i="2"/>
  <c r="AB602" i="2"/>
  <c r="AB604" i="2"/>
  <c r="AB606" i="2"/>
  <c r="AB608" i="2"/>
  <c r="AB611" i="2"/>
  <c r="AB613" i="2"/>
  <c r="AB614" i="2"/>
  <c r="AB616" i="2"/>
  <c r="AB618" i="2"/>
  <c r="AB620" i="2"/>
  <c r="AB229" i="1"/>
  <c r="B231" i="3" s="1"/>
  <c r="AB414" i="1"/>
  <c r="B416" i="3" s="1"/>
  <c r="AB12" i="1"/>
  <c r="B14" i="3" s="1"/>
  <c r="AB93" i="1"/>
  <c r="B95" i="3" s="1"/>
  <c r="AB100" i="1"/>
  <c r="B102" i="3" s="1"/>
  <c r="AB221" i="1"/>
  <c r="B223" i="3" s="1"/>
  <c r="AB469" i="1"/>
  <c r="B471" i="3" s="1"/>
  <c r="AB283" i="1"/>
  <c r="B285" i="3" s="1"/>
  <c r="AB297" i="1"/>
  <c r="B299" i="3" s="1"/>
  <c r="AB345" i="1"/>
  <c r="B347" i="3" s="1"/>
  <c r="AE7" i="1"/>
  <c r="AB98" i="1"/>
  <c r="B100" i="3" s="1"/>
  <c r="AB179" i="1"/>
  <c r="B181" i="3" s="1"/>
  <c r="AB193" i="1"/>
  <c r="B195" i="3" s="1"/>
  <c r="AB201" i="1"/>
  <c r="B203" i="3" s="1"/>
  <c r="AB413" i="1"/>
  <c r="B415" i="3" s="1"/>
  <c r="AB415" i="1"/>
  <c r="B417" i="3" s="1"/>
  <c r="AB470" i="1"/>
  <c r="B472" i="3" s="1"/>
  <c r="AB525" i="1"/>
  <c r="B527" i="3" s="1"/>
  <c r="AB66" i="1"/>
  <c r="B68" i="3" s="1"/>
  <c r="AB265" i="1"/>
  <c r="B267" i="3" s="1"/>
  <c r="AB281" i="1"/>
  <c r="B283" i="3" s="1"/>
  <c r="AB299" i="1"/>
  <c r="B301" i="3" s="1"/>
  <c r="AB313" i="1"/>
  <c r="B315" i="3" s="1"/>
  <c r="AB82" i="1"/>
  <c r="B84" i="3" s="1"/>
  <c r="AB344" i="1"/>
  <c r="B346" i="3" s="1"/>
  <c r="AE454" i="1"/>
  <c r="AB529" i="1"/>
  <c r="B531" i="3" s="1"/>
  <c r="AE398" i="1"/>
  <c r="AB104" i="1"/>
  <c r="B106" i="3" s="1"/>
  <c r="AB411" i="1"/>
  <c r="B413" i="3" s="1"/>
  <c r="AE397" i="1"/>
  <c r="AB231" i="1"/>
  <c r="B233" i="3" s="1"/>
  <c r="AE387" i="1"/>
  <c r="AB482" i="1"/>
  <c r="B484" i="3" s="1"/>
  <c r="AB505" i="1"/>
  <c r="B507" i="3" s="1"/>
  <c r="AB475" i="1"/>
  <c r="B477" i="3" s="1"/>
  <c r="AE70" i="1"/>
  <c r="AE71" i="1"/>
  <c r="AE178" i="1"/>
  <c r="AE179" i="1"/>
  <c r="AB389" i="1"/>
  <c r="B391" i="3" s="1"/>
  <c r="AB455" i="1"/>
  <c r="B457" i="3" s="1"/>
  <c r="AB485" i="1"/>
  <c r="B487" i="3" s="1"/>
  <c r="AB216" i="1"/>
  <c r="B218" i="3" s="1"/>
  <c r="AB274" i="1"/>
  <c r="B276" i="3" s="1"/>
  <c r="AB331" i="1"/>
  <c r="B333" i="3" s="1"/>
  <c r="AB260" i="1"/>
  <c r="B262" i="3" s="1"/>
  <c r="AB336" i="1"/>
  <c r="B338" i="3" s="1"/>
  <c r="AE76" i="1"/>
  <c r="AB343" i="1"/>
  <c r="B345" i="3" s="1"/>
  <c r="AB69" i="1"/>
  <c r="B71" i="3" s="1"/>
  <c r="AB272" i="1"/>
  <c r="B274" i="3" s="1"/>
  <c r="AB307" i="1"/>
  <c r="B309" i="3" s="1"/>
  <c r="AE276" i="1"/>
  <c r="AB215" i="1"/>
  <c r="B217" i="3" s="1"/>
  <c r="AB217" i="1"/>
  <c r="B219" i="3" s="1"/>
  <c r="AB275" i="1"/>
  <c r="B277" i="3" s="1"/>
  <c r="AB376" i="1"/>
  <c r="B378" i="3" s="1"/>
  <c r="AB191" i="1"/>
  <c r="B193" i="3" s="1"/>
  <c r="AB208" i="1"/>
  <c r="B210" i="3" s="1"/>
  <c r="AB244" i="1"/>
  <c r="B246" i="3" s="1"/>
  <c r="AB246" i="1"/>
  <c r="B248" i="3" s="1"/>
  <c r="AB145" i="1"/>
  <c r="B147" i="3" s="1"/>
  <c r="AB407" i="1"/>
  <c r="B409" i="3" s="1"/>
  <c r="AB437" i="1"/>
  <c r="B439" i="3" s="1"/>
  <c r="AB503" i="1"/>
  <c r="B505" i="3" s="1"/>
  <c r="AB527" i="1"/>
  <c r="B529" i="3" s="1"/>
  <c r="AB259" i="1"/>
  <c r="B261" i="3" s="1"/>
  <c r="AB267" i="1"/>
  <c r="B269" i="3" s="1"/>
  <c r="AB291" i="1"/>
  <c r="B293" i="3" s="1"/>
  <c r="AB315" i="1"/>
  <c r="B317" i="3" s="1"/>
  <c r="AB323" i="1"/>
  <c r="B325" i="3" s="1"/>
  <c r="AE5" i="1"/>
  <c r="AB150" i="1"/>
  <c r="B152" i="3" s="1"/>
  <c r="AB171" i="1"/>
  <c r="B173" i="3" s="1"/>
  <c r="AB371" i="1"/>
  <c r="B373" i="3" s="1"/>
  <c r="AE509" i="1"/>
  <c r="AB408" i="1"/>
  <c r="B410" i="3" s="1"/>
  <c r="AB71" i="1"/>
  <c r="B73" i="3" s="1"/>
  <c r="AE469" i="1"/>
  <c r="AE12" i="1"/>
  <c r="AB334" i="1"/>
  <c r="B336" i="3" s="1"/>
  <c r="AB211" i="1"/>
  <c r="B213" i="3" s="1"/>
  <c r="AB162" i="1"/>
  <c r="B164" i="3" s="1"/>
  <c r="AB498" i="1"/>
  <c r="B500" i="3" s="1"/>
  <c r="AB451" i="1"/>
  <c r="B453" i="3" s="1"/>
  <c r="AB531" i="1"/>
  <c r="B533" i="3" s="1"/>
  <c r="AB105" i="1"/>
  <c r="B107" i="3" s="1"/>
  <c r="AB134" i="1"/>
  <c r="B136" i="3" s="1"/>
  <c r="AB467" i="1"/>
  <c r="B469" i="3" s="1"/>
  <c r="AB523" i="1"/>
  <c r="B525" i="3" s="1"/>
  <c r="AE399" i="1"/>
  <c r="AB126" i="1"/>
  <c r="B128" i="3" s="1"/>
  <c r="AE21" i="1"/>
  <c r="AB254" i="1"/>
  <c r="B256" i="3" s="1"/>
  <c r="AB349" i="1"/>
  <c r="B351" i="3" s="1"/>
  <c r="AB375" i="1"/>
  <c r="B377" i="3" s="1"/>
  <c r="AB421" i="1"/>
  <c r="B423" i="3" s="1"/>
  <c r="AB447" i="1"/>
  <c r="B449" i="3" s="1"/>
  <c r="AB461" i="1"/>
  <c r="B463" i="3" s="1"/>
  <c r="AB479" i="1"/>
  <c r="B481" i="3" s="1"/>
  <c r="AB493" i="1"/>
  <c r="B495" i="3" s="1"/>
  <c r="AB511" i="1"/>
  <c r="B513" i="3" s="1"/>
  <c r="AB318" i="1"/>
  <c r="B320" i="3" s="1"/>
  <c r="AB419" i="1"/>
  <c r="B421" i="3" s="1"/>
  <c r="AB59" i="1"/>
  <c r="B61" i="3" s="1"/>
  <c r="AB133" i="1"/>
  <c r="B135" i="3" s="1"/>
  <c r="AB164" i="1"/>
  <c r="B166" i="3" s="1"/>
  <c r="AB513" i="1"/>
  <c r="B515" i="3" s="1"/>
  <c r="AE100" i="1"/>
  <c r="AE385" i="1"/>
  <c r="AB252" i="1"/>
  <c r="B254" i="3" s="1"/>
  <c r="AB351" i="1"/>
  <c r="B353" i="3" s="1"/>
  <c r="AB373" i="1"/>
  <c r="B375" i="3" s="1"/>
  <c r="AB382" i="1"/>
  <c r="B384" i="3" s="1"/>
  <c r="AB398" i="1"/>
  <c r="B400" i="3" s="1"/>
  <c r="AB423" i="1"/>
  <c r="B425" i="3" s="1"/>
  <c r="AB445" i="1"/>
  <c r="B447" i="3" s="1"/>
  <c r="AB463" i="1"/>
  <c r="B465" i="3" s="1"/>
  <c r="AB477" i="1"/>
  <c r="B479" i="3" s="1"/>
  <c r="AB495" i="1"/>
  <c r="B497" i="3" s="1"/>
  <c r="AB509" i="1"/>
  <c r="B511" i="3" s="1"/>
  <c r="AB518" i="1"/>
  <c r="B520" i="3" s="1"/>
  <c r="AE474" i="1"/>
  <c r="AB167" i="1"/>
  <c r="B169" i="3" s="1"/>
  <c r="AB188" i="1"/>
  <c r="B190" i="3" s="1"/>
  <c r="AB310" i="1"/>
  <c r="B312" i="3" s="1"/>
  <c r="AE476" i="1"/>
  <c r="AB175" i="1"/>
  <c r="B177" i="3" s="1"/>
  <c r="AE443" i="1"/>
  <c r="AE462" i="1"/>
  <c r="AE517" i="1"/>
  <c r="AB158" i="1"/>
  <c r="B160" i="3" s="1"/>
  <c r="AB19" i="1"/>
  <c r="B21" i="3" s="1"/>
  <c r="AB127" i="1"/>
  <c r="B129" i="3" s="1"/>
  <c r="AE277" i="1"/>
  <c r="AB183" i="1"/>
  <c r="B185" i="3" s="1"/>
  <c r="AB185" i="1"/>
  <c r="B187" i="3" s="1"/>
  <c r="AB192" i="1"/>
  <c r="B194" i="3" s="1"/>
  <c r="AB207" i="1"/>
  <c r="B209" i="3" s="1"/>
  <c r="AB209" i="1"/>
  <c r="B211" i="3" s="1"/>
  <c r="AB253" i="1"/>
  <c r="B255" i="3" s="1"/>
  <c r="AB148" i="1"/>
  <c r="B150" i="3" s="1"/>
  <c r="AB350" i="1"/>
  <c r="B352" i="3" s="1"/>
  <c r="AB357" i="1"/>
  <c r="B359" i="3" s="1"/>
  <c r="AB359" i="1"/>
  <c r="B361" i="3" s="1"/>
  <c r="AB374" i="1"/>
  <c r="B376" i="3" s="1"/>
  <c r="AB381" i="1"/>
  <c r="B383" i="3" s="1"/>
  <c r="AB383" i="1"/>
  <c r="B385" i="3" s="1"/>
  <c r="AB397" i="1"/>
  <c r="B399" i="3" s="1"/>
  <c r="AB399" i="1"/>
  <c r="B401" i="3" s="1"/>
  <c r="AB422" i="1"/>
  <c r="B424" i="3" s="1"/>
  <c r="AB446" i="1"/>
  <c r="B448" i="3" s="1"/>
  <c r="AB462" i="1"/>
  <c r="B464" i="3" s="1"/>
  <c r="AB478" i="1"/>
  <c r="B480" i="3" s="1"/>
  <c r="AB494" i="1"/>
  <c r="B496" i="3" s="1"/>
  <c r="AB510" i="1"/>
  <c r="B512" i="3" s="1"/>
  <c r="AB517" i="1"/>
  <c r="B519" i="3" s="1"/>
  <c r="AB519" i="1"/>
  <c r="B521" i="3" s="1"/>
  <c r="AB526" i="1"/>
  <c r="B528" i="3" s="1"/>
  <c r="AB68" i="1"/>
  <c r="B70" i="3" s="1"/>
  <c r="AE442" i="1"/>
  <c r="AB258" i="1"/>
  <c r="B260" i="3" s="1"/>
  <c r="AB266" i="1"/>
  <c r="B268" i="3" s="1"/>
  <c r="AB290" i="1"/>
  <c r="B292" i="3" s="1"/>
  <c r="AB314" i="1"/>
  <c r="B316" i="3" s="1"/>
  <c r="AB322" i="1"/>
  <c r="B324" i="3" s="1"/>
  <c r="AB151" i="1"/>
  <c r="B153" i="3" s="1"/>
  <c r="AB163" i="1"/>
  <c r="B165" i="3" s="1"/>
  <c r="AB170" i="1"/>
  <c r="B172" i="3" s="1"/>
  <c r="AB172" i="1"/>
  <c r="B174" i="3" s="1"/>
  <c r="AB309" i="1"/>
  <c r="B311" i="3" s="1"/>
  <c r="AB369" i="1"/>
  <c r="B371" i="3" s="1"/>
  <c r="AB72" i="1"/>
  <c r="B74" i="3" s="1"/>
  <c r="AE441" i="1"/>
  <c r="AB308" i="1"/>
  <c r="B310" i="3" s="1"/>
  <c r="AB346" i="1"/>
  <c r="B348" i="3" s="1"/>
  <c r="AE525" i="1"/>
  <c r="AB410" i="1"/>
  <c r="B412" i="3" s="1"/>
  <c r="AB424" i="1"/>
  <c r="B426" i="3" s="1"/>
  <c r="AB448" i="1"/>
  <c r="B450" i="3" s="1"/>
  <c r="AB81" i="1"/>
  <c r="B83" i="3" s="1"/>
  <c r="AE447" i="1"/>
  <c r="AE455" i="1"/>
  <c r="AE14" i="1"/>
  <c r="AB247" i="1"/>
  <c r="B249" i="3" s="1"/>
  <c r="AB370" i="1"/>
  <c r="B372" i="3" s="1"/>
  <c r="AE453" i="1"/>
  <c r="AB166" i="1"/>
  <c r="B168" i="3" s="1"/>
  <c r="AB464" i="1"/>
  <c r="B466" i="3" s="1"/>
  <c r="AB496" i="1"/>
  <c r="B498" i="3" s="1"/>
  <c r="AE461" i="1"/>
  <c r="AE490" i="1"/>
  <c r="AB168" i="1"/>
  <c r="B170" i="3" s="1"/>
  <c r="AB427" i="1"/>
  <c r="B429" i="3" s="1"/>
  <c r="AB530" i="1"/>
  <c r="B532" i="3" s="1"/>
  <c r="AE463" i="1"/>
  <c r="AB520" i="1"/>
  <c r="B522" i="3" s="1"/>
  <c r="AB86" i="1"/>
  <c r="B88" i="3" s="1"/>
  <c r="AE422" i="1"/>
  <c r="AE278" i="1"/>
  <c r="AB60" i="1"/>
  <c r="B62" i="3" s="1"/>
  <c r="AB515" i="1"/>
  <c r="B517" i="3" s="1"/>
  <c r="AB522" i="1"/>
  <c r="B524" i="3" s="1"/>
  <c r="AE423" i="1"/>
  <c r="AE99" i="1"/>
  <c r="AB125" i="1"/>
  <c r="B127" i="3" s="1"/>
  <c r="AE384" i="1"/>
  <c r="AB279" i="1"/>
  <c r="B281" i="3" s="1"/>
  <c r="AB278" i="1"/>
  <c r="B280" i="3" s="1"/>
  <c r="AE8" i="1"/>
  <c r="AE9" i="1"/>
  <c r="AE496" i="1"/>
  <c r="AE498" i="1"/>
  <c r="AB9" i="1"/>
  <c r="B11" i="3" s="1"/>
  <c r="AB8" i="1"/>
  <c r="B10" i="3" s="1"/>
  <c r="AB22" i="1"/>
  <c r="B24" i="3" s="1"/>
  <c r="AB23" i="1"/>
  <c r="B25" i="3" s="1"/>
  <c r="AB42" i="1"/>
  <c r="B44" i="3" s="1"/>
  <c r="AB43" i="1"/>
  <c r="B45" i="3" s="1"/>
  <c r="AB108" i="1"/>
  <c r="B110" i="3" s="1"/>
  <c r="AB111" i="1"/>
  <c r="B113" i="3" s="1"/>
  <c r="AB140" i="1"/>
  <c r="B142" i="3" s="1"/>
  <c r="AB142" i="1"/>
  <c r="B144" i="3" s="1"/>
  <c r="AB143" i="1"/>
  <c r="B145" i="3" s="1"/>
  <c r="AB154" i="1"/>
  <c r="B156" i="3" s="1"/>
  <c r="AB156" i="1"/>
  <c r="B158" i="3" s="1"/>
  <c r="AE244" i="1"/>
  <c r="AE245" i="1"/>
  <c r="AE243" i="1"/>
  <c r="AE246" i="1"/>
  <c r="AB355" i="1"/>
  <c r="B357" i="3" s="1"/>
  <c r="AB354" i="1"/>
  <c r="B356" i="3" s="1"/>
  <c r="AB401" i="1"/>
  <c r="B403" i="3" s="1"/>
  <c r="AB403" i="1"/>
  <c r="B405" i="3" s="1"/>
  <c r="AB400" i="1"/>
  <c r="B402" i="3" s="1"/>
  <c r="AB441" i="1"/>
  <c r="B443" i="3" s="1"/>
  <c r="AB440" i="1"/>
  <c r="B442" i="3" s="1"/>
  <c r="AB459" i="1"/>
  <c r="B461" i="3" s="1"/>
  <c r="AB456" i="1"/>
  <c r="B458" i="3" s="1"/>
  <c r="AB458" i="1"/>
  <c r="B460" i="3" s="1"/>
  <c r="AB489" i="1"/>
  <c r="B491" i="3" s="1"/>
  <c r="AB491" i="1"/>
  <c r="B493" i="3" s="1"/>
  <c r="AB488" i="1"/>
  <c r="B490" i="3" s="1"/>
  <c r="AE146" i="1"/>
  <c r="AE147" i="1"/>
  <c r="AE145" i="1"/>
  <c r="AE148" i="1"/>
  <c r="AE520" i="1"/>
  <c r="AE523" i="1"/>
  <c r="AE521" i="1"/>
  <c r="AE321" i="1"/>
  <c r="AE322" i="1"/>
  <c r="AB117" i="1"/>
  <c r="B119" i="3" s="1"/>
  <c r="AB116" i="1"/>
  <c r="B118" i="3" s="1"/>
  <c r="AB119" i="1"/>
  <c r="B121" i="3" s="1"/>
  <c r="AB295" i="1"/>
  <c r="B297" i="3" s="1"/>
  <c r="AB292" i="1"/>
  <c r="B294" i="3" s="1"/>
  <c r="AE368" i="1"/>
  <c r="AE371" i="1"/>
  <c r="AE370" i="1"/>
  <c r="AE36" i="1"/>
  <c r="AE37" i="1"/>
  <c r="AE38" i="1"/>
  <c r="AB178" i="1"/>
  <c r="B180" i="3" s="1"/>
  <c r="AB180" i="1"/>
  <c r="B182" i="3" s="1"/>
  <c r="AB200" i="1"/>
  <c r="B202" i="3" s="1"/>
  <c r="AB220" i="1"/>
  <c r="B222" i="3" s="1"/>
  <c r="AB222" i="1"/>
  <c r="B224" i="3" s="1"/>
  <c r="AB237" i="1"/>
  <c r="B239" i="3" s="1"/>
  <c r="AB65" i="1"/>
  <c r="B67" i="3" s="1"/>
  <c r="AE514" i="1"/>
  <c r="AE522" i="1"/>
  <c r="AB282" i="1"/>
  <c r="B284" i="3" s="1"/>
  <c r="AB298" i="1"/>
  <c r="B300" i="3" s="1"/>
  <c r="AB141" i="1"/>
  <c r="B143" i="3" s="1"/>
  <c r="AB353" i="1"/>
  <c r="B355" i="3" s="1"/>
  <c r="AB294" i="1"/>
  <c r="B296" i="3" s="1"/>
  <c r="AB352" i="1"/>
  <c r="B354" i="3" s="1"/>
  <c r="AE531" i="1"/>
  <c r="AB402" i="1"/>
  <c r="B404" i="3" s="1"/>
  <c r="AE497" i="1"/>
  <c r="AE529" i="1"/>
  <c r="AB490" i="1"/>
  <c r="B492" i="3" s="1"/>
  <c r="AB457" i="1"/>
  <c r="B459" i="3" s="1"/>
  <c r="AE457" i="1"/>
  <c r="AE458" i="1"/>
  <c r="AE500" i="1"/>
  <c r="AE503" i="1"/>
  <c r="AE501" i="1"/>
  <c r="AE516" i="1"/>
  <c r="AE519" i="1"/>
  <c r="AE477" i="1"/>
  <c r="AE479" i="1"/>
  <c r="AB319" i="1"/>
  <c r="B321" i="3" s="1"/>
  <c r="AB316" i="1"/>
  <c r="B318" i="3" s="1"/>
  <c r="AB287" i="1"/>
  <c r="B289" i="3" s="1"/>
  <c r="AB284" i="1"/>
  <c r="B286" i="3" s="1"/>
  <c r="AB285" i="1"/>
  <c r="B287" i="3" s="1"/>
  <c r="AB263" i="1"/>
  <c r="B265" i="3" s="1"/>
  <c r="AB262" i="1"/>
  <c r="B264" i="3" s="1"/>
  <c r="AB205" i="1"/>
  <c r="B207" i="3" s="1"/>
  <c r="AB202" i="1"/>
  <c r="B204" i="3" s="1"/>
  <c r="AB204" i="1"/>
  <c r="B206" i="3" s="1"/>
  <c r="AB189" i="1"/>
  <c r="B191" i="3" s="1"/>
  <c r="AB186" i="1"/>
  <c r="B188" i="3" s="1"/>
  <c r="AB173" i="1"/>
  <c r="B175" i="3" s="1"/>
  <c r="AB176" i="1"/>
  <c r="B178" i="3" s="1"/>
  <c r="AB157" i="1"/>
  <c r="B159" i="3" s="1"/>
  <c r="AB160" i="1"/>
  <c r="B162" i="3" s="1"/>
  <c r="AB94" i="1"/>
  <c r="B96" i="3" s="1"/>
  <c r="AB109" i="1"/>
  <c r="B111" i="3" s="1"/>
  <c r="AB153" i="1"/>
  <c r="B155" i="3" s="1"/>
  <c r="AB304" i="1"/>
  <c r="B306" i="3" s="1"/>
  <c r="AB306" i="1"/>
  <c r="B308" i="3" s="1"/>
  <c r="AB328" i="1"/>
  <c r="B330" i="3" s="1"/>
  <c r="AB330" i="1"/>
  <c r="B332" i="3" s="1"/>
  <c r="AB339" i="1"/>
  <c r="B341" i="3" s="1"/>
  <c r="AB338" i="1"/>
  <c r="B340" i="3" s="1"/>
  <c r="AB363" i="1"/>
  <c r="B365" i="3" s="1"/>
  <c r="AB362" i="1"/>
  <c r="B364" i="3" s="1"/>
  <c r="AB361" i="1"/>
  <c r="B363" i="3" s="1"/>
  <c r="AB393" i="1"/>
  <c r="B395" i="3" s="1"/>
  <c r="AB392" i="1"/>
  <c r="B394" i="3" s="1"/>
  <c r="AB417" i="1"/>
  <c r="B419" i="3" s="1"/>
  <c r="AB416" i="1"/>
  <c r="B418" i="3" s="1"/>
  <c r="AB433" i="1"/>
  <c r="B435" i="3" s="1"/>
  <c r="AB435" i="1"/>
  <c r="B437" i="3" s="1"/>
  <c r="AB432" i="1"/>
  <c r="B434" i="3" s="1"/>
  <c r="AB473" i="1"/>
  <c r="B475" i="3" s="1"/>
  <c r="AB472" i="1"/>
  <c r="B474" i="3" s="1"/>
  <c r="AB504" i="1"/>
  <c r="B506" i="3" s="1"/>
  <c r="AB507" i="1"/>
  <c r="B509" i="3" s="1"/>
  <c r="AB15" i="1"/>
  <c r="B17" i="3" s="1"/>
  <c r="AE77" i="1"/>
  <c r="AB61" i="1"/>
  <c r="B63" i="3" s="1"/>
  <c r="AB62" i="1"/>
  <c r="B64" i="3" s="1"/>
  <c r="AB327" i="1"/>
  <c r="B329" i="3" s="1"/>
  <c r="AB325" i="1"/>
  <c r="B327" i="3" s="1"/>
  <c r="AB113" i="1"/>
  <c r="B115" i="3" s="1"/>
  <c r="AB114" i="1"/>
  <c r="B116" i="3" s="1"/>
  <c r="AE313" i="1"/>
  <c r="AE312" i="1"/>
  <c r="AE345" i="1"/>
  <c r="AE347" i="1"/>
  <c r="AB385" i="1"/>
  <c r="B387" i="3" s="1"/>
  <c r="AB384" i="1"/>
  <c r="B386" i="3" s="1"/>
  <c r="AE410" i="1"/>
  <c r="AE408" i="1"/>
  <c r="AB443" i="1"/>
  <c r="B445" i="3" s="1"/>
  <c r="AB26" i="1"/>
  <c r="B28" i="3" s="1"/>
  <c r="AB25" i="1"/>
  <c r="B27" i="3" s="1"/>
  <c r="AB36" i="1"/>
  <c r="B38" i="3" s="1"/>
  <c r="AB37" i="1"/>
  <c r="B39" i="3" s="1"/>
  <c r="AB52" i="1"/>
  <c r="B54" i="3" s="1"/>
  <c r="AB53" i="1"/>
  <c r="B55" i="3" s="1"/>
  <c r="AE206" i="1"/>
  <c r="AE209" i="1"/>
  <c r="AE207" i="1"/>
  <c r="AE236" i="1"/>
  <c r="AE237" i="1"/>
  <c r="AE235" i="1"/>
  <c r="AE252" i="1"/>
  <c r="AE253" i="1"/>
  <c r="AE251" i="1"/>
  <c r="AE22" i="1"/>
  <c r="AE23" i="1"/>
  <c r="AE92" i="1"/>
  <c r="AE93" i="1"/>
  <c r="AE292" i="1"/>
  <c r="AE295" i="1"/>
  <c r="AE293" i="1"/>
  <c r="AE116" i="1"/>
  <c r="AE119" i="1"/>
  <c r="AE117" i="1"/>
  <c r="AE284" i="1"/>
  <c r="AE287" i="1"/>
  <c r="AE285" i="1"/>
  <c r="AE30" i="1"/>
  <c r="AE29" i="1"/>
  <c r="AE48" i="1"/>
  <c r="AE49" i="1"/>
  <c r="AE58" i="1"/>
  <c r="AE59" i="1"/>
  <c r="AE80" i="1"/>
  <c r="AE81" i="1"/>
  <c r="AE104" i="1"/>
  <c r="AE105" i="1"/>
  <c r="AE132" i="1"/>
  <c r="AE133" i="1"/>
  <c r="AE135" i="1"/>
  <c r="AE162" i="1"/>
  <c r="AE163" i="1"/>
  <c r="AE161" i="1"/>
  <c r="AE190" i="1"/>
  <c r="AE193" i="1"/>
  <c r="AE191" i="1"/>
  <c r="AE256" i="1"/>
  <c r="AE257" i="1"/>
  <c r="AE259" i="1"/>
  <c r="AE264" i="1"/>
  <c r="AE267" i="1"/>
  <c r="AE265" i="1"/>
  <c r="AB228" i="1"/>
  <c r="B230" i="3" s="1"/>
  <c r="AB230" i="1"/>
  <c r="B232" i="3" s="1"/>
  <c r="AB341" i="1"/>
  <c r="B343" i="3" s="1"/>
  <c r="AB366" i="1"/>
  <c r="B368" i="3" s="1"/>
  <c r="AB391" i="1"/>
  <c r="B393" i="3" s="1"/>
  <c r="AB405" i="1"/>
  <c r="B407" i="3" s="1"/>
  <c r="AB430" i="1"/>
  <c r="B432" i="3" s="1"/>
  <c r="AB439" i="1"/>
  <c r="B441" i="3" s="1"/>
  <c r="AB453" i="1"/>
  <c r="B455" i="3" s="1"/>
  <c r="AB487" i="1"/>
  <c r="B489" i="3" s="1"/>
  <c r="AB501" i="1"/>
  <c r="B503" i="3" s="1"/>
  <c r="AB75" i="1"/>
  <c r="B77" i="3" s="1"/>
  <c r="AE511" i="1"/>
  <c r="AE515" i="1"/>
  <c r="AB277" i="1"/>
  <c r="B279" i="3" s="1"/>
  <c r="AB335" i="1"/>
  <c r="B337" i="3" s="1"/>
  <c r="AB270" i="1"/>
  <c r="B272" i="3" s="1"/>
  <c r="AB302" i="1"/>
  <c r="B304" i="3" s="1"/>
  <c r="AB324" i="1"/>
  <c r="B326" i="3" s="1"/>
  <c r="AE494" i="1"/>
  <c r="AE513" i="1"/>
  <c r="AB386" i="1"/>
  <c r="B388" i="3" s="1"/>
  <c r="AE473" i="1"/>
  <c r="AE530" i="1"/>
  <c r="AB197" i="1"/>
  <c r="B199" i="3" s="1"/>
  <c r="AE450" i="1"/>
  <c r="AE499" i="1"/>
  <c r="AB195" i="1"/>
  <c r="B197" i="3" s="1"/>
  <c r="AB115" i="1"/>
  <c r="B117" i="3" s="1"/>
  <c r="AE411" i="1"/>
  <c r="AE50" i="1"/>
  <c r="AE258" i="1"/>
  <c r="AB112" i="1"/>
  <c r="B114" i="3" s="1"/>
  <c r="AE314" i="1"/>
  <c r="AE346" i="1"/>
  <c r="AE210" i="1"/>
  <c r="AE211" i="1"/>
  <c r="AE213" i="1"/>
  <c r="AB30" i="1"/>
  <c r="B32" i="3" s="1"/>
  <c r="AB29" i="1"/>
  <c r="B31" i="3" s="1"/>
  <c r="AB48" i="1"/>
  <c r="B50" i="3" s="1"/>
  <c r="AB49" i="1"/>
  <c r="B51" i="3" s="1"/>
  <c r="AE228" i="1"/>
  <c r="AE227" i="1"/>
  <c r="AE229" i="1"/>
  <c r="AB95" i="1"/>
  <c r="B97" i="3" s="1"/>
  <c r="AB97" i="1"/>
  <c r="B99" i="3" s="1"/>
  <c r="AB96" i="1"/>
  <c r="B98" i="3" s="1"/>
  <c r="AE400" i="1"/>
  <c r="AE402" i="1"/>
  <c r="AE401" i="1"/>
  <c r="AE403" i="1"/>
  <c r="AE436" i="1"/>
  <c r="AE438" i="1"/>
  <c r="AE464" i="1"/>
  <c r="AE466" i="1"/>
  <c r="AE349" i="1"/>
  <c r="AE351" i="1"/>
  <c r="AE350" i="1"/>
  <c r="AE348" i="1"/>
  <c r="AE303" i="1"/>
  <c r="AE302" i="1"/>
  <c r="AE300" i="1"/>
  <c r="AE301" i="1"/>
  <c r="AE268" i="1"/>
  <c r="AE270" i="1"/>
  <c r="AE269" i="1"/>
  <c r="AE271" i="1"/>
  <c r="AE296" i="1"/>
  <c r="AE298" i="1"/>
  <c r="AE297" i="1"/>
  <c r="AE299" i="1"/>
  <c r="AE220" i="1"/>
  <c r="AE222" i="1"/>
  <c r="AE219" i="1"/>
  <c r="AE221" i="1"/>
  <c r="AE86" i="1"/>
  <c r="AE88" i="1"/>
  <c r="AE87" i="1"/>
  <c r="AE124" i="1"/>
  <c r="AE126" i="1"/>
  <c r="AE125" i="1"/>
  <c r="AE127" i="1"/>
  <c r="AE154" i="1"/>
  <c r="AE156" i="1"/>
  <c r="AE153" i="1"/>
  <c r="AE155" i="1"/>
  <c r="AE182" i="1"/>
  <c r="AE184" i="1"/>
  <c r="AE183" i="1"/>
  <c r="AE185" i="1"/>
  <c r="AE26" i="1"/>
  <c r="AE25" i="1"/>
  <c r="AE42" i="1"/>
  <c r="AE44" i="1"/>
  <c r="AE43" i="1"/>
  <c r="AB28" i="1"/>
  <c r="B30" i="3" s="1"/>
  <c r="AB27" i="1"/>
  <c r="B29" i="3" s="1"/>
  <c r="AB20" i="1"/>
  <c r="B22" i="3" s="1"/>
  <c r="AB21" i="1"/>
  <c r="B23" i="3" s="1"/>
  <c r="AE16" i="1"/>
  <c r="AE15" i="1"/>
  <c r="AE40" i="1"/>
  <c r="AE39" i="1"/>
  <c r="AE41" i="1"/>
  <c r="AE194" i="1"/>
  <c r="AE196" i="1"/>
  <c r="AE195" i="1"/>
  <c r="AE197" i="1"/>
  <c r="AE166" i="1"/>
  <c r="AE168" i="1"/>
  <c r="AE165" i="1"/>
  <c r="AE167" i="1"/>
  <c r="AE150" i="1"/>
  <c r="AE152" i="1"/>
  <c r="AE149" i="1"/>
  <c r="AE151" i="1"/>
  <c r="AE136" i="1"/>
  <c r="AE138" i="1"/>
  <c r="AE137" i="1"/>
  <c r="AE139" i="1"/>
  <c r="AE120" i="1"/>
  <c r="AE122" i="1"/>
  <c r="AE121" i="1"/>
  <c r="AE123" i="1"/>
  <c r="AE96" i="1"/>
  <c r="AE95" i="1"/>
  <c r="AE97" i="1"/>
  <c r="AE84" i="1"/>
  <c r="AE83" i="1"/>
  <c r="AE85" i="1"/>
  <c r="AE74" i="1"/>
  <c r="AE73" i="1"/>
  <c r="AE75" i="1"/>
  <c r="AE62" i="1"/>
  <c r="AE61" i="1"/>
  <c r="AE63" i="1"/>
  <c r="AE240" i="1"/>
  <c r="AE242" i="1"/>
  <c r="AE239" i="1"/>
  <c r="AE241" i="1"/>
  <c r="AE389" i="1"/>
  <c r="AE390" i="1"/>
  <c r="AE388" i="1"/>
  <c r="AE391" i="1"/>
  <c r="AE381" i="1"/>
  <c r="AE380" i="1"/>
  <c r="AE383" i="1"/>
  <c r="AE382" i="1"/>
  <c r="AE364" i="1"/>
  <c r="AE365" i="1"/>
  <c r="AE367" i="1"/>
  <c r="AE366" i="1"/>
  <c r="AE484" i="1"/>
  <c r="AE486" i="1"/>
  <c r="AE324" i="1"/>
  <c r="AE326" i="1"/>
  <c r="AE325" i="1"/>
  <c r="AE327" i="1"/>
  <c r="AE319" i="1"/>
  <c r="AE317" i="1"/>
  <c r="AE318" i="1"/>
  <c r="AE316" i="1"/>
  <c r="AE412" i="1"/>
  <c r="AE414" i="1"/>
  <c r="AE415" i="1"/>
  <c r="AE413" i="1"/>
  <c r="AE404" i="1"/>
  <c r="AE405" i="1"/>
  <c r="AE407" i="1"/>
  <c r="AE406" i="1"/>
  <c r="AB46" i="1"/>
  <c r="B48" i="3" s="1"/>
  <c r="AB45" i="1"/>
  <c r="B47" i="3" s="1"/>
  <c r="AB47" i="1"/>
  <c r="B49" i="3" s="1"/>
  <c r="AB90" i="1"/>
  <c r="B92" i="3" s="1"/>
  <c r="AB89" i="1"/>
  <c r="B91" i="3" s="1"/>
  <c r="AB91" i="1"/>
  <c r="B93" i="3" s="1"/>
  <c r="AB40" i="1"/>
  <c r="B42" i="3" s="1"/>
  <c r="AB39" i="1"/>
  <c r="B41" i="3" s="1"/>
  <c r="AB41" i="1"/>
  <c r="B43" i="3" s="1"/>
  <c r="AB242" i="1"/>
  <c r="B244" i="3" s="1"/>
  <c r="AB240" i="1"/>
  <c r="B242" i="3" s="1"/>
  <c r="AB226" i="1"/>
  <c r="B228" i="3" s="1"/>
  <c r="AB224" i="1"/>
  <c r="B226" i="3" s="1"/>
  <c r="AB102" i="1"/>
  <c r="B104" i="3" s="1"/>
  <c r="AB103" i="1"/>
  <c r="B105" i="3" s="1"/>
  <c r="AB101" i="1"/>
  <c r="B103" i="3" s="1"/>
  <c r="AB121" i="1"/>
  <c r="B123" i="3" s="1"/>
  <c r="AB120" i="1"/>
  <c r="B122" i="3" s="1"/>
  <c r="AB122" i="1"/>
  <c r="B124" i="3" s="1"/>
  <c r="AE214" i="1"/>
  <c r="AE216" i="1"/>
  <c r="AE215" i="1"/>
  <c r="AE217" i="1"/>
  <c r="AE272" i="1"/>
  <c r="AE274" i="1"/>
  <c r="AE273" i="1"/>
  <c r="AE275" i="1"/>
  <c r="AE304" i="1"/>
  <c r="AE305" i="1"/>
  <c r="AE306" i="1"/>
  <c r="AE328" i="1"/>
  <c r="AE330" i="1"/>
  <c r="AE329" i="1"/>
  <c r="AE331" i="1"/>
  <c r="AE336" i="1"/>
  <c r="AE339" i="1"/>
  <c r="AE337" i="1"/>
  <c r="AE338" i="1"/>
  <c r="AE361" i="1"/>
  <c r="AE360" i="1"/>
  <c r="AE363" i="1"/>
  <c r="AE362" i="1"/>
  <c r="AE377" i="1"/>
  <c r="AE379" i="1"/>
  <c r="AE376" i="1"/>
  <c r="AE378" i="1"/>
  <c r="AE392" i="1"/>
  <c r="AE394" i="1"/>
  <c r="AE395" i="1"/>
  <c r="AE393" i="1"/>
  <c r="AE417" i="1"/>
  <c r="AE419" i="1"/>
  <c r="AE418" i="1"/>
  <c r="AE416" i="1"/>
  <c r="AE434" i="1"/>
  <c r="AE433" i="1"/>
  <c r="AE432" i="1"/>
  <c r="AE480" i="1"/>
  <c r="AE483" i="1"/>
  <c r="AE504" i="1"/>
  <c r="AE506" i="1"/>
  <c r="AB236" i="1"/>
  <c r="B238" i="3" s="1"/>
  <c r="AB238" i="1"/>
  <c r="B240" i="3" s="1"/>
  <c r="AB342" i="1"/>
  <c r="B344" i="3" s="1"/>
  <c r="AB365" i="1"/>
  <c r="B367" i="3" s="1"/>
  <c r="AB367" i="1"/>
  <c r="B369" i="3" s="1"/>
  <c r="AB390" i="1"/>
  <c r="B392" i="3" s="1"/>
  <c r="AB406" i="1"/>
  <c r="B408" i="3" s="1"/>
  <c r="AB429" i="1"/>
  <c r="B431" i="3" s="1"/>
  <c r="AB431" i="1"/>
  <c r="B433" i="3" s="1"/>
  <c r="AB438" i="1"/>
  <c r="B440" i="3" s="1"/>
  <c r="AB454" i="1"/>
  <c r="B456" i="3" s="1"/>
  <c r="AB486" i="1"/>
  <c r="B488" i="3" s="1"/>
  <c r="AB502" i="1"/>
  <c r="B504" i="3" s="1"/>
  <c r="AB74" i="1"/>
  <c r="B76" i="3" s="1"/>
  <c r="AE435" i="1"/>
  <c r="AE465" i="1"/>
  <c r="AE471" i="1"/>
  <c r="AE475" i="1"/>
  <c r="AE482" i="1"/>
  <c r="AE507" i="1"/>
  <c r="AE307" i="1"/>
  <c r="AB196" i="1"/>
  <c r="B198" i="3" s="1"/>
  <c r="AB212" i="1"/>
  <c r="B214" i="3" s="1"/>
  <c r="AB269" i="1"/>
  <c r="B271" i="3" s="1"/>
  <c r="AB301" i="1"/>
  <c r="B303" i="3" s="1"/>
  <c r="AB333" i="1"/>
  <c r="B335" i="3" s="1"/>
  <c r="AB268" i="1"/>
  <c r="B270" i="3" s="1"/>
  <c r="AB276" i="1"/>
  <c r="B278" i="3" s="1"/>
  <c r="AB300" i="1"/>
  <c r="B302" i="3" s="1"/>
  <c r="AE485" i="1"/>
  <c r="AE495" i="1"/>
  <c r="AE510" i="1"/>
  <c r="AE451" i="1"/>
  <c r="AE470" i="1"/>
  <c r="AB213" i="1"/>
  <c r="B215" i="3" s="1"/>
  <c r="AB223" i="1"/>
  <c r="B225" i="3" s="1"/>
  <c r="AB239" i="1"/>
  <c r="B241" i="3" s="1"/>
  <c r="AE449" i="1"/>
  <c r="AE493" i="1"/>
  <c r="AB123" i="1"/>
  <c r="B125" i="3" s="1"/>
  <c r="AE439" i="1"/>
  <c r="AE425" i="1"/>
  <c r="AE427" i="1"/>
  <c r="AE426" i="1"/>
  <c r="AE424" i="1"/>
  <c r="AE456" i="1"/>
  <c r="AE459" i="1"/>
  <c r="AE341" i="1"/>
  <c r="AE340" i="1"/>
  <c r="AE343" i="1"/>
  <c r="AE342" i="1"/>
  <c r="AE354" i="1"/>
  <c r="AE353" i="1"/>
  <c r="AE352" i="1"/>
  <c r="AE355" i="1"/>
  <c r="AE260" i="1"/>
  <c r="AE262" i="1"/>
  <c r="AE261" i="1"/>
  <c r="AE263" i="1"/>
  <c r="AE280" i="1"/>
  <c r="AE282" i="1"/>
  <c r="AE281" i="1"/>
  <c r="AE283" i="1"/>
  <c r="AE288" i="1"/>
  <c r="AE290" i="1"/>
  <c r="AE289" i="1"/>
  <c r="AE291" i="1"/>
  <c r="AE64" i="1"/>
  <c r="AE66" i="1"/>
  <c r="AE65" i="1"/>
  <c r="AE108" i="1"/>
  <c r="AE110" i="1"/>
  <c r="AE109" i="1"/>
  <c r="AE111" i="1"/>
  <c r="AE140" i="1"/>
  <c r="AE142" i="1"/>
  <c r="AE141" i="1"/>
  <c r="AE143" i="1"/>
  <c r="AE170" i="1"/>
  <c r="AE172" i="1"/>
  <c r="AE169" i="1"/>
  <c r="AE171" i="1"/>
  <c r="AE198" i="1"/>
  <c r="AE200" i="1"/>
  <c r="AE199" i="1"/>
  <c r="AE201" i="1"/>
  <c r="AE52" i="1"/>
  <c r="AE54" i="1"/>
  <c r="AE53" i="1"/>
  <c r="AB34" i="1"/>
  <c r="B36" i="3" s="1"/>
  <c r="AB33" i="1"/>
  <c r="B35" i="3" s="1"/>
  <c r="AB35" i="1"/>
  <c r="B37" i="3" s="1"/>
  <c r="AB6" i="1"/>
  <c r="B8" i="3" s="1"/>
  <c r="AB7" i="1"/>
  <c r="B9" i="3" s="1"/>
  <c r="AB13" i="1"/>
  <c r="B15" i="3" s="1"/>
  <c r="AB14" i="1"/>
  <c r="B16" i="3" s="1"/>
  <c r="AE18" i="1"/>
  <c r="AE19" i="1"/>
  <c r="AE46" i="1"/>
  <c r="AE45" i="1"/>
  <c r="AE47" i="1"/>
  <c r="AE34" i="1"/>
  <c r="AE33" i="1"/>
  <c r="AE35" i="1"/>
  <c r="AE28" i="1"/>
  <c r="AE27" i="1"/>
  <c r="AE202" i="1"/>
  <c r="AE204" i="1"/>
  <c r="AE203" i="1"/>
  <c r="AE205" i="1"/>
  <c r="AE186" i="1"/>
  <c r="AE188" i="1"/>
  <c r="AE187" i="1"/>
  <c r="AE189" i="1"/>
  <c r="AE174" i="1"/>
  <c r="AE176" i="1"/>
  <c r="AE173" i="1"/>
  <c r="AE175" i="1"/>
  <c r="AE158" i="1"/>
  <c r="AE160" i="1"/>
  <c r="AE157" i="1"/>
  <c r="AE159" i="1"/>
  <c r="AE128" i="1"/>
  <c r="AE130" i="1"/>
  <c r="AE129" i="1"/>
  <c r="AE131" i="1"/>
  <c r="AE112" i="1"/>
  <c r="AE114" i="1"/>
  <c r="AE113" i="1"/>
  <c r="AE115" i="1"/>
  <c r="AE102" i="1"/>
  <c r="AE101" i="1"/>
  <c r="AE103" i="1"/>
  <c r="AE90" i="1"/>
  <c r="AE89" i="1"/>
  <c r="AE91" i="1"/>
  <c r="AE68" i="1"/>
  <c r="AE67" i="1"/>
  <c r="AE69" i="1"/>
  <c r="AE56" i="1"/>
  <c r="AE55" i="1"/>
  <c r="AE57" i="1"/>
  <c r="AE224" i="1"/>
  <c r="AE226" i="1"/>
  <c r="AE223" i="1"/>
  <c r="AE225" i="1"/>
  <c r="AE248" i="1"/>
  <c r="AE250" i="1"/>
  <c r="AE247" i="1"/>
  <c r="AE249" i="1"/>
  <c r="AE232" i="1"/>
  <c r="AE234" i="1"/>
  <c r="AE231" i="1"/>
  <c r="AE233" i="1"/>
  <c r="AE524" i="1"/>
  <c r="AE526" i="1"/>
  <c r="AE372" i="1"/>
  <c r="AE374" i="1"/>
  <c r="AE375" i="1"/>
  <c r="AE373" i="1"/>
  <c r="AE356" i="1"/>
  <c r="AE359" i="1"/>
  <c r="AE357" i="1"/>
  <c r="AE358" i="1"/>
  <c r="AE444" i="1"/>
  <c r="AE446" i="1"/>
  <c r="AE429" i="1"/>
  <c r="AE431" i="1"/>
  <c r="AE430" i="1"/>
  <c r="AE428" i="1"/>
  <c r="AE309" i="1"/>
  <c r="AE308" i="1"/>
  <c r="AE311" i="1"/>
  <c r="AE310" i="1"/>
  <c r="AB56" i="1"/>
  <c r="B58" i="3" s="1"/>
  <c r="AB55" i="1"/>
  <c r="B57" i="3" s="1"/>
  <c r="AB57" i="1"/>
  <c r="B59" i="3" s="1"/>
  <c r="AB128" i="1"/>
  <c r="B130" i="3" s="1"/>
  <c r="AB130" i="1"/>
  <c r="B132" i="3" s="1"/>
  <c r="AB129" i="1"/>
  <c r="B131" i="3" s="1"/>
  <c r="AB131" i="1"/>
  <c r="B133" i="3" s="1"/>
  <c r="AB250" i="1"/>
  <c r="B252" i="3" s="1"/>
  <c r="AB248" i="1"/>
  <c r="B250" i="3" s="1"/>
  <c r="AB234" i="1"/>
  <c r="B236" i="3" s="1"/>
  <c r="AB232" i="1"/>
  <c r="B234" i="3" s="1"/>
  <c r="AB139" i="1"/>
  <c r="B141" i="3" s="1"/>
  <c r="AB136" i="1"/>
  <c r="B138" i="3" s="1"/>
  <c r="AB138" i="1"/>
  <c r="B140" i="3" s="1"/>
  <c r="AB83" i="1"/>
  <c r="B85" i="3" s="1"/>
  <c r="AB84" i="1"/>
  <c r="B86" i="3" s="1"/>
  <c r="AB377" i="1"/>
  <c r="B379" i="3" s="1"/>
  <c r="AB379" i="1"/>
  <c r="B381" i="3" s="1"/>
  <c r="AB481" i="1"/>
  <c r="B483" i="3" s="1"/>
  <c r="AB483" i="1"/>
  <c r="B485" i="3" s="1"/>
  <c r="AF620" i="2" l="1"/>
  <c r="AC620" i="2"/>
  <c r="AF616" i="2"/>
  <c r="AC616" i="2"/>
  <c r="AF613" i="2"/>
  <c r="AC613" i="2"/>
  <c r="AF608" i="2"/>
  <c r="AC608" i="2"/>
  <c r="AF604" i="2"/>
  <c r="AC604" i="2"/>
  <c r="AF600" i="2"/>
  <c r="AC600" i="2"/>
  <c r="AF596" i="2"/>
  <c r="AC596" i="2"/>
  <c r="AF591" i="2"/>
  <c r="AC591" i="2"/>
  <c r="AF586" i="2"/>
  <c r="AC586" i="2"/>
  <c r="AF582" i="2"/>
  <c r="AC582" i="2"/>
  <c r="AF579" i="2"/>
  <c r="AC579" i="2"/>
  <c r="AF577" i="2"/>
  <c r="AC577" i="2"/>
  <c r="AF573" i="2"/>
  <c r="AC573" i="2"/>
  <c r="AF571" i="2"/>
  <c r="AC571" i="2"/>
  <c r="AF569" i="2"/>
  <c r="AC569" i="2"/>
  <c r="AF566" i="2"/>
  <c r="AC566" i="2"/>
  <c r="AF562" i="2"/>
  <c r="AC562" i="2"/>
  <c r="AF559" i="2"/>
  <c r="AC559" i="2"/>
  <c r="AF554" i="2"/>
  <c r="AC554" i="2"/>
  <c r="AF550" i="2"/>
  <c r="AC550" i="2"/>
  <c r="AF546" i="2"/>
  <c r="AC546" i="2"/>
  <c r="AF543" i="2"/>
  <c r="AC543" i="2"/>
  <c r="AF536" i="2"/>
  <c r="AC536" i="2"/>
  <c r="AF531" i="2"/>
  <c r="AC531" i="2"/>
  <c r="AF527" i="2"/>
  <c r="AC527" i="2"/>
  <c r="AF524" i="2"/>
  <c r="AC524" i="2"/>
  <c r="AF519" i="2"/>
  <c r="AC519" i="2"/>
  <c r="AF517" i="2"/>
  <c r="AC517" i="2"/>
  <c r="AF515" i="2"/>
  <c r="AC515" i="2"/>
  <c r="AF512" i="2"/>
  <c r="AC512" i="2"/>
  <c r="AF508" i="2"/>
  <c r="AC508" i="2"/>
  <c r="AF504" i="2"/>
  <c r="AC504" i="2"/>
  <c r="AF500" i="2"/>
  <c r="AC500" i="2"/>
  <c r="AF496" i="2"/>
  <c r="AC496" i="2"/>
  <c r="AF492" i="2"/>
  <c r="AC492" i="2"/>
  <c r="AF490" i="2"/>
  <c r="AC490" i="2"/>
  <c r="AF481" i="2"/>
  <c r="AC481" i="2"/>
  <c r="AF478" i="2"/>
  <c r="AC478" i="2"/>
  <c r="AF475" i="2"/>
  <c r="AC475" i="2"/>
  <c r="AF472" i="2"/>
  <c r="AC472" i="2"/>
  <c r="AF469" i="2"/>
  <c r="AC469" i="2"/>
  <c r="AF467" i="2"/>
  <c r="AC467" i="2"/>
  <c r="AF464" i="2"/>
  <c r="AC464" i="2"/>
  <c r="AF462" i="2"/>
  <c r="AC462" i="2"/>
  <c r="AF460" i="2"/>
  <c r="AC460" i="2"/>
  <c r="AF458" i="2"/>
  <c r="AC458" i="2"/>
  <c r="AF454" i="2"/>
  <c r="AC454" i="2"/>
  <c r="AF451" i="2"/>
  <c r="AC451" i="2"/>
  <c r="AC619" i="2"/>
  <c r="AF619" i="2"/>
  <c r="AC615" i="2"/>
  <c r="AF615" i="2"/>
  <c r="AC610" i="2"/>
  <c r="AF610" i="2"/>
  <c r="AC607" i="2"/>
  <c r="AF607" i="2"/>
  <c r="AC603" i="2"/>
  <c r="AF603" i="2"/>
  <c r="AC599" i="2"/>
  <c r="AF599" i="2"/>
  <c r="AC595" i="2"/>
  <c r="AF595" i="2"/>
  <c r="AC592" i="2"/>
  <c r="AF592" i="2"/>
  <c r="AC588" i="2"/>
  <c r="AF588" i="2"/>
  <c r="AC585" i="2"/>
  <c r="AF585" i="2"/>
  <c r="AC580" i="2"/>
  <c r="AF580" i="2"/>
  <c r="AC575" i="2"/>
  <c r="AF575" i="2"/>
  <c r="AC565" i="2"/>
  <c r="AF565" i="2"/>
  <c r="AC560" i="2"/>
  <c r="AF560" i="2"/>
  <c r="AC557" i="2"/>
  <c r="AF557" i="2"/>
  <c r="AC552" i="2"/>
  <c r="AF552" i="2"/>
  <c r="AC549" i="2"/>
  <c r="AF549" i="2"/>
  <c r="AC544" i="2"/>
  <c r="AF544" i="2"/>
  <c r="AC541" i="2"/>
  <c r="AF541" i="2"/>
  <c r="AC538" i="2"/>
  <c r="AF538" i="2"/>
  <c r="AC535" i="2"/>
  <c r="AF535" i="2"/>
  <c r="AC532" i="2"/>
  <c r="AF532" i="2"/>
  <c r="AC528" i="2"/>
  <c r="AF528" i="2"/>
  <c r="AC523" i="2"/>
  <c r="AF523" i="2"/>
  <c r="AC520" i="2"/>
  <c r="AF520" i="2"/>
  <c r="AC511" i="2"/>
  <c r="AF511" i="2"/>
  <c r="AC507" i="2"/>
  <c r="AF507" i="2"/>
  <c r="AC503" i="2"/>
  <c r="AF503" i="2"/>
  <c r="AC499" i="2"/>
  <c r="AF499" i="2"/>
  <c r="AC495" i="2"/>
  <c r="AF495" i="2"/>
  <c r="AC489" i="2"/>
  <c r="AF489" i="2"/>
  <c r="AC486" i="2"/>
  <c r="AF486" i="2"/>
  <c r="AC484" i="2"/>
  <c r="AF484" i="2"/>
  <c r="AC482" i="2"/>
  <c r="AF482" i="2"/>
  <c r="AC477" i="2"/>
  <c r="AF477" i="2"/>
  <c r="AC471" i="2"/>
  <c r="AF471" i="2"/>
  <c r="AC457" i="2"/>
  <c r="AF457" i="2"/>
  <c r="AC453" i="2"/>
  <c r="AF453" i="2"/>
  <c r="AC448" i="2"/>
  <c r="AF448" i="2"/>
  <c r="AC446" i="2"/>
  <c r="AF446" i="2"/>
  <c r="AC444" i="2"/>
  <c r="AF444" i="2"/>
  <c r="AC442" i="2"/>
  <c r="AF442" i="2"/>
  <c r="AC440" i="2"/>
  <c r="AF440" i="2"/>
  <c r="AC438" i="2"/>
  <c r="AF438" i="2"/>
  <c r="AC436" i="2"/>
  <c r="AF436" i="2"/>
  <c r="AF431" i="2"/>
  <c r="AC431" i="2"/>
  <c r="AF423" i="2"/>
  <c r="AC423" i="2"/>
  <c r="AF419" i="2"/>
  <c r="AC419" i="2"/>
  <c r="AF416" i="2"/>
  <c r="AC416" i="2"/>
  <c r="AF410" i="2"/>
  <c r="AC410" i="2"/>
  <c r="AF406" i="2"/>
  <c r="AC406" i="2"/>
  <c r="AF398" i="2"/>
  <c r="AC398" i="2"/>
  <c r="AF391" i="2"/>
  <c r="AC391" i="2"/>
  <c r="AF385" i="2"/>
  <c r="AC385" i="2"/>
  <c r="AF382" i="2"/>
  <c r="AC382" i="2"/>
  <c r="AF380" i="2"/>
  <c r="AC380" i="2"/>
  <c r="AF376" i="2"/>
  <c r="AC376" i="2"/>
  <c r="AF374" i="2"/>
  <c r="AC374" i="2"/>
  <c r="AF372" i="2"/>
  <c r="AC372" i="2"/>
  <c r="AF367" i="2"/>
  <c r="AC367" i="2"/>
  <c r="AF365" i="2"/>
  <c r="AC365" i="2"/>
  <c r="AF361" i="2"/>
  <c r="AC361" i="2"/>
  <c r="AF354" i="2"/>
  <c r="AC354" i="2"/>
  <c r="AF352" i="2"/>
  <c r="AC352" i="2"/>
  <c r="AF350" i="2"/>
  <c r="AC350" i="2"/>
  <c r="AF348" i="2"/>
  <c r="AC348" i="2"/>
  <c r="AF344" i="2"/>
  <c r="AC344" i="2"/>
  <c r="AF339" i="2"/>
  <c r="AC339" i="2"/>
  <c r="AF337" i="2"/>
  <c r="AC337" i="2"/>
  <c r="AF335" i="2"/>
  <c r="AC335" i="2"/>
  <c r="AF333" i="2"/>
  <c r="AC333" i="2"/>
  <c r="AF331" i="2"/>
  <c r="AC331" i="2"/>
  <c r="AF328" i="2"/>
  <c r="AC328" i="2"/>
  <c r="AF326" i="2"/>
  <c r="AC326" i="2"/>
  <c r="AF324" i="2"/>
  <c r="AC324" i="2"/>
  <c r="AF322" i="2"/>
  <c r="AC322" i="2"/>
  <c r="AF320" i="2"/>
  <c r="AC320" i="2"/>
  <c r="AF318" i="2"/>
  <c r="AC318" i="2"/>
  <c r="AF316" i="2"/>
  <c r="AC316" i="2"/>
  <c r="AF314" i="2"/>
  <c r="AC314" i="2"/>
  <c r="AF312" i="2"/>
  <c r="AC312" i="2"/>
  <c r="AF310" i="2"/>
  <c r="AC310" i="2"/>
  <c r="AF308" i="2"/>
  <c r="AC308" i="2"/>
  <c r="AF306" i="2"/>
  <c r="AC306" i="2"/>
  <c r="AF304" i="2"/>
  <c r="AC304" i="2"/>
  <c r="AF302" i="2"/>
  <c r="AC302" i="2"/>
  <c r="AF300" i="2"/>
  <c r="AC300" i="2"/>
  <c r="AF298" i="2"/>
  <c r="AC298" i="2"/>
  <c r="AF296" i="2"/>
  <c r="AC296" i="2"/>
  <c r="AF294" i="2"/>
  <c r="AC294" i="2"/>
  <c r="AF292" i="2"/>
  <c r="AC292" i="2"/>
  <c r="AF290" i="2"/>
  <c r="AC290" i="2"/>
  <c r="AF288" i="2"/>
  <c r="AC288" i="2"/>
  <c r="AF286" i="2"/>
  <c r="AC286" i="2"/>
  <c r="AF284" i="2"/>
  <c r="AC284" i="2"/>
  <c r="AF282" i="2"/>
  <c r="AC282" i="2"/>
  <c r="AF280" i="2"/>
  <c r="AC280" i="2"/>
  <c r="AF278" i="2"/>
  <c r="AC278" i="2"/>
  <c r="AC434" i="2"/>
  <c r="AF434" i="2"/>
  <c r="AC432" i="2"/>
  <c r="AF432" i="2"/>
  <c r="AC429" i="2"/>
  <c r="AF429" i="2"/>
  <c r="AC426" i="2"/>
  <c r="AF426" i="2"/>
  <c r="AC424" i="2"/>
  <c r="AF424" i="2"/>
  <c r="AC420" i="2"/>
  <c r="AF420" i="2"/>
  <c r="AC414" i="2"/>
  <c r="AF414" i="2"/>
  <c r="AC412" i="2"/>
  <c r="AF412" i="2"/>
  <c r="AC408" i="2"/>
  <c r="AF408" i="2"/>
  <c r="AC404" i="2"/>
  <c r="AF404" i="2"/>
  <c r="AC402" i="2"/>
  <c r="AF402" i="2"/>
  <c r="AC400" i="2"/>
  <c r="AF400" i="2"/>
  <c r="AC396" i="2"/>
  <c r="AF396" i="2"/>
  <c r="AC394" i="2"/>
  <c r="AF394" i="2"/>
  <c r="AC392" i="2"/>
  <c r="AF392" i="2"/>
  <c r="AC389" i="2"/>
  <c r="AF389" i="2"/>
  <c r="AC387" i="2"/>
  <c r="AF387" i="2"/>
  <c r="AC378" i="2"/>
  <c r="AF378" i="2"/>
  <c r="AC371" i="2"/>
  <c r="AF371" i="2"/>
  <c r="AC369" i="2"/>
  <c r="AF369" i="2"/>
  <c r="AC363" i="2"/>
  <c r="AF363" i="2"/>
  <c r="AC359" i="2"/>
  <c r="AF359" i="2"/>
  <c r="AC357" i="2"/>
  <c r="AF357" i="2"/>
  <c r="AC346" i="2"/>
  <c r="AF346" i="2"/>
  <c r="AC343" i="2"/>
  <c r="AF343" i="2"/>
  <c r="AC340" i="2"/>
  <c r="AF340" i="2"/>
  <c r="AF276" i="2"/>
  <c r="AC276" i="2"/>
  <c r="AF274" i="2"/>
  <c r="AC274" i="2"/>
  <c r="AF272" i="2"/>
  <c r="AC272" i="2"/>
  <c r="AF270" i="2"/>
  <c r="AC270" i="2"/>
  <c r="AF268" i="2"/>
  <c r="AC268" i="2"/>
  <c r="AF266" i="2"/>
  <c r="AC266" i="2"/>
  <c r="AF264" i="2"/>
  <c r="AC264" i="2"/>
  <c r="AF262" i="2"/>
  <c r="AC262" i="2"/>
  <c r="AF260" i="2"/>
  <c r="AC260" i="2"/>
  <c r="AF258" i="2"/>
  <c r="B260" i="4" s="1"/>
  <c r="AC258" i="2"/>
  <c r="AF256" i="2"/>
  <c r="B258" i="4" s="1"/>
  <c r="AC256" i="2"/>
  <c r="AF254" i="2"/>
  <c r="B256" i="4" s="1"/>
  <c r="AC254" i="2"/>
  <c r="AF252" i="2"/>
  <c r="B254" i="4" s="1"/>
  <c r="AC252" i="2"/>
  <c r="AF250" i="2"/>
  <c r="B252" i="4" s="1"/>
  <c r="AC250" i="2"/>
  <c r="AF248" i="2"/>
  <c r="B250" i="4" s="1"/>
  <c r="AC248" i="2"/>
  <c r="AF246" i="2"/>
  <c r="B248" i="4" s="1"/>
  <c r="AC246" i="2"/>
  <c r="AF244" i="2"/>
  <c r="B246" i="4" s="1"/>
  <c r="AC244" i="2"/>
  <c r="AF242" i="2"/>
  <c r="B244" i="4" s="1"/>
  <c r="AC242" i="2"/>
  <c r="AF240" i="2"/>
  <c r="B242" i="4" s="1"/>
  <c r="AC240" i="2"/>
  <c r="AF238" i="2"/>
  <c r="B240" i="4" s="1"/>
  <c r="AC238" i="2"/>
  <c r="AF236" i="2"/>
  <c r="B238" i="4" s="1"/>
  <c r="AC236" i="2"/>
  <c r="AF234" i="2"/>
  <c r="B236" i="4" s="1"/>
  <c r="AC234" i="2"/>
  <c r="AF169" i="2"/>
  <c r="B171" i="4" s="1"/>
  <c r="AC169" i="2"/>
  <c r="AF162" i="2"/>
  <c r="B164" i="4" s="1"/>
  <c r="AC162" i="2"/>
  <c r="AF155" i="2"/>
  <c r="B157" i="4" s="1"/>
  <c r="AC155" i="2"/>
  <c r="AF153" i="2"/>
  <c r="B155" i="4" s="1"/>
  <c r="AC153" i="2"/>
  <c r="AF143" i="2"/>
  <c r="B145" i="4" s="1"/>
  <c r="AC143" i="2"/>
  <c r="AF141" i="2"/>
  <c r="B143" i="4" s="1"/>
  <c r="AC141" i="2"/>
  <c r="AF139" i="2"/>
  <c r="B141" i="4" s="1"/>
  <c r="AC139" i="2"/>
  <c r="AF137" i="2"/>
  <c r="B139" i="4" s="1"/>
  <c r="AC137" i="2"/>
  <c r="AF135" i="2"/>
  <c r="B137" i="4" s="1"/>
  <c r="AC135" i="2"/>
  <c r="AF133" i="2"/>
  <c r="B135" i="4" s="1"/>
  <c r="AC133" i="2"/>
  <c r="AF131" i="2"/>
  <c r="B133" i="4" s="1"/>
  <c r="AC131" i="2"/>
  <c r="AF129" i="2"/>
  <c r="B131" i="4" s="1"/>
  <c r="AC129" i="2"/>
  <c r="AF127" i="2"/>
  <c r="B129" i="4" s="1"/>
  <c r="AC127" i="2"/>
  <c r="AF125" i="2"/>
  <c r="B127" i="4" s="1"/>
  <c r="AC125" i="2"/>
  <c r="AF123" i="2"/>
  <c r="B125" i="4" s="1"/>
  <c r="AC123" i="2"/>
  <c r="AF121" i="2"/>
  <c r="B123" i="4" s="1"/>
  <c r="AC121" i="2"/>
  <c r="AF119" i="2"/>
  <c r="B121" i="4" s="1"/>
  <c r="AC119" i="2"/>
  <c r="AF117" i="2"/>
  <c r="B119" i="4" s="1"/>
  <c r="AC117" i="2"/>
  <c r="AF115" i="2"/>
  <c r="B117" i="4" s="1"/>
  <c r="AC115" i="2"/>
  <c r="AF113" i="2"/>
  <c r="B115" i="4" s="1"/>
  <c r="AC113" i="2"/>
  <c r="AF111" i="2"/>
  <c r="B113" i="4" s="1"/>
  <c r="AC111" i="2"/>
  <c r="AF109" i="2"/>
  <c r="B111" i="4" s="1"/>
  <c r="AC109" i="2"/>
  <c r="AF107" i="2"/>
  <c r="B109" i="4" s="1"/>
  <c r="AC107" i="2"/>
  <c r="AF105" i="2"/>
  <c r="B107" i="4" s="1"/>
  <c r="AC105" i="2"/>
  <c r="AF103" i="2"/>
  <c r="B105" i="4" s="1"/>
  <c r="AC103" i="2"/>
  <c r="AF101" i="2"/>
  <c r="B103" i="4" s="1"/>
  <c r="AC101" i="2"/>
  <c r="AF99" i="2"/>
  <c r="B101" i="4" s="1"/>
  <c r="AC99" i="2"/>
  <c r="AC231" i="2"/>
  <c r="AF231" i="2"/>
  <c r="B233" i="4" s="1"/>
  <c r="AC229" i="2"/>
  <c r="AF229" i="2"/>
  <c r="B231" i="4" s="1"/>
  <c r="AC227" i="2"/>
  <c r="AF227" i="2"/>
  <c r="B229" i="4" s="1"/>
  <c r="AC225" i="2"/>
  <c r="AF225" i="2"/>
  <c r="B227" i="4" s="1"/>
  <c r="AC223" i="2"/>
  <c r="AF223" i="2"/>
  <c r="B225" i="4" s="1"/>
  <c r="AC221" i="2"/>
  <c r="AF221" i="2"/>
  <c r="B223" i="4" s="1"/>
  <c r="AC219" i="2"/>
  <c r="AF219" i="2"/>
  <c r="B221" i="4" s="1"/>
  <c r="AC217" i="2"/>
  <c r="AF217" i="2"/>
  <c r="B219" i="4" s="1"/>
  <c r="AC215" i="2"/>
  <c r="AF215" i="2"/>
  <c r="B217" i="4" s="1"/>
  <c r="AC213" i="2"/>
  <c r="AF213" i="2"/>
  <c r="B215" i="4" s="1"/>
  <c r="AC211" i="2"/>
  <c r="AF211" i="2"/>
  <c r="B213" i="4" s="1"/>
  <c r="AC209" i="2"/>
  <c r="AF209" i="2"/>
  <c r="B211" i="4" s="1"/>
  <c r="AC207" i="2"/>
  <c r="AF207" i="2"/>
  <c r="B209" i="4" s="1"/>
  <c r="AC205" i="2"/>
  <c r="AF205" i="2"/>
  <c r="B207" i="4" s="1"/>
  <c r="AC203" i="2"/>
  <c r="AF203" i="2"/>
  <c r="B205" i="4" s="1"/>
  <c r="AC201" i="2"/>
  <c r="AF201" i="2"/>
  <c r="B203" i="4" s="1"/>
  <c r="AC199" i="2"/>
  <c r="AF199" i="2"/>
  <c r="B201" i="4" s="1"/>
  <c r="AC197" i="2"/>
  <c r="AF197" i="2"/>
  <c r="B199" i="4" s="1"/>
  <c r="AC195" i="2"/>
  <c r="AF195" i="2"/>
  <c r="B197" i="4" s="1"/>
  <c r="AC193" i="2"/>
  <c r="AF193" i="2"/>
  <c r="B195" i="4" s="1"/>
  <c r="AC191" i="2"/>
  <c r="AF191" i="2"/>
  <c r="B193" i="4" s="1"/>
  <c r="AC189" i="2"/>
  <c r="AF189" i="2"/>
  <c r="B191" i="4" s="1"/>
  <c r="AC187" i="2"/>
  <c r="AF187" i="2"/>
  <c r="B189" i="4" s="1"/>
  <c r="AC185" i="2"/>
  <c r="AF185" i="2"/>
  <c r="B187" i="4" s="1"/>
  <c r="AC183" i="2"/>
  <c r="AF183" i="2"/>
  <c r="B185" i="4" s="1"/>
  <c r="AC181" i="2"/>
  <c r="AF181" i="2"/>
  <c r="B183" i="4" s="1"/>
  <c r="AC179" i="2"/>
  <c r="AF179" i="2"/>
  <c r="B181" i="4" s="1"/>
  <c r="AC177" i="2"/>
  <c r="AF177" i="2"/>
  <c r="B179" i="4" s="1"/>
  <c r="AC175" i="2"/>
  <c r="AF175" i="2"/>
  <c r="B177" i="4" s="1"/>
  <c r="AC173" i="2"/>
  <c r="AF173" i="2"/>
  <c r="B175" i="4" s="1"/>
  <c r="AC171" i="2"/>
  <c r="AF171" i="2"/>
  <c r="B173" i="4" s="1"/>
  <c r="AC168" i="2"/>
  <c r="AF168" i="2"/>
  <c r="B170" i="4" s="1"/>
  <c r="AC166" i="2"/>
  <c r="AF166" i="2"/>
  <c r="B168" i="4" s="1"/>
  <c r="AC164" i="2"/>
  <c r="AF164" i="2"/>
  <c r="B166" i="4" s="1"/>
  <c r="AC159" i="2"/>
  <c r="AF159" i="2"/>
  <c r="B161" i="4" s="1"/>
  <c r="AC157" i="2"/>
  <c r="AF157" i="2"/>
  <c r="B159" i="4" s="1"/>
  <c r="AC152" i="2"/>
  <c r="AF152" i="2"/>
  <c r="B154" i="4" s="1"/>
  <c r="AC150" i="2"/>
  <c r="AF150" i="2"/>
  <c r="B152" i="4" s="1"/>
  <c r="AC148" i="2"/>
  <c r="AF148" i="2"/>
  <c r="B150" i="4" s="1"/>
  <c r="AC146" i="2"/>
  <c r="AF146" i="2"/>
  <c r="B148" i="4" s="1"/>
  <c r="AF98" i="2"/>
  <c r="B100" i="4" s="1"/>
  <c r="AC98" i="2"/>
  <c r="AF96" i="2"/>
  <c r="B98" i="4" s="1"/>
  <c r="AC96" i="2"/>
  <c r="AF94" i="2"/>
  <c r="B96" i="4" s="1"/>
  <c r="AC94" i="2"/>
  <c r="AF92" i="2"/>
  <c r="B94" i="4" s="1"/>
  <c r="AC92" i="2"/>
  <c r="AC90" i="2"/>
  <c r="AF90" i="2"/>
  <c r="B92" i="4" s="1"/>
  <c r="AC88" i="2"/>
  <c r="AF88" i="2"/>
  <c r="B90" i="4" s="1"/>
  <c r="AC86" i="2"/>
  <c r="AF86" i="2"/>
  <c r="B88" i="4" s="1"/>
  <c r="AC85" i="2"/>
  <c r="AF85" i="2"/>
  <c r="B87" i="4" s="1"/>
  <c r="AC83" i="2"/>
  <c r="AF83" i="2"/>
  <c r="B85" i="4" s="1"/>
  <c r="AC79" i="2"/>
  <c r="AF79" i="2"/>
  <c r="AC75" i="2"/>
  <c r="AF75" i="2"/>
  <c r="AC71" i="2"/>
  <c r="AF71" i="2"/>
  <c r="AC67" i="2"/>
  <c r="AF67" i="2"/>
  <c r="AC63" i="2"/>
  <c r="AF63" i="2"/>
  <c r="AC59" i="2"/>
  <c r="AF59" i="2"/>
  <c r="AC55" i="2"/>
  <c r="AF55" i="2"/>
  <c r="AC51" i="2"/>
  <c r="AF51" i="2"/>
  <c r="AC47" i="2"/>
  <c r="AF47" i="2"/>
  <c r="AC43" i="2"/>
  <c r="AF43" i="2"/>
  <c r="AC39" i="2"/>
  <c r="AF39" i="2"/>
  <c r="AC35" i="2"/>
  <c r="AF35" i="2"/>
  <c r="AC31" i="2"/>
  <c r="AF31" i="2"/>
  <c r="AC27" i="2"/>
  <c r="AF27" i="2"/>
  <c r="AC23" i="2"/>
  <c r="AF23" i="2"/>
  <c r="AC19" i="2"/>
  <c r="AF19" i="2"/>
  <c r="AC15" i="2"/>
  <c r="AF15" i="2"/>
  <c r="AC11" i="2"/>
  <c r="AF11" i="2"/>
  <c r="AC7" i="2"/>
  <c r="AF7" i="2"/>
  <c r="AF3" i="2"/>
  <c r="AC3" i="2"/>
  <c r="AF78" i="2"/>
  <c r="AC78" i="2"/>
  <c r="AF74" i="2"/>
  <c r="AC74" i="2"/>
  <c r="AF70" i="2"/>
  <c r="AC70" i="2"/>
  <c r="AF66" i="2"/>
  <c r="AC66" i="2"/>
  <c r="AF62" i="2"/>
  <c r="AC62" i="2"/>
  <c r="AF58" i="2"/>
  <c r="AC58" i="2"/>
  <c r="AF54" i="2"/>
  <c r="AC54" i="2"/>
  <c r="AF50" i="2"/>
  <c r="AC50" i="2"/>
  <c r="AF46" i="2"/>
  <c r="AC46" i="2"/>
  <c r="AF42" i="2"/>
  <c r="AC42" i="2"/>
  <c r="AF38" i="2"/>
  <c r="AC38" i="2"/>
  <c r="AF34" i="2"/>
  <c r="AC34" i="2"/>
  <c r="AF30" i="2"/>
  <c r="AC30" i="2"/>
  <c r="AF26" i="2"/>
  <c r="AC26" i="2"/>
  <c r="AF22" i="2"/>
  <c r="AC22" i="2"/>
  <c r="AF18" i="2"/>
  <c r="AC18" i="2"/>
  <c r="AF14" i="2"/>
  <c r="AC14" i="2"/>
  <c r="AF10" i="2"/>
  <c r="AC10" i="2"/>
  <c r="AF6" i="2"/>
  <c r="AC6" i="2"/>
  <c r="AF618" i="2"/>
  <c r="AC618" i="2"/>
  <c r="AF614" i="2"/>
  <c r="AC614" i="2"/>
  <c r="AF611" i="2"/>
  <c r="AC611" i="2"/>
  <c r="AF606" i="2"/>
  <c r="AC606" i="2"/>
  <c r="AF602" i="2"/>
  <c r="AC602" i="2"/>
  <c r="AF598" i="2"/>
  <c r="AC598" i="2"/>
  <c r="AF593" i="2"/>
  <c r="AC593" i="2"/>
  <c r="AF590" i="2"/>
  <c r="AC590" i="2"/>
  <c r="AF584" i="2"/>
  <c r="AC584" i="2"/>
  <c r="AF581" i="2"/>
  <c r="AC581" i="2"/>
  <c r="AF578" i="2"/>
  <c r="AC578" i="2"/>
  <c r="AF574" i="2"/>
  <c r="AC574" i="2"/>
  <c r="AF572" i="2"/>
  <c r="AC572" i="2"/>
  <c r="AF570" i="2"/>
  <c r="AC570" i="2"/>
  <c r="AF568" i="2"/>
  <c r="AC568" i="2"/>
  <c r="AF564" i="2"/>
  <c r="AC564" i="2"/>
  <c r="AF561" i="2"/>
  <c r="AC561" i="2"/>
  <c r="AF556" i="2"/>
  <c r="AC556" i="2"/>
  <c r="AF553" i="2"/>
  <c r="AC553" i="2"/>
  <c r="AF548" i="2"/>
  <c r="AC548" i="2"/>
  <c r="AF545" i="2"/>
  <c r="AC545" i="2"/>
  <c r="AF540" i="2"/>
  <c r="AC540" i="2"/>
  <c r="AF533" i="2"/>
  <c r="AC533" i="2"/>
  <c r="AF529" i="2"/>
  <c r="AC529" i="2"/>
  <c r="AF526" i="2"/>
  <c r="AC526" i="2"/>
  <c r="AF522" i="2"/>
  <c r="AC522" i="2"/>
  <c r="AF518" i="2"/>
  <c r="AC518" i="2"/>
  <c r="AF516" i="2"/>
  <c r="AC516" i="2"/>
  <c r="AF514" i="2"/>
  <c r="AC514" i="2"/>
  <c r="AF510" i="2"/>
  <c r="AC510" i="2"/>
  <c r="AF506" i="2"/>
  <c r="AC506" i="2"/>
  <c r="AF502" i="2"/>
  <c r="AC502" i="2"/>
  <c r="AF498" i="2"/>
  <c r="AC498" i="2"/>
  <c r="AF493" i="2"/>
  <c r="AC493" i="2"/>
  <c r="AF491" i="2"/>
  <c r="AC491" i="2"/>
  <c r="AF487" i="2"/>
  <c r="AC487" i="2"/>
  <c r="AF479" i="2"/>
  <c r="AC479" i="2"/>
  <c r="AF476" i="2"/>
  <c r="AC476" i="2"/>
  <c r="AF474" i="2"/>
  <c r="AC474" i="2"/>
  <c r="AF470" i="2"/>
  <c r="AC470" i="2"/>
  <c r="AF468" i="2"/>
  <c r="AC468" i="2"/>
  <c r="AF466" i="2"/>
  <c r="AC466" i="2"/>
  <c r="AF463" i="2"/>
  <c r="AC463" i="2"/>
  <c r="AF461" i="2"/>
  <c r="AC461" i="2"/>
  <c r="AF459" i="2"/>
  <c r="AC459" i="2"/>
  <c r="AF456" i="2"/>
  <c r="AC456" i="2"/>
  <c r="AF452" i="2"/>
  <c r="AC452" i="2"/>
  <c r="AF450" i="2"/>
  <c r="AC450" i="2"/>
  <c r="AC617" i="2"/>
  <c r="AF617" i="2"/>
  <c r="AC612" i="2"/>
  <c r="AF612" i="2"/>
  <c r="AC609" i="2"/>
  <c r="AF609" i="2"/>
  <c r="AC605" i="2"/>
  <c r="AF605" i="2"/>
  <c r="AC601" i="2"/>
  <c r="AF601" i="2"/>
  <c r="AC597" i="2"/>
  <c r="AF597" i="2"/>
  <c r="AC594" i="2"/>
  <c r="AF594" i="2"/>
  <c r="AC589" i="2"/>
  <c r="AF589" i="2"/>
  <c r="AC587" i="2"/>
  <c r="AF587" i="2"/>
  <c r="AC583" i="2"/>
  <c r="AF583" i="2"/>
  <c r="AC576" i="2"/>
  <c r="AF576" i="2"/>
  <c r="AC567" i="2"/>
  <c r="AF567" i="2"/>
  <c r="AC563" i="2"/>
  <c r="AF563" i="2"/>
  <c r="AC558" i="2"/>
  <c r="AF558" i="2"/>
  <c r="AC555" i="2"/>
  <c r="AF555" i="2"/>
  <c r="AC551" i="2"/>
  <c r="AF551" i="2"/>
  <c r="AC547" i="2"/>
  <c r="AF547" i="2"/>
  <c r="AC542" i="2"/>
  <c r="AF542" i="2"/>
  <c r="AC539" i="2"/>
  <c r="AF539" i="2"/>
  <c r="AC537" i="2"/>
  <c r="AF537" i="2"/>
  <c r="AC534" i="2"/>
  <c r="AF534" i="2"/>
  <c r="AC530" i="2"/>
  <c r="AF530" i="2"/>
  <c r="AC525" i="2"/>
  <c r="AF525" i="2"/>
  <c r="AC521" i="2"/>
  <c r="AF521" i="2"/>
  <c r="AC513" i="2"/>
  <c r="AF513" i="2"/>
  <c r="AC509" i="2"/>
  <c r="AF509" i="2"/>
  <c r="AC505" i="2"/>
  <c r="AF505" i="2"/>
  <c r="AC501" i="2"/>
  <c r="AF501" i="2"/>
  <c r="AC497" i="2"/>
  <c r="AF497" i="2"/>
  <c r="AC494" i="2"/>
  <c r="AF494" i="2"/>
  <c r="AC488" i="2"/>
  <c r="AF488" i="2"/>
  <c r="AC485" i="2"/>
  <c r="AF485" i="2"/>
  <c r="AC483" i="2"/>
  <c r="AF483" i="2"/>
  <c r="AC480" i="2"/>
  <c r="AF480" i="2"/>
  <c r="AC473" i="2"/>
  <c r="AF473" i="2"/>
  <c r="AC465" i="2"/>
  <c r="AF465" i="2"/>
  <c r="AC455" i="2"/>
  <c r="AF455" i="2"/>
  <c r="AC449" i="2"/>
  <c r="AF449" i="2"/>
  <c r="AC447" i="2"/>
  <c r="AF447" i="2"/>
  <c r="AC445" i="2"/>
  <c r="AF445" i="2"/>
  <c r="AC443" i="2"/>
  <c r="AF443" i="2"/>
  <c r="AC441" i="2"/>
  <c r="AF441" i="2"/>
  <c r="AC439" i="2"/>
  <c r="AF439" i="2"/>
  <c r="AC437" i="2"/>
  <c r="AF437" i="2"/>
  <c r="AC435" i="2"/>
  <c r="AF435" i="2"/>
  <c r="AF427" i="2"/>
  <c r="AC427" i="2"/>
  <c r="AF421" i="2"/>
  <c r="AC421" i="2"/>
  <c r="AF418" i="2"/>
  <c r="AC418" i="2"/>
  <c r="AF415" i="2"/>
  <c r="AC415" i="2"/>
  <c r="AF409" i="2"/>
  <c r="AC409" i="2"/>
  <c r="AF405" i="2"/>
  <c r="AC405" i="2"/>
  <c r="AF397" i="2"/>
  <c r="AC397" i="2"/>
  <c r="AF386" i="2"/>
  <c r="AC386" i="2"/>
  <c r="AF383" i="2"/>
  <c r="AC383" i="2"/>
  <c r="AF381" i="2"/>
  <c r="AC381" i="2"/>
  <c r="AF379" i="2"/>
  <c r="AC379" i="2"/>
  <c r="AF375" i="2"/>
  <c r="AC375" i="2"/>
  <c r="AF373" i="2"/>
  <c r="AC373" i="2"/>
  <c r="AF368" i="2"/>
  <c r="AC368" i="2"/>
  <c r="AF366" i="2"/>
  <c r="AC366" i="2"/>
  <c r="AF362" i="2"/>
  <c r="AC362" i="2"/>
  <c r="AF355" i="2"/>
  <c r="AC355" i="2"/>
  <c r="AF353" i="2"/>
  <c r="AC353" i="2"/>
  <c r="AF351" i="2"/>
  <c r="AC351" i="2"/>
  <c r="AF349" i="2"/>
  <c r="AC349" i="2"/>
  <c r="AF347" i="2"/>
  <c r="AC347" i="2"/>
  <c r="AF341" i="2"/>
  <c r="AC341" i="2"/>
  <c r="AF338" i="2"/>
  <c r="AC338" i="2"/>
  <c r="AF336" i="2"/>
  <c r="AC336" i="2"/>
  <c r="AF334" i="2"/>
  <c r="AC334" i="2"/>
  <c r="AF332" i="2"/>
  <c r="AC332" i="2"/>
  <c r="AF329" i="2"/>
  <c r="AC329" i="2"/>
  <c r="AF327" i="2"/>
  <c r="AC327" i="2"/>
  <c r="AF325" i="2"/>
  <c r="AC325" i="2"/>
  <c r="AF323" i="2"/>
  <c r="AC323" i="2"/>
  <c r="AF321" i="2"/>
  <c r="AC321" i="2"/>
  <c r="AF319" i="2"/>
  <c r="AC319" i="2"/>
  <c r="AF317" i="2"/>
  <c r="AC317" i="2"/>
  <c r="AF315" i="2"/>
  <c r="AC315" i="2"/>
  <c r="AF313" i="2"/>
  <c r="AC313" i="2"/>
  <c r="AF311" i="2"/>
  <c r="AC311" i="2"/>
  <c r="AF309" i="2"/>
  <c r="AC309" i="2"/>
  <c r="AF307" i="2"/>
  <c r="AC307" i="2"/>
  <c r="AF305" i="2"/>
  <c r="AC305" i="2"/>
  <c r="AF303" i="2"/>
  <c r="AC303" i="2"/>
  <c r="AF301" i="2"/>
  <c r="AC301" i="2"/>
  <c r="AF299" i="2"/>
  <c r="AC299" i="2"/>
  <c r="AF297" i="2"/>
  <c r="AC297" i="2"/>
  <c r="AF295" i="2"/>
  <c r="AC295" i="2"/>
  <c r="AF293" i="2"/>
  <c r="AC293" i="2"/>
  <c r="AF291" i="2"/>
  <c r="AC291" i="2"/>
  <c r="AF289" i="2"/>
  <c r="AC289" i="2"/>
  <c r="AF287" i="2"/>
  <c r="AC287" i="2"/>
  <c r="AF285" i="2"/>
  <c r="AC285" i="2"/>
  <c r="AF283" i="2"/>
  <c r="AC283" i="2"/>
  <c r="AF281" i="2"/>
  <c r="AC281" i="2"/>
  <c r="AF279" i="2"/>
  <c r="AC279" i="2"/>
  <c r="AF277" i="2"/>
  <c r="AC277" i="2"/>
  <c r="AC433" i="2"/>
  <c r="AF433" i="2"/>
  <c r="AC430" i="2"/>
  <c r="AF430" i="2"/>
  <c r="AC428" i="2"/>
  <c r="AF428" i="2"/>
  <c r="AC425" i="2"/>
  <c r="AF425" i="2"/>
  <c r="AC422" i="2"/>
  <c r="AF422" i="2"/>
  <c r="AC417" i="2"/>
  <c r="AF417" i="2"/>
  <c r="AC413" i="2"/>
  <c r="AF413" i="2"/>
  <c r="AC411" i="2"/>
  <c r="AF411" i="2"/>
  <c r="AC407" i="2"/>
  <c r="AF407" i="2"/>
  <c r="AC403" i="2"/>
  <c r="AF403" i="2"/>
  <c r="AC401" i="2"/>
  <c r="AF401" i="2"/>
  <c r="AC399" i="2"/>
  <c r="AF399" i="2"/>
  <c r="AC395" i="2"/>
  <c r="AF395" i="2"/>
  <c r="AC393" i="2"/>
  <c r="AF393" i="2"/>
  <c r="AC390" i="2"/>
  <c r="AF390" i="2"/>
  <c r="AC388" i="2"/>
  <c r="AF388" i="2"/>
  <c r="AC384" i="2"/>
  <c r="AF384" i="2"/>
  <c r="AC377" i="2"/>
  <c r="AF377" i="2"/>
  <c r="AC370" i="2"/>
  <c r="AF370" i="2"/>
  <c r="AC364" i="2"/>
  <c r="AF364" i="2"/>
  <c r="AC360" i="2"/>
  <c r="AF360" i="2"/>
  <c r="AC358" i="2"/>
  <c r="AF358" i="2"/>
  <c r="AC356" i="2"/>
  <c r="AF356" i="2"/>
  <c r="AC345" i="2"/>
  <c r="AF345" i="2"/>
  <c r="AC342" i="2"/>
  <c r="AF342" i="2"/>
  <c r="AC330" i="2"/>
  <c r="AF330" i="2"/>
  <c r="AF275" i="2"/>
  <c r="AC275" i="2"/>
  <c r="AF273" i="2"/>
  <c r="AC273" i="2"/>
  <c r="AF271" i="2"/>
  <c r="AC271" i="2"/>
  <c r="AF269" i="2"/>
  <c r="AC269" i="2"/>
  <c r="AF267" i="2"/>
  <c r="AC267" i="2"/>
  <c r="AF265" i="2"/>
  <c r="AC265" i="2"/>
  <c r="AF263" i="2"/>
  <c r="AC263" i="2"/>
  <c r="AF261" i="2"/>
  <c r="AC261" i="2"/>
  <c r="AF259" i="2"/>
  <c r="B261" i="4" s="1"/>
  <c r="AC259" i="2"/>
  <c r="AF257" i="2"/>
  <c r="B259" i="4" s="1"/>
  <c r="AC257" i="2"/>
  <c r="AF255" i="2"/>
  <c r="B257" i="4" s="1"/>
  <c r="AC255" i="2"/>
  <c r="AF253" i="2"/>
  <c r="B255" i="4" s="1"/>
  <c r="AC253" i="2"/>
  <c r="AF251" i="2"/>
  <c r="B253" i="4" s="1"/>
  <c r="AC251" i="2"/>
  <c r="AF249" i="2"/>
  <c r="B251" i="4" s="1"/>
  <c r="AC249" i="2"/>
  <c r="AF247" i="2"/>
  <c r="B249" i="4" s="1"/>
  <c r="AC247" i="2"/>
  <c r="AF245" i="2"/>
  <c r="B247" i="4" s="1"/>
  <c r="AC245" i="2"/>
  <c r="AF243" i="2"/>
  <c r="B245" i="4" s="1"/>
  <c r="AC243" i="2"/>
  <c r="AF241" i="2"/>
  <c r="B243" i="4" s="1"/>
  <c r="AC241" i="2"/>
  <c r="AF239" i="2"/>
  <c r="B241" i="4" s="1"/>
  <c r="AC239" i="2"/>
  <c r="AF237" i="2"/>
  <c r="B239" i="4" s="1"/>
  <c r="AC237" i="2"/>
  <c r="AF235" i="2"/>
  <c r="B237" i="4" s="1"/>
  <c r="AC235" i="2"/>
  <c r="AF233" i="2"/>
  <c r="B235" i="4" s="1"/>
  <c r="AC233" i="2"/>
  <c r="AF163" i="2"/>
  <c r="B165" i="4" s="1"/>
  <c r="AC163" i="2"/>
  <c r="AF161" i="2"/>
  <c r="B163" i="4" s="1"/>
  <c r="AC161" i="2"/>
  <c r="AF154" i="2"/>
  <c r="B156" i="4" s="1"/>
  <c r="AC154" i="2"/>
  <c r="AF144" i="2"/>
  <c r="B146" i="4" s="1"/>
  <c r="AC144" i="2"/>
  <c r="AF142" i="2"/>
  <c r="B144" i="4" s="1"/>
  <c r="AC142" i="2"/>
  <c r="AF140" i="2"/>
  <c r="B142" i="4" s="1"/>
  <c r="AC140" i="2"/>
  <c r="AF138" i="2"/>
  <c r="B140" i="4" s="1"/>
  <c r="AC138" i="2"/>
  <c r="AF136" i="2"/>
  <c r="B138" i="4" s="1"/>
  <c r="AC136" i="2"/>
  <c r="AF134" i="2"/>
  <c r="B136" i="4" s="1"/>
  <c r="AC134" i="2"/>
  <c r="AF132" i="2"/>
  <c r="B134" i="4" s="1"/>
  <c r="AC132" i="2"/>
  <c r="AF130" i="2"/>
  <c r="B132" i="4" s="1"/>
  <c r="AC130" i="2"/>
  <c r="AF128" i="2"/>
  <c r="B130" i="4" s="1"/>
  <c r="AC128" i="2"/>
  <c r="AF126" i="2"/>
  <c r="B128" i="4" s="1"/>
  <c r="AC126" i="2"/>
  <c r="AF124" i="2"/>
  <c r="B126" i="4" s="1"/>
  <c r="AC124" i="2"/>
  <c r="AF122" i="2"/>
  <c r="B124" i="4" s="1"/>
  <c r="AC122" i="2"/>
  <c r="AF120" i="2"/>
  <c r="B122" i="4" s="1"/>
  <c r="AC120" i="2"/>
  <c r="AF118" i="2"/>
  <c r="B120" i="4" s="1"/>
  <c r="AC118" i="2"/>
  <c r="AF116" i="2"/>
  <c r="B118" i="4" s="1"/>
  <c r="AC116" i="2"/>
  <c r="AF114" i="2"/>
  <c r="B116" i="4" s="1"/>
  <c r="AC114" i="2"/>
  <c r="AF112" i="2"/>
  <c r="B114" i="4" s="1"/>
  <c r="AC112" i="2"/>
  <c r="AF110" i="2"/>
  <c r="B112" i="4" s="1"/>
  <c r="AC110" i="2"/>
  <c r="AF108" i="2"/>
  <c r="B110" i="4" s="1"/>
  <c r="AC108" i="2"/>
  <c r="AF106" i="2"/>
  <c r="B108" i="4" s="1"/>
  <c r="AC106" i="2"/>
  <c r="AF104" i="2"/>
  <c r="B106" i="4" s="1"/>
  <c r="AC104" i="2"/>
  <c r="AF102" i="2"/>
  <c r="B104" i="4" s="1"/>
  <c r="AC102" i="2"/>
  <c r="AF100" i="2"/>
  <c r="B102" i="4" s="1"/>
  <c r="AC100" i="2"/>
  <c r="AF232" i="2"/>
  <c r="B234" i="4" s="1"/>
  <c r="AC232" i="2"/>
  <c r="AC230" i="2"/>
  <c r="AF230" i="2"/>
  <c r="B232" i="4" s="1"/>
  <c r="AC228" i="2"/>
  <c r="AF228" i="2"/>
  <c r="B230" i="4" s="1"/>
  <c r="AC226" i="2"/>
  <c r="AF226" i="2"/>
  <c r="B228" i="4" s="1"/>
  <c r="AC224" i="2"/>
  <c r="AF224" i="2"/>
  <c r="B226" i="4" s="1"/>
  <c r="AC222" i="2"/>
  <c r="AF222" i="2"/>
  <c r="B224" i="4" s="1"/>
  <c r="AC220" i="2"/>
  <c r="AF220" i="2"/>
  <c r="B222" i="4" s="1"/>
  <c r="AC218" i="2"/>
  <c r="AF218" i="2"/>
  <c r="B220" i="4" s="1"/>
  <c r="AC216" i="2"/>
  <c r="AF216" i="2"/>
  <c r="B218" i="4" s="1"/>
  <c r="AC214" i="2"/>
  <c r="AF214" i="2"/>
  <c r="B216" i="4" s="1"/>
  <c r="AC212" i="2"/>
  <c r="AF212" i="2"/>
  <c r="B214" i="4" s="1"/>
  <c r="AC210" i="2"/>
  <c r="AF210" i="2"/>
  <c r="B212" i="4" s="1"/>
  <c r="AC208" i="2"/>
  <c r="AF208" i="2"/>
  <c r="B210" i="4" s="1"/>
  <c r="AC206" i="2"/>
  <c r="AF206" i="2"/>
  <c r="B208" i="4" s="1"/>
  <c r="AC204" i="2"/>
  <c r="AF204" i="2"/>
  <c r="B206" i="4" s="1"/>
  <c r="AC202" i="2"/>
  <c r="AF202" i="2"/>
  <c r="B204" i="4" s="1"/>
  <c r="AC200" i="2"/>
  <c r="AF200" i="2"/>
  <c r="B202" i="4" s="1"/>
  <c r="AC198" i="2"/>
  <c r="AF198" i="2"/>
  <c r="B200" i="4" s="1"/>
  <c r="AC196" i="2"/>
  <c r="AF196" i="2"/>
  <c r="B198" i="4" s="1"/>
  <c r="AC194" i="2"/>
  <c r="AF194" i="2"/>
  <c r="B196" i="4" s="1"/>
  <c r="AC192" i="2"/>
  <c r="AF192" i="2"/>
  <c r="B194" i="4" s="1"/>
  <c r="AC190" i="2"/>
  <c r="AF190" i="2"/>
  <c r="B192" i="4" s="1"/>
  <c r="AC188" i="2"/>
  <c r="AF188" i="2"/>
  <c r="B190" i="4" s="1"/>
  <c r="AC186" i="2"/>
  <c r="AF186" i="2"/>
  <c r="B188" i="4" s="1"/>
  <c r="AC184" i="2"/>
  <c r="AF184" i="2"/>
  <c r="B186" i="4" s="1"/>
  <c r="AC182" i="2"/>
  <c r="AF182" i="2"/>
  <c r="B184" i="4" s="1"/>
  <c r="AC180" i="2"/>
  <c r="AF180" i="2"/>
  <c r="B182" i="4" s="1"/>
  <c r="AC178" i="2"/>
  <c r="AF178" i="2"/>
  <c r="B180" i="4" s="1"/>
  <c r="AC176" i="2"/>
  <c r="AF176" i="2"/>
  <c r="B178" i="4" s="1"/>
  <c r="AC174" i="2"/>
  <c r="AF174" i="2"/>
  <c r="B176" i="4" s="1"/>
  <c r="AC172" i="2"/>
  <c r="AF172" i="2"/>
  <c r="B174" i="4" s="1"/>
  <c r="AC170" i="2"/>
  <c r="AF170" i="2"/>
  <c r="B172" i="4" s="1"/>
  <c r="AC167" i="2"/>
  <c r="AF167" i="2"/>
  <c r="B169" i="4" s="1"/>
  <c r="AC165" i="2"/>
  <c r="AF165" i="2"/>
  <c r="B167" i="4" s="1"/>
  <c r="AC160" i="2"/>
  <c r="AF160" i="2"/>
  <c r="B162" i="4" s="1"/>
  <c r="AC158" i="2"/>
  <c r="AF158" i="2"/>
  <c r="B160" i="4" s="1"/>
  <c r="AC156" i="2"/>
  <c r="AF156" i="2"/>
  <c r="B158" i="4" s="1"/>
  <c r="AC151" i="2"/>
  <c r="AF151" i="2"/>
  <c r="B153" i="4" s="1"/>
  <c r="AC149" i="2"/>
  <c r="AF149" i="2"/>
  <c r="B151" i="4" s="1"/>
  <c r="AC147" i="2"/>
  <c r="AF147" i="2"/>
  <c r="B149" i="4" s="1"/>
  <c r="AC145" i="2"/>
  <c r="AF145" i="2"/>
  <c r="B147" i="4" s="1"/>
  <c r="AF97" i="2"/>
  <c r="B99" i="4" s="1"/>
  <c r="AC97" i="2"/>
  <c r="AF95" i="2"/>
  <c r="B97" i="4" s="1"/>
  <c r="AC95" i="2"/>
  <c r="AF93" i="2"/>
  <c r="B95" i="4" s="1"/>
  <c r="AC93" i="2"/>
  <c r="AC91" i="2"/>
  <c r="AF91" i="2"/>
  <c r="B93" i="4" s="1"/>
  <c r="AC89" i="2"/>
  <c r="AF89" i="2"/>
  <c r="B91" i="4" s="1"/>
  <c r="AC87" i="2"/>
  <c r="AF87" i="2"/>
  <c r="B89" i="4" s="1"/>
  <c r="AF80" i="2"/>
  <c r="AC80" i="2"/>
  <c r="AC84" i="2"/>
  <c r="AF84" i="2"/>
  <c r="B86" i="4" s="1"/>
  <c r="AF81" i="2"/>
  <c r="B83" i="4" s="1"/>
  <c r="AC81" i="2"/>
  <c r="AC77" i="2"/>
  <c r="AF77" i="2"/>
  <c r="AC73" i="2"/>
  <c r="AF73" i="2"/>
  <c r="AC69" i="2"/>
  <c r="AF69" i="2"/>
  <c r="AC65" i="2"/>
  <c r="AF65" i="2"/>
  <c r="AC61" i="2"/>
  <c r="AF61" i="2"/>
  <c r="AC57" i="2"/>
  <c r="AF57" i="2"/>
  <c r="AC53" i="2"/>
  <c r="AF53" i="2"/>
  <c r="AC49" i="2"/>
  <c r="AF49" i="2"/>
  <c r="AC45" i="2"/>
  <c r="AF45" i="2"/>
  <c r="AC41" i="2"/>
  <c r="AF41" i="2"/>
  <c r="AC37" i="2"/>
  <c r="AF37" i="2"/>
  <c r="AC33" i="2"/>
  <c r="AF33" i="2"/>
  <c r="AC29" i="2"/>
  <c r="AF29" i="2"/>
  <c r="AC25" i="2"/>
  <c r="AF25" i="2"/>
  <c r="AC21" i="2"/>
  <c r="AF21" i="2"/>
  <c r="AC17" i="2"/>
  <c r="AF17" i="2"/>
  <c r="AC13" i="2"/>
  <c r="AF13" i="2"/>
  <c r="AC9" i="2"/>
  <c r="AF9" i="2"/>
  <c r="AC5" i="2"/>
  <c r="AF5" i="2"/>
  <c r="AF82" i="2"/>
  <c r="B84" i="4" s="1"/>
  <c r="AC82" i="2"/>
  <c r="AF76" i="2"/>
  <c r="AC76" i="2"/>
  <c r="AF72" i="2"/>
  <c r="AC72" i="2"/>
  <c r="AF68" i="2"/>
  <c r="AC68" i="2"/>
  <c r="AF64" i="2"/>
  <c r="AC64" i="2"/>
  <c r="AF60" i="2"/>
  <c r="AC60" i="2"/>
  <c r="AF56" i="2"/>
  <c r="AC56" i="2"/>
  <c r="AF52" i="2"/>
  <c r="AC52" i="2"/>
  <c r="AF48" i="2"/>
  <c r="AC48" i="2"/>
  <c r="AF44" i="2"/>
  <c r="AC44" i="2"/>
  <c r="AF40" i="2"/>
  <c r="AC40" i="2"/>
  <c r="AF36" i="2"/>
  <c r="AC36" i="2"/>
  <c r="AF32" i="2"/>
  <c r="AC32" i="2"/>
  <c r="AF28" i="2"/>
  <c r="AC28" i="2"/>
  <c r="AF24" i="2"/>
  <c r="AC24" i="2"/>
  <c r="AF20" i="2"/>
  <c r="AC20" i="2"/>
  <c r="AF16" i="2"/>
  <c r="AC16" i="2"/>
  <c r="AF12" i="2"/>
  <c r="AC12" i="2"/>
  <c r="AF8" i="2"/>
  <c r="AC8" i="2"/>
  <c r="AF4" i="2"/>
  <c r="AC4" i="2"/>
  <c r="AI9" i="2" l="1"/>
  <c r="E11" i="4" s="1"/>
  <c r="AD9" i="2"/>
  <c r="AE9" i="2"/>
  <c r="A11" i="4" s="1"/>
  <c r="B11" i="4"/>
  <c r="AI17" i="2"/>
  <c r="E19" i="4" s="1"/>
  <c r="AD17" i="2"/>
  <c r="AE17" i="2"/>
  <c r="A19" i="4" s="1"/>
  <c r="B19" i="4"/>
  <c r="AI25" i="2"/>
  <c r="E27" i="4" s="1"/>
  <c r="AD25" i="2"/>
  <c r="AE25" i="2"/>
  <c r="A27" i="4" s="1"/>
  <c r="B27" i="4"/>
  <c r="AI33" i="2"/>
  <c r="E35" i="4" s="1"/>
  <c r="AD33" i="2"/>
  <c r="AE33" i="2"/>
  <c r="A35" i="4" s="1"/>
  <c r="B35" i="4"/>
  <c r="AI37" i="2"/>
  <c r="E39" i="4" s="1"/>
  <c r="AD37" i="2"/>
  <c r="AE37" i="2"/>
  <c r="A39" i="4" s="1"/>
  <c r="B39" i="4"/>
  <c r="AI45" i="2"/>
  <c r="E47" i="4" s="1"/>
  <c r="AD45" i="2"/>
  <c r="AE45" i="2"/>
  <c r="A47" i="4" s="1"/>
  <c r="B47" i="4"/>
  <c r="AI49" i="2"/>
  <c r="E51" i="4" s="1"/>
  <c r="AD49" i="2"/>
  <c r="AE49" i="2"/>
  <c r="A51" i="4" s="1"/>
  <c r="B51" i="4"/>
  <c r="AI53" i="2"/>
  <c r="E55" i="4" s="1"/>
  <c r="AD53" i="2"/>
  <c r="AE53" i="2"/>
  <c r="A55" i="4" s="1"/>
  <c r="B55" i="4"/>
  <c r="AI57" i="2"/>
  <c r="E59" i="4" s="1"/>
  <c r="AD57" i="2"/>
  <c r="AE57" i="2"/>
  <c r="A59" i="4" s="1"/>
  <c r="B59" i="4"/>
  <c r="AI61" i="2"/>
  <c r="E63" i="4" s="1"/>
  <c r="AD61" i="2"/>
  <c r="AE61" i="2"/>
  <c r="A63" i="4" s="1"/>
  <c r="B63" i="4"/>
  <c r="AI65" i="2"/>
  <c r="E67" i="4" s="1"/>
  <c r="AD65" i="2"/>
  <c r="AE65" i="2"/>
  <c r="A67" i="4" s="1"/>
  <c r="B67" i="4"/>
  <c r="AI69" i="2"/>
  <c r="E71" i="4" s="1"/>
  <c r="AD69" i="2"/>
  <c r="AE69" i="2"/>
  <c r="A71" i="4" s="1"/>
  <c r="B71" i="4"/>
  <c r="AD73" i="2"/>
  <c r="AE73" i="2"/>
  <c r="A75" i="4" s="1"/>
  <c r="AI73" i="2"/>
  <c r="E75" i="4" s="1"/>
  <c r="B75" i="4"/>
  <c r="AD77" i="2"/>
  <c r="AE77" i="2"/>
  <c r="A79" i="4" s="1"/>
  <c r="B79" i="4"/>
  <c r="AI77" i="2"/>
  <c r="E79" i="4" s="1"/>
  <c r="AD84" i="2"/>
  <c r="AE84" i="2"/>
  <c r="A86" i="4" s="1"/>
  <c r="AI84" i="2"/>
  <c r="AE147" i="2"/>
  <c r="A149" i="4" s="1"/>
  <c r="AD147" i="2"/>
  <c r="AI147" i="2"/>
  <c r="E149" i="4" s="1"/>
  <c r="AE151" i="2"/>
  <c r="A153" i="4" s="1"/>
  <c r="AD151" i="2"/>
  <c r="AI151" i="2"/>
  <c r="E153" i="4" s="1"/>
  <c r="AI158" i="2"/>
  <c r="E160" i="4" s="1"/>
  <c r="AD158" i="2"/>
  <c r="AE158" i="2"/>
  <c r="A160" i="4" s="1"/>
  <c r="AD165" i="2"/>
  <c r="AI165" i="2"/>
  <c r="E167" i="4" s="1"/>
  <c r="AE165" i="2"/>
  <c r="A167" i="4" s="1"/>
  <c r="AI170" i="2"/>
  <c r="E172" i="4" s="1"/>
  <c r="AD170" i="2"/>
  <c r="AE170" i="2"/>
  <c r="A172" i="4" s="1"/>
  <c r="AI174" i="2"/>
  <c r="E176" i="4" s="1"/>
  <c r="AD174" i="2"/>
  <c r="AE174" i="2"/>
  <c r="A176" i="4" s="1"/>
  <c r="AI178" i="2"/>
  <c r="E180" i="4" s="1"/>
  <c r="AD178" i="2"/>
  <c r="AE178" i="2"/>
  <c r="A180" i="4" s="1"/>
  <c r="AI182" i="2"/>
  <c r="E184" i="4" s="1"/>
  <c r="AD182" i="2"/>
  <c r="AE182" i="2"/>
  <c r="A184" i="4" s="1"/>
  <c r="AI186" i="2"/>
  <c r="E188" i="4" s="1"/>
  <c r="AD186" i="2"/>
  <c r="AE186" i="2"/>
  <c r="A188" i="4" s="1"/>
  <c r="AI190" i="2"/>
  <c r="E192" i="4" s="1"/>
  <c r="AD190" i="2"/>
  <c r="AE190" i="2"/>
  <c r="A192" i="4" s="1"/>
  <c r="AI194" i="2"/>
  <c r="E196" i="4" s="1"/>
  <c r="AD194" i="2"/>
  <c r="AE194" i="2"/>
  <c r="A196" i="4" s="1"/>
  <c r="AI198" i="2"/>
  <c r="E200" i="4" s="1"/>
  <c r="AD198" i="2"/>
  <c r="AE198" i="2"/>
  <c r="A200" i="4" s="1"/>
  <c r="AI202" i="2"/>
  <c r="E204" i="4" s="1"/>
  <c r="AD202" i="2"/>
  <c r="AE202" i="2"/>
  <c r="A204" i="4" s="1"/>
  <c r="AI206" i="2"/>
  <c r="E208" i="4" s="1"/>
  <c r="AD206" i="2"/>
  <c r="AE206" i="2"/>
  <c r="A208" i="4" s="1"/>
  <c r="AI212" i="2"/>
  <c r="E214" i="4" s="1"/>
  <c r="AD212" i="2"/>
  <c r="AE212" i="2"/>
  <c r="A214" i="4" s="1"/>
  <c r="AI216" i="2"/>
  <c r="E218" i="4" s="1"/>
  <c r="AD216" i="2"/>
  <c r="AE216" i="2"/>
  <c r="A218" i="4" s="1"/>
  <c r="AI220" i="2"/>
  <c r="E222" i="4" s="1"/>
  <c r="AD220" i="2"/>
  <c r="AE220" i="2"/>
  <c r="A222" i="4" s="1"/>
  <c r="AI224" i="2"/>
  <c r="E226" i="4" s="1"/>
  <c r="AD224" i="2"/>
  <c r="AE224" i="2"/>
  <c r="A226" i="4" s="1"/>
  <c r="AI226" i="2"/>
  <c r="E228" i="4" s="1"/>
  <c r="AD226" i="2"/>
  <c r="AE226" i="2"/>
  <c r="A228" i="4" s="1"/>
  <c r="AI230" i="2"/>
  <c r="E232" i="4" s="1"/>
  <c r="AD230" i="2"/>
  <c r="AE230" i="2"/>
  <c r="A232" i="4" s="1"/>
  <c r="AI330" i="2"/>
  <c r="AE330" i="2"/>
  <c r="AD330" i="2"/>
  <c r="AH330" i="2" s="1"/>
  <c r="AD345" i="2"/>
  <c r="AH345" i="2" s="1"/>
  <c r="AI345" i="2"/>
  <c r="AE345" i="2"/>
  <c r="AI358" i="2"/>
  <c r="AD358" i="2"/>
  <c r="AH358" i="2" s="1"/>
  <c r="AE358" i="2"/>
  <c r="AI364" i="2"/>
  <c r="AD364" i="2"/>
  <c r="AH364" i="2" s="1"/>
  <c r="AE364" i="2"/>
  <c r="AE377" i="2"/>
  <c r="AD377" i="2"/>
  <c r="AH377" i="2" s="1"/>
  <c r="AI377" i="2"/>
  <c r="AI388" i="2"/>
  <c r="AD388" i="2"/>
  <c r="AH388" i="2" s="1"/>
  <c r="AE388" i="2"/>
  <c r="AE393" i="2"/>
  <c r="AD393" i="2"/>
  <c r="AH393" i="2" s="1"/>
  <c r="AI393" i="2"/>
  <c r="AE401" i="2"/>
  <c r="AD401" i="2"/>
  <c r="AH401" i="2" s="1"/>
  <c r="AI401" i="2"/>
  <c r="AE435" i="2"/>
  <c r="AD435" i="2"/>
  <c r="AH435" i="2" s="1"/>
  <c r="AI435" i="2"/>
  <c r="AE439" i="2"/>
  <c r="AD439" i="2"/>
  <c r="AH439" i="2" s="1"/>
  <c r="AI439" i="2"/>
  <c r="AE443" i="2"/>
  <c r="AD443" i="2"/>
  <c r="AH443" i="2" s="1"/>
  <c r="AI443" i="2"/>
  <c r="AE447" i="2"/>
  <c r="AD447" i="2"/>
  <c r="AH447" i="2" s="1"/>
  <c r="AI447" i="2"/>
  <c r="AE455" i="2"/>
  <c r="AD455" i="2"/>
  <c r="AH455" i="2" s="1"/>
  <c r="AI455" i="2"/>
  <c r="AI473" i="2"/>
  <c r="AE473" i="2"/>
  <c r="AD473" i="2"/>
  <c r="AH473" i="2" s="1"/>
  <c r="AD483" i="2"/>
  <c r="AH483" i="2" s="1"/>
  <c r="AI483" i="2"/>
  <c r="AE483" i="2"/>
  <c r="AD488" i="2"/>
  <c r="AH488" i="2" s="1"/>
  <c r="AE488" i="2"/>
  <c r="AI488" i="2"/>
  <c r="AI497" i="2"/>
  <c r="AD497" i="2"/>
  <c r="AH497" i="2" s="1"/>
  <c r="AE497" i="2"/>
  <c r="AI505" i="2"/>
  <c r="AE505" i="2"/>
  <c r="AD505" i="2"/>
  <c r="AH505" i="2" s="1"/>
  <c r="AI513" i="2"/>
  <c r="AD513" i="2"/>
  <c r="AH513" i="2" s="1"/>
  <c r="AE513" i="2"/>
  <c r="AI525" i="2"/>
  <c r="AE525" i="2"/>
  <c r="AD525" i="2"/>
  <c r="AH525" i="2" s="1"/>
  <c r="AD534" i="2"/>
  <c r="AH534" i="2" s="1"/>
  <c r="AI534" i="2"/>
  <c r="AE534" i="2"/>
  <c r="AI542" i="2"/>
  <c r="AE542" i="2"/>
  <c r="AD542" i="2"/>
  <c r="AH542" i="2" s="1"/>
  <c r="AD551" i="2"/>
  <c r="AH551" i="2" s="1"/>
  <c r="AI551" i="2"/>
  <c r="AE551" i="2"/>
  <c r="AD558" i="2"/>
  <c r="AH558" i="2" s="1"/>
  <c r="AI558" i="2"/>
  <c r="AE558" i="2"/>
  <c r="AD587" i="2"/>
  <c r="AH587" i="2" s="1"/>
  <c r="AI587" i="2"/>
  <c r="AE587" i="2"/>
  <c r="AI7" i="2"/>
  <c r="E9" i="4" s="1"/>
  <c r="AD7" i="2"/>
  <c r="AE7" i="2"/>
  <c r="A9" i="4" s="1"/>
  <c r="B9" i="4"/>
  <c r="AI11" i="2"/>
  <c r="E13" i="4" s="1"/>
  <c r="AD11" i="2"/>
  <c r="AE11" i="2"/>
  <c r="A13" i="4" s="1"/>
  <c r="B13" i="4"/>
  <c r="AI15" i="2"/>
  <c r="E17" i="4" s="1"/>
  <c r="AD15" i="2"/>
  <c r="AE15" i="2"/>
  <c r="A17" i="4" s="1"/>
  <c r="B17" i="4"/>
  <c r="AI19" i="2"/>
  <c r="E21" i="4" s="1"/>
  <c r="AD19" i="2"/>
  <c r="AE19" i="2"/>
  <c r="A21" i="4" s="1"/>
  <c r="B21" i="4"/>
  <c r="AI23" i="2"/>
  <c r="E25" i="4" s="1"/>
  <c r="AD23" i="2"/>
  <c r="AE23" i="2"/>
  <c r="A25" i="4" s="1"/>
  <c r="B25" i="4"/>
  <c r="AI27" i="2"/>
  <c r="E29" i="4" s="1"/>
  <c r="AD27" i="2"/>
  <c r="AE27" i="2"/>
  <c r="A29" i="4" s="1"/>
  <c r="B29" i="4"/>
  <c r="AI31" i="2"/>
  <c r="E33" i="4" s="1"/>
  <c r="AD31" i="2"/>
  <c r="AE31" i="2"/>
  <c r="A33" i="4" s="1"/>
  <c r="B33" i="4"/>
  <c r="AI35" i="2"/>
  <c r="E37" i="4" s="1"/>
  <c r="AD35" i="2"/>
  <c r="AE35" i="2"/>
  <c r="A37" i="4" s="1"/>
  <c r="B37" i="4"/>
  <c r="AI39" i="2"/>
  <c r="E41" i="4" s="1"/>
  <c r="AD39" i="2"/>
  <c r="AE39" i="2"/>
  <c r="A41" i="4" s="1"/>
  <c r="B41" i="4"/>
  <c r="AI43" i="2"/>
  <c r="E45" i="4" s="1"/>
  <c r="AD43" i="2"/>
  <c r="AE43" i="2"/>
  <c r="A45" i="4" s="1"/>
  <c r="B45" i="4"/>
  <c r="AI47" i="2"/>
  <c r="E49" i="4" s="1"/>
  <c r="AD47" i="2"/>
  <c r="AE47" i="2"/>
  <c r="A49" i="4" s="1"/>
  <c r="B49" i="4"/>
  <c r="AI51" i="2"/>
  <c r="E53" i="4" s="1"/>
  <c r="AD51" i="2"/>
  <c r="AE51" i="2"/>
  <c r="A53" i="4" s="1"/>
  <c r="B53" i="4"/>
  <c r="AI55" i="2"/>
  <c r="E57" i="4" s="1"/>
  <c r="AD55" i="2"/>
  <c r="AE55" i="2"/>
  <c r="A57" i="4" s="1"/>
  <c r="B57" i="4"/>
  <c r="AI59" i="2"/>
  <c r="E61" i="4" s="1"/>
  <c r="AD59" i="2"/>
  <c r="AE59" i="2"/>
  <c r="A61" i="4" s="1"/>
  <c r="B61" i="4"/>
  <c r="AI63" i="2"/>
  <c r="E65" i="4" s="1"/>
  <c r="AD63" i="2"/>
  <c r="AE63" i="2"/>
  <c r="A65" i="4" s="1"/>
  <c r="B65" i="4"/>
  <c r="AI67" i="2"/>
  <c r="E69" i="4" s="1"/>
  <c r="AD67" i="2"/>
  <c r="AE67" i="2"/>
  <c r="A69" i="4" s="1"/>
  <c r="B69" i="4"/>
  <c r="AE71" i="2"/>
  <c r="A73" i="4" s="1"/>
  <c r="AI71" i="2"/>
  <c r="E73" i="4" s="1"/>
  <c r="AD71" i="2"/>
  <c r="B73" i="4"/>
  <c r="AE75" i="2"/>
  <c r="A77" i="4" s="1"/>
  <c r="AI75" i="2"/>
  <c r="E77" i="4" s="1"/>
  <c r="AD75" i="2"/>
  <c r="B77" i="4"/>
  <c r="AE79" i="2"/>
  <c r="A81" i="4" s="1"/>
  <c r="AI79" i="2"/>
  <c r="E81" i="4" s="1"/>
  <c r="B81" i="4"/>
  <c r="AD79" i="2"/>
  <c r="AD83" i="2"/>
  <c r="AE83" i="2"/>
  <c r="A85" i="4" s="1"/>
  <c r="AI83" i="2"/>
  <c r="AE85" i="2"/>
  <c r="A87" i="4" s="1"/>
  <c r="AD85" i="2"/>
  <c r="AI85" i="2"/>
  <c r="E87" i="4" s="1"/>
  <c r="AE86" i="2"/>
  <c r="A88" i="4" s="1"/>
  <c r="AD86" i="2"/>
  <c r="AI86" i="2"/>
  <c r="E88" i="4" s="1"/>
  <c r="AD88" i="2"/>
  <c r="AE88" i="2"/>
  <c r="A90" i="4" s="1"/>
  <c r="AI88" i="2"/>
  <c r="AE90" i="2"/>
  <c r="A92" i="4" s="1"/>
  <c r="AD90" i="2"/>
  <c r="AI90" i="2"/>
  <c r="E92" i="4" s="1"/>
  <c r="AI146" i="2"/>
  <c r="E148" i="4" s="1"/>
  <c r="AD146" i="2"/>
  <c r="AE146" i="2"/>
  <c r="A148" i="4" s="1"/>
  <c r="AI148" i="2"/>
  <c r="E150" i="4" s="1"/>
  <c r="AD148" i="2"/>
  <c r="AE148" i="2"/>
  <c r="A150" i="4" s="1"/>
  <c r="AI150" i="2"/>
  <c r="E152" i="4" s="1"/>
  <c r="AD150" i="2"/>
  <c r="AE150" i="2"/>
  <c r="A152" i="4" s="1"/>
  <c r="AI152" i="2"/>
  <c r="E154" i="4" s="1"/>
  <c r="AD152" i="2"/>
  <c r="AE152" i="2"/>
  <c r="A154" i="4" s="1"/>
  <c r="AD157" i="2"/>
  <c r="AE157" i="2"/>
  <c r="A159" i="4" s="1"/>
  <c r="AI157" i="2"/>
  <c r="AE159" i="2"/>
  <c r="A161" i="4" s="1"/>
  <c r="AD159" i="2"/>
  <c r="AI159" i="2"/>
  <c r="E161" i="4" s="1"/>
  <c r="AI164" i="2"/>
  <c r="E166" i="4" s="1"/>
  <c r="AD164" i="2"/>
  <c r="AE164" i="2"/>
  <c r="A166" i="4" s="1"/>
  <c r="AI166" i="2"/>
  <c r="E168" i="4" s="1"/>
  <c r="AD166" i="2"/>
  <c r="AE166" i="2"/>
  <c r="A168" i="4" s="1"/>
  <c r="AI168" i="2"/>
  <c r="E170" i="4" s="1"/>
  <c r="AE168" i="2"/>
  <c r="A170" i="4" s="1"/>
  <c r="AD168" i="2"/>
  <c r="AE171" i="2"/>
  <c r="A173" i="4" s="1"/>
  <c r="AD171" i="2"/>
  <c r="AI171" i="2"/>
  <c r="E173" i="4" s="1"/>
  <c r="AD173" i="2"/>
  <c r="AE173" i="2"/>
  <c r="A175" i="4" s="1"/>
  <c r="AI173" i="2"/>
  <c r="E175" i="4" s="1"/>
  <c r="AE175" i="2"/>
  <c r="A177" i="4" s="1"/>
  <c r="AD175" i="2"/>
  <c r="AI175" i="2"/>
  <c r="E177" i="4" s="1"/>
  <c r="AD177" i="2"/>
  <c r="AI177" i="2"/>
  <c r="E179" i="4" s="1"/>
  <c r="AE177" i="2"/>
  <c r="A179" i="4" s="1"/>
  <c r="AE179" i="2"/>
  <c r="A181" i="4" s="1"/>
  <c r="AD179" i="2"/>
  <c r="AI179" i="2"/>
  <c r="E181" i="4" s="1"/>
  <c r="AD181" i="2"/>
  <c r="AI181" i="2"/>
  <c r="E183" i="4" s="1"/>
  <c r="AE181" i="2"/>
  <c r="A183" i="4" s="1"/>
  <c r="AE183" i="2"/>
  <c r="A185" i="4" s="1"/>
  <c r="AD183" i="2"/>
  <c r="AI183" i="2"/>
  <c r="E185" i="4" s="1"/>
  <c r="AD185" i="2"/>
  <c r="AE185" i="2"/>
  <c r="A187" i="4" s="1"/>
  <c r="AI185" i="2"/>
  <c r="E187" i="4" s="1"/>
  <c r="AE187" i="2"/>
  <c r="A189" i="4" s="1"/>
  <c r="AD187" i="2"/>
  <c r="AI187" i="2"/>
  <c r="E189" i="4" s="1"/>
  <c r="AD189" i="2"/>
  <c r="AE189" i="2"/>
  <c r="A191" i="4" s="1"/>
  <c r="AI189" i="2"/>
  <c r="E191" i="4" s="1"/>
  <c r="AE191" i="2"/>
  <c r="A193" i="4" s="1"/>
  <c r="AD191" i="2"/>
  <c r="AI191" i="2"/>
  <c r="E193" i="4" s="1"/>
  <c r="AD193" i="2"/>
  <c r="AI193" i="2"/>
  <c r="E195" i="4" s="1"/>
  <c r="AE193" i="2"/>
  <c r="A195" i="4" s="1"/>
  <c r="AE195" i="2"/>
  <c r="A197" i="4" s="1"/>
  <c r="AD195" i="2"/>
  <c r="AI195" i="2"/>
  <c r="E197" i="4" s="1"/>
  <c r="AD197" i="2"/>
  <c r="AI197" i="2"/>
  <c r="E199" i="4" s="1"/>
  <c r="AE197" i="2"/>
  <c r="A199" i="4" s="1"/>
  <c r="AE199" i="2"/>
  <c r="A201" i="4" s="1"/>
  <c r="AD199" i="2"/>
  <c r="AI199" i="2"/>
  <c r="E201" i="4" s="1"/>
  <c r="AD201" i="2"/>
  <c r="AI201" i="2"/>
  <c r="E203" i="4" s="1"/>
  <c r="AE201" i="2"/>
  <c r="A203" i="4" s="1"/>
  <c r="AE203" i="2"/>
  <c r="A205" i="4" s="1"/>
  <c r="AD203" i="2"/>
  <c r="AI203" i="2"/>
  <c r="E205" i="4" s="1"/>
  <c r="AD205" i="2"/>
  <c r="AI205" i="2"/>
  <c r="E207" i="4" s="1"/>
  <c r="AE205" i="2"/>
  <c r="A207" i="4" s="1"/>
  <c r="AE207" i="2"/>
  <c r="A209" i="4" s="1"/>
  <c r="AD207" i="2"/>
  <c r="AI207" i="2"/>
  <c r="E209" i="4" s="1"/>
  <c r="AD209" i="2"/>
  <c r="AE209" i="2"/>
  <c r="A211" i="4" s="1"/>
  <c r="AI209" i="2"/>
  <c r="E211" i="4" s="1"/>
  <c r="AE211" i="2"/>
  <c r="A213" i="4" s="1"/>
  <c r="AD211" i="2"/>
  <c r="AI211" i="2"/>
  <c r="E213" i="4" s="1"/>
  <c r="AD213" i="2"/>
  <c r="AI213" i="2"/>
  <c r="E215" i="4" s="1"/>
  <c r="AE213" i="2"/>
  <c r="A215" i="4" s="1"/>
  <c r="AE215" i="2"/>
  <c r="A217" i="4" s="1"/>
  <c r="AD215" i="2"/>
  <c r="AI215" i="2"/>
  <c r="E217" i="4" s="1"/>
  <c r="AD217" i="2"/>
  <c r="AE217" i="2"/>
  <c r="A219" i="4" s="1"/>
  <c r="AI217" i="2"/>
  <c r="E219" i="4" s="1"/>
  <c r="AE219" i="2"/>
  <c r="A221" i="4" s="1"/>
  <c r="AD219" i="2"/>
  <c r="AI219" i="2"/>
  <c r="E221" i="4" s="1"/>
  <c r="AD221" i="2"/>
  <c r="AE221" i="2"/>
  <c r="A223" i="4" s="1"/>
  <c r="AI221" i="2"/>
  <c r="E223" i="4" s="1"/>
  <c r="AE223" i="2"/>
  <c r="A225" i="4" s="1"/>
  <c r="AD223" i="2"/>
  <c r="AI223" i="2"/>
  <c r="E225" i="4" s="1"/>
  <c r="AD225" i="2"/>
  <c r="AI225" i="2"/>
  <c r="E227" i="4" s="1"/>
  <c r="AE225" i="2"/>
  <c r="A227" i="4" s="1"/>
  <c r="AE227" i="2"/>
  <c r="A229" i="4" s="1"/>
  <c r="AD227" i="2"/>
  <c r="AI227" i="2"/>
  <c r="E229" i="4" s="1"/>
  <c r="AD229" i="2"/>
  <c r="AE229" i="2"/>
  <c r="A231" i="4" s="1"/>
  <c r="AI229" i="2"/>
  <c r="E231" i="4" s="1"/>
  <c r="AE231" i="2"/>
  <c r="A233" i="4" s="1"/>
  <c r="AD231" i="2"/>
  <c r="AI231" i="2"/>
  <c r="E233" i="4" s="1"/>
  <c r="AI340" i="2"/>
  <c r="AD340" i="2"/>
  <c r="AH340" i="2" s="1"/>
  <c r="AE340" i="2"/>
  <c r="AD343" i="2"/>
  <c r="AH343" i="2" s="1"/>
  <c r="AE343" i="2"/>
  <c r="AI343" i="2"/>
  <c r="AI346" i="2"/>
  <c r="AE346" i="2"/>
  <c r="AD346" i="2"/>
  <c r="AH346" i="2" s="1"/>
  <c r="AD357" i="2"/>
  <c r="AH357" i="2" s="1"/>
  <c r="AI357" i="2"/>
  <c r="AE357" i="2"/>
  <c r="AE359" i="2"/>
  <c r="AD359" i="2"/>
  <c r="AH359" i="2" s="1"/>
  <c r="AI359" i="2"/>
  <c r="AE363" i="2"/>
  <c r="AD363" i="2"/>
  <c r="AH363" i="2" s="1"/>
  <c r="AI363" i="2"/>
  <c r="AE369" i="2"/>
  <c r="AD369" i="2"/>
  <c r="AH369" i="2" s="1"/>
  <c r="AI369" i="2"/>
  <c r="AE371" i="2"/>
  <c r="AD371" i="2"/>
  <c r="AH371" i="2" s="1"/>
  <c r="AI371" i="2"/>
  <c r="AI378" i="2"/>
  <c r="AD378" i="2"/>
  <c r="AH378" i="2" s="1"/>
  <c r="AE378" i="2"/>
  <c r="AE387" i="2"/>
  <c r="AD387" i="2"/>
  <c r="AH387" i="2" s="1"/>
  <c r="AI387" i="2"/>
  <c r="AE389" i="2"/>
  <c r="AD389" i="2"/>
  <c r="AH389" i="2" s="1"/>
  <c r="AI389" i="2"/>
  <c r="AI392" i="2"/>
  <c r="AD392" i="2"/>
  <c r="AH392" i="2" s="1"/>
  <c r="AE392" i="2"/>
  <c r="AI394" i="2"/>
  <c r="AD394" i="2"/>
  <c r="AH394" i="2" s="1"/>
  <c r="AE394" i="2"/>
  <c r="AI396" i="2"/>
  <c r="AD396" i="2"/>
  <c r="AH396" i="2" s="1"/>
  <c r="AE396" i="2"/>
  <c r="AI400" i="2"/>
  <c r="AD400" i="2"/>
  <c r="AH400" i="2" s="1"/>
  <c r="AE400" i="2"/>
  <c r="AI402" i="2"/>
  <c r="AD402" i="2"/>
  <c r="AH402" i="2" s="1"/>
  <c r="AE402" i="2"/>
  <c r="AI404" i="2"/>
  <c r="AD404" i="2"/>
  <c r="AH404" i="2" s="1"/>
  <c r="AE404" i="2"/>
  <c r="AI408" i="2"/>
  <c r="AD408" i="2"/>
  <c r="AH408" i="2" s="1"/>
  <c r="AE408" i="2"/>
  <c r="AI412" i="2"/>
  <c r="AD412" i="2"/>
  <c r="AH412" i="2" s="1"/>
  <c r="AE412" i="2"/>
  <c r="AI414" i="2"/>
  <c r="AD414" i="2"/>
  <c r="AH414" i="2" s="1"/>
  <c r="AE414" i="2"/>
  <c r="AD420" i="2"/>
  <c r="AH420" i="2" s="1"/>
  <c r="AI420" i="2"/>
  <c r="AE420" i="2"/>
  <c r="AD424" i="2"/>
  <c r="AH424" i="2" s="1"/>
  <c r="AI424" i="2"/>
  <c r="AE424" i="2"/>
  <c r="AD426" i="2"/>
  <c r="AH426" i="2" s="1"/>
  <c r="AI426" i="2"/>
  <c r="AE426" i="2"/>
  <c r="AI429" i="2"/>
  <c r="AD429" i="2"/>
  <c r="AH429" i="2" s="1"/>
  <c r="AE429" i="2"/>
  <c r="AD432" i="2"/>
  <c r="AH432" i="2" s="1"/>
  <c r="AI432" i="2"/>
  <c r="AE432" i="2"/>
  <c r="AD434" i="2"/>
  <c r="AH434" i="2" s="1"/>
  <c r="AI434" i="2"/>
  <c r="AE434" i="2"/>
  <c r="AD436" i="2"/>
  <c r="AH436" i="2" s="1"/>
  <c r="AI436" i="2"/>
  <c r="AE436" i="2"/>
  <c r="AD438" i="2"/>
  <c r="AH438" i="2" s="1"/>
  <c r="AI438" i="2"/>
  <c r="AE438" i="2"/>
  <c r="AD440" i="2"/>
  <c r="AH440" i="2" s="1"/>
  <c r="AI440" i="2"/>
  <c r="AE440" i="2"/>
  <c r="AD442" i="2"/>
  <c r="AH442" i="2" s="1"/>
  <c r="AI442" i="2"/>
  <c r="AE442" i="2"/>
  <c r="AD444" i="2"/>
  <c r="AH444" i="2" s="1"/>
  <c r="AI444" i="2"/>
  <c r="AE444" i="2"/>
  <c r="AD446" i="2"/>
  <c r="AH446" i="2" s="1"/>
  <c r="AI446" i="2"/>
  <c r="AE446" i="2"/>
  <c r="AD448" i="2"/>
  <c r="AH448" i="2" s="1"/>
  <c r="AI448" i="2"/>
  <c r="AE448" i="2"/>
  <c r="AI453" i="2"/>
  <c r="AD453" i="2"/>
  <c r="AH453" i="2" s="1"/>
  <c r="AE453" i="2"/>
  <c r="AI457" i="2"/>
  <c r="AD457" i="2"/>
  <c r="AH457" i="2" s="1"/>
  <c r="AE457" i="2"/>
  <c r="AE471" i="2"/>
  <c r="AD471" i="2"/>
  <c r="AH471" i="2" s="1"/>
  <c r="AI471" i="2"/>
  <c r="AI477" i="2"/>
  <c r="AE477" i="2"/>
  <c r="AD477" i="2"/>
  <c r="AH477" i="2" s="1"/>
  <c r="AD482" i="2"/>
  <c r="AH482" i="2" s="1"/>
  <c r="AI482" i="2"/>
  <c r="AE482" i="2"/>
  <c r="AD484" i="2"/>
  <c r="AH484" i="2" s="1"/>
  <c r="AE484" i="2"/>
  <c r="AI484" i="2"/>
  <c r="AD486" i="2"/>
  <c r="AH486" i="2" s="1"/>
  <c r="AI486" i="2"/>
  <c r="AE486" i="2"/>
  <c r="AI489" i="2"/>
  <c r="AD489" i="2"/>
  <c r="AH489" i="2" s="1"/>
  <c r="AE489" i="2"/>
  <c r="AD495" i="2"/>
  <c r="AH495" i="2" s="1"/>
  <c r="AI495" i="2"/>
  <c r="AE495" i="2"/>
  <c r="AD499" i="2"/>
  <c r="AH499" i="2" s="1"/>
  <c r="AI499" i="2"/>
  <c r="AE499" i="2"/>
  <c r="AE503" i="2"/>
  <c r="AD503" i="2"/>
  <c r="AH503" i="2" s="1"/>
  <c r="AI503" i="2"/>
  <c r="AD507" i="2"/>
  <c r="AH507" i="2" s="1"/>
  <c r="AI507" i="2"/>
  <c r="AE507" i="2"/>
  <c r="AD511" i="2"/>
  <c r="AH511" i="2" s="1"/>
  <c r="AI511" i="2"/>
  <c r="AE511" i="2"/>
  <c r="AD520" i="2"/>
  <c r="AH520" i="2" s="1"/>
  <c r="AE520" i="2"/>
  <c r="AI520" i="2"/>
  <c r="AD523" i="2"/>
  <c r="AH523" i="2" s="1"/>
  <c r="AI523" i="2"/>
  <c r="AE523" i="2"/>
  <c r="AD528" i="2"/>
  <c r="AH528" i="2" s="1"/>
  <c r="AI528" i="2"/>
  <c r="AE528" i="2"/>
  <c r="AD532" i="2"/>
  <c r="AH532" i="2" s="1"/>
  <c r="AI532" i="2"/>
  <c r="AE532" i="2"/>
  <c r="AE535" i="2"/>
  <c r="AD535" i="2"/>
  <c r="AH535" i="2" s="1"/>
  <c r="AI535" i="2"/>
  <c r="AD538" i="2"/>
  <c r="AH538" i="2" s="1"/>
  <c r="AI538" i="2"/>
  <c r="AE538" i="2"/>
  <c r="AD541" i="2"/>
  <c r="AH541" i="2" s="1"/>
  <c r="AI541" i="2"/>
  <c r="AE541" i="2"/>
  <c r="AI544" i="2"/>
  <c r="AD544" i="2"/>
  <c r="AH544" i="2" s="1"/>
  <c r="AE544" i="2"/>
  <c r="AD549" i="2"/>
  <c r="AH549" i="2" s="1"/>
  <c r="AI549" i="2"/>
  <c r="AE549" i="2"/>
  <c r="AI552" i="2"/>
  <c r="AD552" i="2"/>
  <c r="AH552" i="2" s="1"/>
  <c r="AE552" i="2"/>
  <c r="AD557" i="2"/>
  <c r="AH557" i="2" s="1"/>
  <c r="AI557" i="2"/>
  <c r="AE557" i="2"/>
  <c r="AI560" i="2"/>
  <c r="AD560" i="2"/>
  <c r="AH560" i="2" s="1"/>
  <c r="AE560" i="2"/>
  <c r="AD565" i="2"/>
  <c r="AH565" i="2" s="1"/>
  <c r="AI565" i="2"/>
  <c r="AE565" i="2"/>
  <c r="AI575" i="2"/>
  <c r="AD575" i="2"/>
  <c r="AH575" i="2" s="1"/>
  <c r="AE575" i="2"/>
  <c r="AI580" i="2"/>
  <c r="AD580" i="2"/>
  <c r="AH580" i="2" s="1"/>
  <c r="AE580" i="2"/>
  <c r="AI585" i="2"/>
  <c r="AD585" i="2"/>
  <c r="AH585" i="2" s="1"/>
  <c r="AE585" i="2"/>
  <c r="AI588" i="2"/>
  <c r="AD588" i="2"/>
  <c r="AH588" i="2" s="1"/>
  <c r="AE588" i="2"/>
  <c r="AI592" i="2"/>
  <c r="AD592" i="2"/>
  <c r="AH592" i="2" s="1"/>
  <c r="AE592" i="2"/>
  <c r="AI595" i="2"/>
  <c r="AD595" i="2"/>
  <c r="AH595" i="2" s="1"/>
  <c r="AE595" i="2"/>
  <c r="AI599" i="2"/>
  <c r="AD599" i="2"/>
  <c r="AH599" i="2" s="1"/>
  <c r="AE599" i="2"/>
  <c r="AI603" i="2"/>
  <c r="AE603" i="2"/>
  <c r="AD603" i="2"/>
  <c r="AH603" i="2" s="1"/>
  <c r="AI607" i="2"/>
  <c r="AE607" i="2"/>
  <c r="AD607" i="2"/>
  <c r="AH607" i="2" s="1"/>
  <c r="AD610" i="2"/>
  <c r="AH610" i="2" s="1"/>
  <c r="AI610" i="2"/>
  <c r="AE610" i="2"/>
  <c r="AI615" i="2"/>
  <c r="AD615" i="2"/>
  <c r="AH615" i="2" s="1"/>
  <c r="AE615" i="2"/>
  <c r="AE619" i="2"/>
  <c r="AD619" i="2"/>
  <c r="AH619" i="2" s="1"/>
  <c r="AI619" i="2"/>
  <c r="AD5" i="2"/>
  <c r="AE5" i="2"/>
  <c r="A7" i="4" s="1"/>
  <c r="AI5" i="2"/>
  <c r="E7" i="4" s="1"/>
  <c r="B7" i="4"/>
  <c r="AI13" i="2"/>
  <c r="E15" i="4" s="1"/>
  <c r="AD13" i="2"/>
  <c r="AE13" i="2"/>
  <c r="A15" i="4" s="1"/>
  <c r="B15" i="4"/>
  <c r="AI21" i="2"/>
  <c r="E23" i="4" s="1"/>
  <c r="AD21" i="2"/>
  <c r="AE21" i="2"/>
  <c r="A23" i="4" s="1"/>
  <c r="B23" i="4"/>
  <c r="AI29" i="2"/>
  <c r="E31" i="4" s="1"/>
  <c r="AD29" i="2"/>
  <c r="AE29" i="2"/>
  <c r="A31" i="4" s="1"/>
  <c r="B31" i="4"/>
  <c r="AI41" i="2"/>
  <c r="E43" i="4" s="1"/>
  <c r="AD41" i="2"/>
  <c r="AE41" i="2"/>
  <c r="A43" i="4" s="1"/>
  <c r="B43" i="4"/>
  <c r="AD87" i="2"/>
  <c r="AE87" i="2"/>
  <c r="A89" i="4" s="1"/>
  <c r="AI87" i="2"/>
  <c r="AE89" i="2"/>
  <c r="A91" i="4" s="1"/>
  <c r="AD89" i="2"/>
  <c r="AI89" i="2"/>
  <c r="E91" i="4" s="1"/>
  <c r="AD91" i="2"/>
  <c r="AE91" i="2"/>
  <c r="A93" i="4" s="1"/>
  <c r="AI91" i="2"/>
  <c r="AD145" i="2"/>
  <c r="AE145" i="2"/>
  <c r="A147" i="4" s="1"/>
  <c r="AI145" i="2"/>
  <c r="AD149" i="2"/>
  <c r="AE149" i="2"/>
  <c r="A151" i="4" s="1"/>
  <c r="AI149" i="2"/>
  <c r="AI156" i="2"/>
  <c r="E158" i="4" s="1"/>
  <c r="AD156" i="2"/>
  <c r="AE156" i="2"/>
  <c r="A158" i="4" s="1"/>
  <c r="AI160" i="2"/>
  <c r="E162" i="4" s="1"/>
  <c r="AD160" i="2"/>
  <c r="AE160" i="2"/>
  <c r="A162" i="4" s="1"/>
  <c r="AE167" i="2"/>
  <c r="A169" i="4" s="1"/>
  <c r="AD167" i="2"/>
  <c r="AI167" i="2"/>
  <c r="E169" i="4" s="1"/>
  <c r="AI172" i="2"/>
  <c r="E174" i="4" s="1"/>
  <c r="AD172" i="2"/>
  <c r="AE172" i="2"/>
  <c r="A174" i="4" s="1"/>
  <c r="AI176" i="2"/>
  <c r="E178" i="4" s="1"/>
  <c r="AD176" i="2"/>
  <c r="AE176" i="2"/>
  <c r="A178" i="4" s="1"/>
  <c r="AI180" i="2"/>
  <c r="E182" i="4" s="1"/>
  <c r="AD180" i="2"/>
  <c r="AE180" i="2"/>
  <c r="A182" i="4" s="1"/>
  <c r="AI184" i="2"/>
  <c r="E186" i="4" s="1"/>
  <c r="AD184" i="2"/>
  <c r="AE184" i="2"/>
  <c r="A186" i="4" s="1"/>
  <c r="AI188" i="2"/>
  <c r="E190" i="4" s="1"/>
  <c r="AD188" i="2"/>
  <c r="AE188" i="2"/>
  <c r="A190" i="4" s="1"/>
  <c r="AI192" i="2"/>
  <c r="E194" i="4" s="1"/>
  <c r="AD192" i="2"/>
  <c r="AE192" i="2"/>
  <c r="A194" i="4" s="1"/>
  <c r="AI196" i="2"/>
  <c r="E198" i="4" s="1"/>
  <c r="AD196" i="2"/>
  <c r="AE196" i="2"/>
  <c r="A198" i="4" s="1"/>
  <c r="AI200" i="2"/>
  <c r="E202" i="4" s="1"/>
  <c r="AD200" i="2"/>
  <c r="AE200" i="2"/>
  <c r="A202" i="4" s="1"/>
  <c r="AI204" i="2"/>
  <c r="E206" i="4" s="1"/>
  <c r="AD204" i="2"/>
  <c r="AE204" i="2"/>
  <c r="A206" i="4" s="1"/>
  <c r="AI208" i="2"/>
  <c r="E210" i="4" s="1"/>
  <c r="AD208" i="2"/>
  <c r="AE208" i="2"/>
  <c r="A210" i="4" s="1"/>
  <c r="AI210" i="2"/>
  <c r="E212" i="4" s="1"/>
  <c r="AD210" i="2"/>
  <c r="AE210" i="2"/>
  <c r="A212" i="4" s="1"/>
  <c r="AI214" i="2"/>
  <c r="E216" i="4" s="1"/>
  <c r="AD214" i="2"/>
  <c r="AE214" i="2"/>
  <c r="A216" i="4" s="1"/>
  <c r="AI218" i="2"/>
  <c r="E220" i="4" s="1"/>
  <c r="AD218" i="2"/>
  <c r="AE218" i="2"/>
  <c r="A220" i="4" s="1"/>
  <c r="AI222" i="2"/>
  <c r="E224" i="4" s="1"/>
  <c r="AD222" i="2"/>
  <c r="AE222" i="2"/>
  <c r="A224" i="4" s="1"/>
  <c r="AI228" i="2"/>
  <c r="E230" i="4" s="1"/>
  <c r="AD228" i="2"/>
  <c r="AE228" i="2"/>
  <c r="A230" i="4" s="1"/>
  <c r="AE342" i="2"/>
  <c r="AD342" i="2"/>
  <c r="AH342" i="2" s="1"/>
  <c r="AI342" i="2"/>
  <c r="AI356" i="2"/>
  <c r="AD356" i="2"/>
  <c r="AH356" i="2" s="1"/>
  <c r="AE356" i="2"/>
  <c r="AI360" i="2"/>
  <c r="AE360" i="2"/>
  <c r="AD360" i="2"/>
  <c r="AH360" i="2" s="1"/>
  <c r="AI370" i="2"/>
  <c r="AD370" i="2"/>
  <c r="AH370" i="2" s="1"/>
  <c r="AE370" i="2"/>
  <c r="AI384" i="2"/>
  <c r="AE384" i="2"/>
  <c r="AD384" i="2"/>
  <c r="AH384" i="2" s="1"/>
  <c r="AI390" i="2"/>
  <c r="AE390" i="2"/>
  <c r="AD390" i="2"/>
  <c r="AH390" i="2" s="1"/>
  <c r="AE395" i="2"/>
  <c r="AD395" i="2"/>
  <c r="AH395" i="2" s="1"/>
  <c r="AI395" i="2"/>
  <c r="AE399" i="2"/>
  <c r="AD399" i="2"/>
  <c r="AH399" i="2" s="1"/>
  <c r="AI399" i="2"/>
  <c r="AE403" i="2"/>
  <c r="AD403" i="2"/>
  <c r="AH403" i="2" s="1"/>
  <c r="AI403" i="2"/>
  <c r="AE407" i="2"/>
  <c r="AD407" i="2"/>
  <c r="AH407" i="2" s="1"/>
  <c r="AI407" i="2"/>
  <c r="AE411" i="2"/>
  <c r="AD411" i="2"/>
  <c r="AH411" i="2" s="1"/>
  <c r="AI411" i="2"/>
  <c r="AE413" i="2"/>
  <c r="AD413" i="2"/>
  <c r="AH413" i="2" s="1"/>
  <c r="AI413" i="2"/>
  <c r="AI417" i="2"/>
  <c r="AE417" i="2"/>
  <c r="AD417" i="2"/>
  <c r="AH417" i="2" s="1"/>
  <c r="AD422" i="2"/>
  <c r="AH422" i="2" s="1"/>
  <c r="AI422" i="2"/>
  <c r="AE422" i="2"/>
  <c r="AI425" i="2"/>
  <c r="AD425" i="2"/>
  <c r="AH425" i="2" s="1"/>
  <c r="AE425" i="2"/>
  <c r="AD428" i="2"/>
  <c r="AH428" i="2" s="1"/>
  <c r="AI428" i="2"/>
  <c r="AE428" i="2"/>
  <c r="AD430" i="2"/>
  <c r="AH430" i="2" s="1"/>
  <c r="AI430" i="2"/>
  <c r="AE430" i="2"/>
  <c r="AI433" i="2"/>
  <c r="AD433" i="2"/>
  <c r="AH433" i="2" s="1"/>
  <c r="AE433" i="2"/>
  <c r="AI437" i="2"/>
  <c r="AD437" i="2"/>
  <c r="AH437" i="2" s="1"/>
  <c r="AE437" i="2"/>
  <c r="AI441" i="2"/>
  <c r="AD441" i="2"/>
  <c r="AH441" i="2" s="1"/>
  <c r="AE441" i="2"/>
  <c r="AI445" i="2"/>
  <c r="AD445" i="2"/>
  <c r="AH445" i="2" s="1"/>
  <c r="AE445" i="2"/>
  <c r="AI449" i="2"/>
  <c r="AD449" i="2"/>
  <c r="AH449" i="2" s="1"/>
  <c r="AE449" i="2"/>
  <c r="AI465" i="2"/>
  <c r="AE465" i="2"/>
  <c r="AD465" i="2"/>
  <c r="AH465" i="2" s="1"/>
  <c r="AD480" i="2"/>
  <c r="AH480" i="2" s="1"/>
  <c r="AE480" i="2"/>
  <c r="AI480" i="2"/>
  <c r="AI485" i="2"/>
  <c r="AD485" i="2"/>
  <c r="AH485" i="2" s="1"/>
  <c r="AE485" i="2"/>
  <c r="AD494" i="2"/>
  <c r="AH494" i="2" s="1"/>
  <c r="AI494" i="2"/>
  <c r="AE494" i="2"/>
  <c r="AI501" i="2"/>
  <c r="AD501" i="2"/>
  <c r="AH501" i="2" s="1"/>
  <c r="AE501" i="2"/>
  <c r="AI509" i="2"/>
  <c r="AD509" i="2"/>
  <c r="AH509" i="2" s="1"/>
  <c r="AE509" i="2"/>
  <c r="AI521" i="2"/>
  <c r="AD521" i="2"/>
  <c r="AH521" i="2" s="1"/>
  <c r="AE521" i="2"/>
  <c r="AD530" i="2"/>
  <c r="AH530" i="2" s="1"/>
  <c r="AI530" i="2"/>
  <c r="AE530" i="2"/>
  <c r="AI537" i="2"/>
  <c r="AD537" i="2"/>
  <c r="AH537" i="2" s="1"/>
  <c r="AE537" i="2"/>
  <c r="AD539" i="2"/>
  <c r="AH539" i="2" s="1"/>
  <c r="AI539" i="2"/>
  <c r="AE539" i="2"/>
  <c r="AD547" i="2"/>
  <c r="AH547" i="2" s="1"/>
  <c r="AI547" i="2"/>
  <c r="AE547" i="2"/>
  <c r="AD555" i="2"/>
  <c r="AH555" i="2" s="1"/>
  <c r="AI555" i="2"/>
  <c r="AE555" i="2"/>
  <c r="AD563" i="2"/>
  <c r="AH563" i="2" s="1"/>
  <c r="AI563" i="2"/>
  <c r="AE563" i="2"/>
  <c r="AI567" i="2"/>
  <c r="AD567" i="2"/>
  <c r="AH567" i="2" s="1"/>
  <c r="AE567" i="2"/>
  <c r="AI576" i="2"/>
  <c r="AD576" i="2"/>
  <c r="AH576" i="2" s="1"/>
  <c r="AE576" i="2"/>
  <c r="AI583" i="2"/>
  <c r="AD583" i="2"/>
  <c r="AH583" i="2" s="1"/>
  <c r="AE583" i="2"/>
  <c r="AI589" i="2"/>
  <c r="AE589" i="2"/>
  <c r="AD589" i="2"/>
  <c r="AH589" i="2" s="1"/>
  <c r="AD594" i="2"/>
  <c r="AH594" i="2" s="1"/>
  <c r="AI594" i="2"/>
  <c r="AE594" i="2"/>
  <c r="AI597" i="2"/>
  <c r="AD597" i="2"/>
  <c r="AH597" i="2" s="1"/>
  <c r="AE597" i="2"/>
  <c r="AI601" i="2"/>
  <c r="AD601" i="2"/>
  <c r="AH601" i="2" s="1"/>
  <c r="AE601" i="2"/>
  <c r="AI605" i="2"/>
  <c r="AD605" i="2"/>
  <c r="AH605" i="2" s="1"/>
  <c r="AE605" i="2"/>
  <c r="AI609" i="2"/>
  <c r="AD609" i="2"/>
  <c r="AH609" i="2" s="1"/>
  <c r="AE609" i="2"/>
  <c r="AI612" i="2"/>
  <c r="AE612" i="2"/>
  <c r="AD612" i="2"/>
  <c r="AH612" i="2" s="1"/>
  <c r="AI617" i="2"/>
  <c r="AD617" i="2"/>
  <c r="AH617" i="2" s="1"/>
  <c r="AE617" i="2"/>
  <c r="AI4" i="2"/>
  <c r="E6" i="4" s="1"/>
  <c r="AD4" i="2"/>
  <c r="AE4" i="2"/>
  <c r="A6" i="4" s="1"/>
  <c r="B6" i="4"/>
  <c r="AI8" i="2"/>
  <c r="E10" i="4" s="1"/>
  <c r="AD8" i="2"/>
  <c r="AE8" i="2"/>
  <c r="A10" i="4" s="1"/>
  <c r="B10" i="4"/>
  <c r="B14" i="4"/>
  <c r="AD12" i="2"/>
  <c r="AI12" i="2"/>
  <c r="AE12" i="2"/>
  <c r="A14" i="4" s="1"/>
  <c r="AI16" i="2"/>
  <c r="E18" i="4" s="1"/>
  <c r="AD16" i="2"/>
  <c r="AE16" i="2"/>
  <c r="A18" i="4" s="1"/>
  <c r="B18" i="4"/>
  <c r="B22" i="4"/>
  <c r="AD20" i="2"/>
  <c r="AE20" i="2"/>
  <c r="A22" i="4" s="1"/>
  <c r="AI20" i="2"/>
  <c r="AD24" i="2"/>
  <c r="AE24" i="2"/>
  <c r="A26" i="4" s="1"/>
  <c r="B26" i="4"/>
  <c r="AI24" i="2"/>
  <c r="E26" i="4" s="1"/>
  <c r="B30" i="4"/>
  <c r="AD28" i="2"/>
  <c r="AE28" i="2"/>
  <c r="A30" i="4" s="1"/>
  <c r="AI28" i="2"/>
  <c r="AI32" i="2"/>
  <c r="E34" i="4" s="1"/>
  <c r="AD32" i="2"/>
  <c r="AE32" i="2"/>
  <c r="A34" i="4" s="1"/>
  <c r="B34" i="4"/>
  <c r="B38" i="4"/>
  <c r="AD36" i="2"/>
  <c r="AE36" i="2"/>
  <c r="A38" i="4" s="1"/>
  <c r="AI36" i="2"/>
  <c r="AD40" i="2"/>
  <c r="AE40" i="2"/>
  <c r="A42" i="4" s="1"/>
  <c r="AI40" i="2"/>
  <c r="E42" i="4" s="1"/>
  <c r="B42" i="4"/>
  <c r="B46" i="4"/>
  <c r="AD44" i="2"/>
  <c r="AI44" i="2"/>
  <c r="AE44" i="2"/>
  <c r="A46" i="4" s="1"/>
  <c r="AD48" i="2"/>
  <c r="AE48" i="2"/>
  <c r="A50" i="4" s="1"/>
  <c r="AI48" i="2"/>
  <c r="B50" i="4"/>
  <c r="AI52" i="2"/>
  <c r="E54" i="4" s="1"/>
  <c r="AD52" i="2"/>
  <c r="AE52" i="2"/>
  <c r="A54" i="4" s="1"/>
  <c r="B54" i="4"/>
  <c r="AI56" i="2"/>
  <c r="E58" i="4" s="1"/>
  <c r="AD56" i="2"/>
  <c r="AE56" i="2"/>
  <c r="A58" i="4" s="1"/>
  <c r="B58" i="4"/>
  <c r="B62" i="4"/>
  <c r="AD60" i="2"/>
  <c r="AE60" i="2"/>
  <c r="A62" i="4" s="1"/>
  <c r="AI60" i="2"/>
  <c r="AD64" i="2"/>
  <c r="AE64" i="2"/>
  <c r="A66" i="4" s="1"/>
  <c r="AI64" i="2"/>
  <c r="B66" i="4"/>
  <c r="AI68" i="2"/>
  <c r="E70" i="4" s="1"/>
  <c r="AD68" i="2"/>
  <c r="AE68" i="2"/>
  <c r="A70" i="4" s="1"/>
  <c r="B70" i="4"/>
  <c r="AI72" i="2"/>
  <c r="E74" i="4" s="1"/>
  <c r="AE72" i="2"/>
  <c r="A74" i="4" s="1"/>
  <c r="AD72" i="2"/>
  <c r="B74" i="4"/>
  <c r="AI76" i="2"/>
  <c r="E78" i="4" s="1"/>
  <c r="AE76" i="2"/>
  <c r="A78" i="4" s="1"/>
  <c r="AD76" i="2"/>
  <c r="B78" i="4"/>
  <c r="AI82" i="2"/>
  <c r="E84" i="4" s="1"/>
  <c r="AE82" i="2"/>
  <c r="A84" i="4" s="1"/>
  <c r="AD82" i="2"/>
  <c r="AE81" i="2"/>
  <c r="A83" i="4" s="1"/>
  <c r="AI81" i="2"/>
  <c r="E83" i="4" s="1"/>
  <c r="AD81" i="2"/>
  <c r="AE80" i="2"/>
  <c r="A82" i="4" s="1"/>
  <c r="AD80" i="2"/>
  <c r="AI80" i="2"/>
  <c r="E82" i="4" s="1"/>
  <c r="B82" i="4"/>
  <c r="AD93" i="2"/>
  <c r="AI93" i="2"/>
  <c r="E95" i="4" s="1"/>
  <c r="AE93" i="2"/>
  <c r="A95" i="4" s="1"/>
  <c r="AE95" i="2"/>
  <c r="A97" i="4" s="1"/>
  <c r="AD95" i="2"/>
  <c r="AI95" i="2"/>
  <c r="E97" i="4" s="1"/>
  <c r="AD97" i="2"/>
  <c r="AI97" i="2"/>
  <c r="E99" i="4" s="1"/>
  <c r="AE97" i="2"/>
  <c r="A99" i="4" s="1"/>
  <c r="AI232" i="2"/>
  <c r="E234" i="4" s="1"/>
  <c r="AD232" i="2"/>
  <c r="AE232" i="2"/>
  <c r="A234" i="4" s="1"/>
  <c r="AI100" i="2"/>
  <c r="E102" i="4" s="1"/>
  <c r="AD100" i="2"/>
  <c r="AE100" i="2"/>
  <c r="A102" i="4" s="1"/>
  <c r="AI102" i="2"/>
  <c r="E104" i="4" s="1"/>
  <c r="AD102" i="2"/>
  <c r="AE102" i="2"/>
  <c r="A104" i="4" s="1"/>
  <c r="AI104" i="2"/>
  <c r="E106" i="4" s="1"/>
  <c r="AD104" i="2"/>
  <c r="AE104" i="2"/>
  <c r="A106" i="4" s="1"/>
  <c r="AI106" i="2"/>
  <c r="E108" i="4" s="1"/>
  <c r="AD106" i="2"/>
  <c r="AE106" i="2"/>
  <c r="A108" i="4" s="1"/>
  <c r="AI108" i="2"/>
  <c r="E110" i="4" s="1"/>
  <c r="AD108" i="2"/>
  <c r="AE108" i="2"/>
  <c r="A110" i="4" s="1"/>
  <c r="AI110" i="2"/>
  <c r="E112" i="4" s="1"/>
  <c r="AD110" i="2"/>
  <c r="AE110" i="2"/>
  <c r="A112" i="4" s="1"/>
  <c r="AI112" i="2"/>
  <c r="E114" i="4" s="1"/>
  <c r="AD112" i="2"/>
  <c r="AE112" i="2"/>
  <c r="A114" i="4" s="1"/>
  <c r="AI114" i="2"/>
  <c r="E116" i="4" s="1"/>
  <c r="AD114" i="2"/>
  <c r="AE114" i="2"/>
  <c r="A116" i="4" s="1"/>
  <c r="AI116" i="2"/>
  <c r="E118" i="4" s="1"/>
  <c r="AD116" i="2"/>
  <c r="AE116" i="2"/>
  <c r="A118" i="4" s="1"/>
  <c r="AI118" i="2"/>
  <c r="E120" i="4" s="1"/>
  <c r="AD118" i="2"/>
  <c r="AE118" i="2"/>
  <c r="A120" i="4" s="1"/>
  <c r="AI120" i="2"/>
  <c r="E122" i="4" s="1"/>
  <c r="AD120" i="2"/>
  <c r="AE120" i="2"/>
  <c r="A122" i="4" s="1"/>
  <c r="AI122" i="2"/>
  <c r="E124" i="4" s="1"/>
  <c r="AD122" i="2"/>
  <c r="AE122" i="2"/>
  <c r="A124" i="4" s="1"/>
  <c r="AI124" i="2"/>
  <c r="E126" i="4" s="1"/>
  <c r="AD124" i="2"/>
  <c r="AE124" i="2"/>
  <c r="A126" i="4" s="1"/>
  <c r="AI126" i="2"/>
  <c r="E128" i="4" s="1"/>
  <c r="AD126" i="2"/>
  <c r="AE126" i="2"/>
  <c r="A128" i="4" s="1"/>
  <c r="AI128" i="2"/>
  <c r="E130" i="4" s="1"/>
  <c r="AD128" i="2"/>
  <c r="AE128" i="2"/>
  <c r="A130" i="4" s="1"/>
  <c r="AI130" i="2"/>
  <c r="E132" i="4" s="1"/>
  <c r="AD130" i="2"/>
  <c r="AE130" i="2"/>
  <c r="A132" i="4" s="1"/>
  <c r="AI132" i="2"/>
  <c r="E134" i="4" s="1"/>
  <c r="AD132" i="2"/>
  <c r="AE132" i="2"/>
  <c r="A134" i="4" s="1"/>
  <c r="AI134" i="2"/>
  <c r="E136" i="4" s="1"/>
  <c r="AD134" i="2"/>
  <c r="AE134" i="2"/>
  <c r="A136" i="4" s="1"/>
  <c r="AI136" i="2"/>
  <c r="E138" i="4" s="1"/>
  <c r="AD136" i="2"/>
  <c r="AE136" i="2"/>
  <c r="A138" i="4" s="1"/>
  <c r="AI138" i="2"/>
  <c r="E140" i="4" s="1"/>
  <c r="AD138" i="2"/>
  <c r="AE138" i="2"/>
  <c r="A140" i="4" s="1"/>
  <c r="AI140" i="2"/>
  <c r="E142" i="4" s="1"/>
  <c r="AD140" i="2"/>
  <c r="AE140" i="2"/>
  <c r="A142" i="4" s="1"/>
  <c r="AI142" i="2"/>
  <c r="E144" i="4" s="1"/>
  <c r="AD142" i="2"/>
  <c r="AE142" i="2"/>
  <c r="A144" i="4" s="1"/>
  <c r="AI144" i="2"/>
  <c r="E146" i="4" s="1"/>
  <c r="AD144" i="2"/>
  <c r="AE144" i="2"/>
  <c r="A146" i="4" s="1"/>
  <c r="AI154" i="2"/>
  <c r="E156" i="4" s="1"/>
  <c r="AD154" i="2"/>
  <c r="AE154" i="2"/>
  <c r="A156" i="4" s="1"/>
  <c r="AD161" i="2"/>
  <c r="AI161" i="2"/>
  <c r="E163" i="4" s="1"/>
  <c r="AE161" i="2"/>
  <c r="A163" i="4" s="1"/>
  <c r="AE163" i="2"/>
  <c r="A165" i="4" s="1"/>
  <c r="AI163" i="2"/>
  <c r="E165" i="4" s="1"/>
  <c r="AD163" i="2"/>
  <c r="AD233" i="2"/>
  <c r="AE233" i="2"/>
  <c r="A235" i="4" s="1"/>
  <c r="AI233" i="2"/>
  <c r="E235" i="4" s="1"/>
  <c r="AE235" i="2"/>
  <c r="A237" i="4" s="1"/>
  <c r="AD235" i="2"/>
  <c r="AI235" i="2"/>
  <c r="E237" i="4" s="1"/>
  <c r="AD237" i="2"/>
  <c r="AE237" i="2"/>
  <c r="A239" i="4" s="1"/>
  <c r="AI237" i="2"/>
  <c r="E239" i="4" s="1"/>
  <c r="AE239" i="2"/>
  <c r="A241" i="4" s="1"/>
  <c r="AD239" i="2"/>
  <c r="AI239" i="2"/>
  <c r="E241" i="4" s="1"/>
  <c r="AD241" i="2"/>
  <c r="AI241" i="2"/>
  <c r="E243" i="4" s="1"/>
  <c r="AE241" i="2"/>
  <c r="A243" i="4" s="1"/>
  <c r="AE243" i="2"/>
  <c r="A245" i="4" s="1"/>
  <c r="AD243" i="2"/>
  <c r="AI243" i="2"/>
  <c r="E245" i="4" s="1"/>
  <c r="AD245" i="2"/>
  <c r="AE245" i="2"/>
  <c r="A247" i="4" s="1"/>
  <c r="AI245" i="2"/>
  <c r="E247" i="4" s="1"/>
  <c r="AE247" i="2"/>
  <c r="A249" i="4" s="1"/>
  <c r="AD247" i="2"/>
  <c r="AI247" i="2"/>
  <c r="E249" i="4" s="1"/>
  <c r="AD249" i="2"/>
  <c r="AI249" i="2"/>
  <c r="E251" i="4" s="1"/>
  <c r="AE249" i="2"/>
  <c r="A251" i="4" s="1"/>
  <c r="AE251" i="2"/>
  <c r="A253" i="4" s="1"/>
  <c r="AD251" i="2"/>
  <c r="AI251" i="2"/>
  <c r="E253" i="4" s="1"/>
  <c r="AD253" i="2"/>
  <c r="AI253" i="2"/>
  <c r="E255" i="4" s="1"/>
  <c r="AE253" i="2"/>
  <c r="A255" i="4" s="1"/>
  <c r="AE255" i="2"/>
  <c r="A257" i="4" s="1"/>
  <c r="AD255" i="2"/>
  <c r="AI255" i="2"/>
  <c r="E257" i="4" s="1"/>
  <c r="AD257" i="2"/>
  <c r="AE257" i="2"/>
  <c r="A259" i="4" s="1"/>
  <c r="AI257" i="2"/>
  <c r="E259" i="4" s="1"/>
  <c r="AE259" i="2"/>
  <c r="A261" i="4" s="1"/>
  <c r="AD259" i="2"/>
  <c r="AI259" i="2"/>
  <c r="E261" i="4" s="1"/>
  <c r="AD261" i="2"/>
  <c r="AH261" i="2" s="1"/>
  <c r="AI261" i="2"/>
  <c r="AE261" i="2"/>
  <c r="AE263" i="2"/>
  <c r="AD263" i="2"/>
  <c r="AH263" i="2" s="1"/>
  <c r="AI263" i="2"/>
  <c r="AD265" i="2"/>
  <c r="AH265" i="2" s="1"/>
  <c r="AI265" i="2"/>
  <c r="AE265" i="2"/>
  <c r="AE267" i="2"/>
  <c r="AD267" i="2"/>
  <c r="AH267" i="2" s="1"/>
  <c r="AI267" i="2"/>
  <c r="AD269" i="2"/>
  <c r="AH269" i="2" s="1"/>
  <c r="AI269" i="2"/>
  <c r="AE269" i="2"/>
  <c r="AE271" i="2"/>
  <c r="AD271" i="2"/>
  <c r="AH271" i="2" s="1"/>
  <c r="AI271" i="2"/>
  <c r="AD273" i="2"/>
  <c r="AH273" i="2" s="1"/>
  <c r="AE273" i="2"/>
  <c r="AI273" i="2"/>
  <c r="AE275" i="2"/>
  <c r="AD275" i="2"/>
  <c r="AH275" i="2" s="1"/>
  <c r="AI275" i="2"/>
  <c r="AD277" i="2"/>
  <c r="AH277" i="2" s="1"/>
  <c r="AI277" i="2"/>
  <c r="AE277" i="2"/>
  <c r="AE279" i="2"/>
  <c r="AD279" i="2"/>
  <c r="AH279" i="2" s="1"/>
  <c r="AI279" i="2"/>
  <c r="AD281" i="2"/>
  <c r="AH281" i="2" s="1"/>
  <c r="AE281" i="2"/>
  <c r="AI281" i="2"/>
  <c r="AE283" i="2"/>
  <c r="AD283" i="2"/>
  <c r="AH283" i="2" s="1"/>
  <c r="AI283" i="2"/>
  <c r="AD285" i="2"/>
  <c r="AH285" i="2" s="1"/>
  <c r="AE285" i="2"/>
  <c r="AI285" i="2"/>
  <c r="AE287" i="2"/>
  <c r="AD287" i="2"/>
  <c r="AH287" i="2" s="1"/>
  <c r="AI287" i="2"/>
  <c r="AD289" i="2"/>
  <c r="AH289" i="2" s="1"/>
  <c r="AI289" i="2"/>
  <c r="AE289" i="2"/>
  <c r="AD291" i="2"/>
  <c r="AH291" i="2" s="1"/>
  <c r="AI291" i="2"/>
  <c r="AE291" i="2"/>
  <c r="AD293" i="2"/>
  <c r="AH293" i="2" s="1"/>
  <c r="AI293" i="2"/>
  <c r="AE293" i="2"/>
  <c r="AD295" i="2"/>
  <c r="AH295" i="2" s="1"/>
  <c r="AI295" i="2"/>
  <c r="AE295" i="2"/>
  <c r="AD297" i="2"/>
  <c r="AH297" i="2" s="1"/>
  <c r="AI297" i="2"/>
  <c r="AE297" i="2"/>
  <c r="AD299" i="2"/>
  <c r="AH299" i="2" s="1"/>
  <c r="AI299" i="2"/>
  <c r="AE299" i="2"/>
  <c r="AD301" i="2"/>
  <c r="AH301" i="2" s="1"/>
  <c r="AI301" i="2"/>
  <c r="AE301" i="2"/>
  <c r="AD303" i="2"/>
  <c r="AH303" i="2" s="1"/>
  <c r="AI303" i="2"/>
  <c r="AE303" i="2"/>
  <c r="AD305" i="2"/>
  <c r="AH305" i="2" s="1"/>
  <c r="AI305" i="2"/>
  <c r="AE305" i="2"/>
  <c r="AD307" i="2"/>
  <c r="AH307" i="2" s="1"/>
  <c r="AI307" i="2"/>
  <c r="AE307" i="2"/>
  <c r="AD309" i="2"/>
  <c r="AH309" i="2" s="1"/>
  <c r="AI309" i="2"/>
  <c r="AE309" i="2"/>
  <c r="AD311" i="2"/>
  <c r="AH311" i="2" s="1"/>
  <c r="AI311" i="2"/>
  <c r="AE311" i="2"/>
  <c r="AD313" i="2"/>
  <c r="AH313" i="2" s="1"/>
  <c r="AI313" i="2"/>
  <c r="AE313" i="2"/>
  <c r="AD315" i="2"/>
  <c r="AH315" i="2" s="1"/>
  <c r="AI315" i="2"/>
  <c r="AE315" i="2"/>
  <c r="AD317" i="2"/>
  <c r="AH317" i="2" s="1"/>
  <c r="AI317" i="2"/>
  <c r="AE317" i="2"/>
  <c r="AD319" i="2"/>
  <c r="AH319" i="2" s="1"/>
  <c r="AI319" i="2"/>
  <c r="AE319" i="2"/>
  <c r="AD321" i="2"/>
  <c r="AH321" i="2" s="1"/>
  <c r="AI321" i="2"/>
  <c r="AE321" i="2"/>
  <c r="AD323" i="2"/>
  <c r="AH323" i="2" s="1"/>
  <c r="AE323" i="2"/>
  <c r="AI323" i="2"/>
  <c r="AD325" i="2"/>
  <c r="AH325" i="2" s="1"/>
  <c r="AE325" i="2"/>
  <c r="AI325" i="2"/>
  <c r="AD327" i="2"/>
  <c r="AH327" i="2" s="1"/>
  <c r="AE327" i="2"/>
  <c r="AI327" i="2"/>
  <c r="AD329" i="2"/>
  <c r="AH329" i="2" s="1"/>
  <c r="AI329" i="2"/>
  <c r="AE329" i="2"/>
  <c r="AI332" i="2"/>
  <c r="AD332" i="2"/>
  <c r="AH332" i="2" s="1"/>
  <c r="AE332" i="2"/>
  <c r="AD334" i="2"/>
  <c r="AH334" i="2" s="1"/>
  <c r="AE334" i="2"/>
  <c r="AI334" i="2"/>
  <c r="AI336" i="2"/>
  <c r="AD336" i="2"/>
  <c r="AH336" i="2" s="1"/>
  <c r="AE336" i="2"/>
  <c r="AI338" i="2"/>
  <c r="AD338" i="2"/>
  <c r="AH338" i="2" s="1"/>
  <c r="AE338" i="2"/>
  <c r="AD341" i="2"/>
  <c r="AH341" i="2" s="1"/>
  <c r="AE341" i="2"/>
  <c r="AI341" i="2"/>
  <c r="AD347" i="2"/>
  <c r="AH347" i="2" s="1"/>
  <c r="AI347" i="2"/>
  <c r="AE347" i="2"/>
  <c r="AD349" i="2"/>
  <c r="AH349" i="2" s="1"/>
  <c r="AI349" i="2"/>
  <c r="AE349" i="2"/>
  <c r="AD351" i="2"/>
  <c r="AH351" i="2" s="1"/>
  <c r="AI351" i="2"/>
  <c r="AE351" i="2"/>
  <c r="AD353" i="2"/>
  <c r="AH353" i="2" s="1"/>
  <c r="AE353" i="2"/>
  <c r="AI353" i="2"/>
  <c r="AE355" i="2"/>
  <c r="AI355" i="2"/>
  <c r="AD355" i="2"/>
  <c r="AH355" i="2" s="1"/>
  <c r="AI362" i="2"/>
  <c r="AD362" i="2"/>
  <c r="AH362" i="2" s="1"/>
  <c r="AE362" i="2"/>
  <c r="AI366" i="2"/>
  <c r="AD366" i="2"/>
  <c r="AH366" i="2" s="1"/>
  <c r="AE366" i="2"/>
  <c r="AI368" i="2"/>
  <c r="AE368" i="2"/>
  <c r="AD368" i="2"/>
  <c r="AH368" i="2" s="1"/>
  <c r="AE373" i="2"/>
  <c r="AD373" i="2"/>
  <c r="AH373" i="2" s="1"/>
  <c r="AI373" i="2"/>
  <c r="AE375" i="2"/>
  <c r="AD375" i="2"/>
  <c r="AH375" i="2" s="1"/>
  <c r="AI375" i="2"/>
  <c r="AE379" i="2"/>
  <c r="AD379" i="2"/>
  <c r="AH379" i="2" s="1"/>
  <c r="AI379" i="2"/>
  <c r="AE381" i="2"/>
  <c r="AD381" i="2"/>
  <c r="AH381" i="2" s="1"/>
  <c r="AI381" i="2"/>
  <c r="AE383" i="2"/>
  <c r="AD383" i="2"/>
  <c r="AH383" i="2" s="1"/>
  <c r="AI383" i="2"/>
  <c r="AI386" i="2"/>
  <c r="AD386" i="2"/>
  <c r="AH386" i="2" s="1"/>
  <c r="AE386" i="2"/>
  <c r="AE397" i="2"/>
  <c r="AD397" i="2"/>
  <c r="AH397" i="2" s="1"/>
  <c r="AI397" i="2"/>
  <c r="AE405" i="2"/>
  <c r="AD405" i="2"/>
  <c r="AH405" i="2" s="1"/>
  <c r="AI405" i="2"/>
  <c r="AE409" i="2"/>
  <c r="AD409" i="2"/>
  <c r="AH409" i="2" s="1"/>
  <c r="AI409" i="2"/>
  <c r="AE415" i="2"/>
  <c r="AD415" i="2"/>
  <c r="AH415" i="2" s="1"/>
  <c r="AI415" i="2"/>
  <c r="AD418" i="2"/>
  <c r="AH418" i="2" s="1"/>
  <c r="AI418" i="2"/>
  <c r="AE418" i="2"/>
  <c r="AI421" i="2"/>
  <c r="AD421" i="2"/>
  <c r="AH421" i="2" s="1"/>
  <c r="AE421" i="2"/>
  <c r="AE427" i="2"/>
  <c r="AD427" i="2"/>
  <c r="AH427" i="2" s="1"/>
  <c r="AI427" i="2"/>
  <c r="AD450" i="2"/>
  <c r="AH450" i="2" s="1"/>
  <c r="AI450" i="2"/>
  <c r="AE450" i="2"/>
  <c r="AD452" i="2"/>
  <c r="AH452" i="2" s="1"/>
  <c r="AI452" i="2"/>
  <c r="AE452" i="2"/>
  <c r="AD456" i="2"/>
  <c r="AH456" i="2" s="1"/>
  <c r="AI456" i="2"/>
  <c r="AE456" i="2"/>
  <c r="AD459" i="2"/>
  <c r="AH459" i="2" s="1"/>
  <c r="AI459" i="2"/>
  <c r="AE459" i="2"/>
  <c r="AI461" i="2"/>
  <c r="AD461" i="2"/>
  <c r="AH461" i="2" s="1"/>
  <c r="AE461" i="2"/>
  <c r="AD463" i="2"/>
  <c r="AH463" i="2" s="1"/>
  <c r="AI463" i="2"/>
  <c r="AE463" i="2"/>
  <c r="AD466" i="2"/>
  <c r="AH466" i="2" s="1"/>
  <c r="AI466" i="2"/>
  <c r="AE466" i="2"/>
  <c r="AD468" i="2"/>
  <c r="AH468" i="2" s="1"/>
  <c r="AI468" i="2"/>
  <c r="AE468" i="2"/>
  <c r="AD470" i="2"/>
  <c r="AH470" i="2" s="1"/>
  <c r="AI470" i="2"/>
  <c r="AE470" i="2"/>
  <c r="AD474" i="2"/>
  <c r="AH474" i="2" s="1"/>
  <c r="AI474" i="2"/>
  <c r="AE474" i="2"/>
  <c r="AD476" i="2"/>
  <c r="AH476" i="2" s="1"/>
  <c r="AI476" i="2"/>
  <c r="AE476" i="2"/>
  <c r="AD479" i="2"/>
  <c r="AH479" i="2" s="1"/>
  <c r="AI479" i="2"/>
  <c r="AE479" i="2"/>
  <c r="AE487" i="2"/>
  <c r="AI487" i="2"/>
  <c r="AD487" i="2"/>
  <c r="AH487" i="2" s="1"/>
  <c r="AD491" i="2"/>
  <c r="AH491" i="2" s="1"/>
  <c r="AI491" i="2"/>
  <c r="AE491" i="2"/>
  <c r="AI493" i="2"/>
  <c r="AE493" i="2"/>
  <c r="AD493" i="2"/>
  <c r="AH493" i="2" s="1"/>
  <c r="AD498" i="2"/>
  <c r="AH498" i="2" s="1"/>
  <c r="AI498" i="2"/>
  <c r="AE498" i="2"/>
  <c r="AD502" i="2"/>
  <c r="AH502" i="2" s="1"/>
  <c r="AI502" i="2"/>
  <c r="AE502" i="2"/>
  <c r="AD506" i="2"/>
  <c r="AH506" i="2" s="1"/>
  <c r="AI506" i="2"/>
  <c r="AE506" i="2"/>
  <c r="AD510" i="2"/>
  <c r="AH510" i="2" s="1"/>
  <c r="AI510" i="2"/>
  <c r="AE510" i="2"/>
  <c r="AD514" i="2"/>
  <c r="AH514" i="2" s="1"/>
  <c r="AE514" i="2"/>
  <c r="AI514" i="2"/>
  <c r="AD516" i="2"/>
  <c r="AH516" i="2" s="1"/>
  <c r="AI516" i="2"/>
  <c r="AE516" i="2"/>
  <c r="AD518" i="2"/>
  <c r="AH518" i="2" s="1"/>
  <c r="AI518" i="2"/>
  <c r="AE518" i="2"/>
  <c r="AD522" i="2"/>
  <c r="AH522" i="2" s="1"/>
  <c r="AE522" i="2"/>
  <c r="AI522" i="2"/>
  <c r="AD526" i="2"/>
  <c r="AH526" i="2" s="1"/>
  <c r="AI526" i="2"/>
  <c r="AE526" i="2"/>
  <c r="AI529" i="2"/>
  <c r="AE529" i="2"/>
  <c r="AD529" i="2"/>
  <c r="AH529" i="2" s="1"/>
  <c r="AI533" i="2"/>
  <c r="AD533" i="2"/>
  <c r="AH533" i="2" s="1"/>
  <c r="AE533" i="2"/>
  <c r="AI540" i="2"/>
  <c r="AD540" i="2"/>
  <c r="AH540" i="2" s="1"/>
  <c r="AE540" i="2"/>
  <c r="AD545" i="2"/>
  <c r="AH545" i="2" s="1"/>
  <c r="AI545" i="2"/>
  <c r="AE545" i="2"/>
  <c r="AI548" i="2"/>
  <c r="AD548" i="2"/>
  <c r="AH548" i="2" s="1"/>
  <c r="AE548" i="2"/>
  <c r="AD553" i="2"/>
  <c r="AH553" i="2" s="1"/>
  <c r="AI553" i="2"/>
  <c r="AE553" i="2"/>
  <c r="AI556" i="2"/>
  <c r="AD556" i="2"/>
  <c r="AH556" i="2" s="1"/>
  <c r="AE556" i="2"/>
  <c r="AD561" i="2"/>
  <c r="AH561" i="2" s="1"/>
  <c r="AI561" i="2"/>
  <c r="AE561" i="2"/>
  <c r="AI564" i="2"/>
  <c r="AD564" i="2"/>
  <c r="AH564" i="2" s="1"/>
  <c r="AE564" i="2"/>
  <c r="AI568" i="2"/>
  <c r="AD568" i="2"/>
  <c r="AH568" i="2" s="1"/>
  <c r="AE568" i="2"/>
  <c r="AD570" i="2"/>
  <c r="AH570" i="2" s="1"/>
  <c r="AE570" i="2"/>
  <c r="AI570" i="2"/>
  <c r="AI572" i="2"/>
  <c r="AD572" i="2"/>
  <c r="AH572" i="2" s="1"/>
  <c r="AE572" i="2"/>
  <c r="AE574" i="2"/>
  <c r="AD574" i="2"/>
  <c r="AH574" i="2" s="1"/>
  <c r="AI574" i="2"/>
  <c r="AD578" i="2"/>
  <c r="AH578" i="2" s="1"/>
  <c r="AE578" i="2"/>
  <c r="AI578" i="2"/>
  <c r="AI581" i="2"/>
  <c r="AD581" i="2"/>
  <c r="AH581" i="2" s="1"/>
  <c r="AE581" i="2"/>
  <c r="AI584" i="2"/>
  <c r="AD584" i="2"/>
  <c r="AH584" i="2" s="1"/>
  <c r="AE584" i="2"/>
  <c r="AE590" i="2"/>
  <c r="AD590" i="2"/>
  <c r="AH590" i="2" s="1"/>
  <c r="AI590" i="2"/>
  <c r="AI593" i="2"/>
  <c r="AD593" i="2"/>
  <c r="AH593" i="2" s="1"/>
  <c r="AE593" i="2"/>
  <c r="AD598" i="2"/>
  <c r="AH598" i="2" s="1"/>
  <c r="AE598" i="2"/>
  <c r="AI598" i="2"/>
  <c r="AD602" i="2"/>
  <c r="AH602" i="2" s="1"/>
  <c r="AI602" i="2"/>
  <c r="AE602" i="2"/>
  <c r="AE606" i="2"/>
  <c r="AI606" i="2"/>
  <c r="AD606" i="2"/>
  <c r="AH606" i="2" s="1"/>
  <c r="AE611" i="2"/>
  <c r="AD611" i="2"/>
  <c r="AH611" i="2" s="1"/>
  <c r="AI611" i="2"/>
  <c r="AD614" i="2"/>
  <c r="AH614" i="2" s="1"/>
  <c r="AE614" i="2"/>
  <c r="AI614" i="2"/>
  <c r="AD618" i="2"/>
  <c r="AH618" i="2" s="1"/>
  <c r="AE618" i="2"/>
  <c r="AI618" i="2"/>
  <c r="AD6" i="2"/>
  <c r="AE6" i="2"/>
  <c r="A8" i="4" s="1"/>
  <c r="AI6" i="2"/>
  <c r="E8" i="4" s="1"/>
  <c r="B8" i="4"/>
  <c r="AI10" i="2"/>
  <c r="E12" i="4" s="1"/>
  <c r="AD10" i="2"/>
  <c r="AE10" i="2"/>
  <c r="A12" i="4" s="1"/>
  <c r="B12" i="4"/>
  <c r="AD14" i="2"/>
  <c r="AE14" i="2"/>
  <c r="A16" i="4" s="1"/>
  <c r="AI14" i="2"/>
  <c r="E16" i="4" s="1"/>
  <c r="B16" i="4"/>
  <c r="AI18" i="2"/>
  <c r="E20" i="4" s="1"/>
  <c r="AD18" i="2"/>
  <c r="AE18" i="2"/>
  <c r="A20" i="4" s="1"/>
  <c r="B20" i="4"/>
  <c r="AD22" i="2"/>
  <c r="AE22" i="2"/>
  <c r="A24" i="4" s="1"/>
  <c r="B24" i="4"/>
  <c r="AI22" i="2"/>
  <c r="E24" i="4" s="1"/>
  <c r="AD26" i="2"/>
  <c r="AE26" i="2"/>
  <c r="A28" i="4" s="1"/>
  <c r="B28" i="4"/>
  <c r="AI26" i="2"/>
  <c r="E28" i="4" s="1"/>
  <c r="AI30" i="2"/>
  <c r="E32" i="4" s="1"/>
  <c r="AD30" i="2"/>
  <c r="AE30" i="2"/>
  <c r="A32" i="4" s="1"/>
  <c r="B32" i="4"/>
  <c r="AI34" i="2"/>
  <c r="E36" i="4" s="1"/>
  <c r="AD34" i="2"/>
  <c r="AE34" i="2"/>
  <c r="A36" i="4" s="1"/>
  <c r="B36" i="4"/>
  <c r="AD38" i="2"/>
  <c r="AE38" i="2"/>
  <c r="A40" i="4" s="1"/>
  <c r="AI38" i="2"/>
  <c r="E40" i="4" s="1"/>
  <c r="B40" i="4"/>
  <c r="AD42" i="2"/>
  <c r="AE42" i="2"/>
  <c r="A44" i="4" s="1"/>
  <c r="AI42" i="2"/>
  <c r="E44" i="4" s="1"/>
  <c r="B44" i="4"/>
  <c r="AD46" i="2"/>
  <c r="AE46" i="2"/>
  <c r="A48" i="4" s="1"/>
  <c r="AI46" i="2"/>
  <c r="E48" i="4" s="1"/>
  <c r="B48" i="4"/>
  <c r="AD50" i="2"/>
  <c r="AE50" i="2"/>
  <c r="A52" i="4" s="1"/>
  <c r="AI50" i="2"/>
  <c r="E52" i="4" s="1"/>
  <c r="B52" i="4"/>
  <c r="AI54" i="2"/>
  <c r="E56" i="4" s="1"/>
  <c r="AD54" i="2"/>
  <c r="B56" i="4"/>
  <c r="AE54" i="2"/>
  <c r="A56" i="4" s="1"/>
  <c r="AI58" i="2"/>
  <c r="E60" i="4" s="1"/>
  <c r="AD58" i="2"/>
  <c r="AE58" i="2"/>
  <c r="A60" i="4" s="1"/>
  <c r="B60" i="4"/>
  <c r="AD62" i="2"/>
  <c r="AE62" i="2"/>
  <c r="A64" i="4" s="1"/>
  <c r="AI62" i="2"/>
  <c r="E64" i="4" s="1"/>
  <c r="B64" i="4"/>
  <c r="AD66" i="2"/>
  <c r="AE66" i="2"/>
  <c r="A68" i="4" s="1"/>
  <c r="AI66" i="2"/>
  <c r="E68" i="4" s="1"/>
  <c r="B68" i="4"/>
  <c r="AD70" i="2"/>
  <c r="AI70" i="2"/>
  <c r="E72" i="4" s="1"/>
  <c r="AE70" i="2"/>
  <c r="A72" i="4" s="1"/>
  <c r="B72" i="4"/>
  <c r="AD74" i="2"/>
  <c r="AE74" i="2"/>
  <c r="A76" i="4" s="1"/>
  <c r="AI74" i="2"/>
  <c r="B76" i="4"/>
  <c r="AE78" i="2"/>
  <c r="A80" i="4" s="1"/>
  <c r="AD78" i="2"/>
  <c r="AI78" i="2"/>
  <c r="E80" i="4" s="1"/>
  <c r="B80" i="4"/>
  <c r="AD3" i="2"/>
  <c r="AH3" i="2" s="1"/>
  <c r="AI3" i="2"/>
  <c r="B5" i="4"/>
  <c r="AE3" i="2"/>
  <c r="A5" i="4" s="1"/>
  <c r="AI92" i="2"/>
  <c r="E94" i="4" s="1"/>
  <c r="AD92" i="2"/>
  <c r="AE92" i="2"/>
  <c r="A94" i="4" s="1"/>
  <c r="AI94" i="2"/>
  <c r="E96" i="4" s="1"/>
  <c r="AD94" i="2"/>
  <c r="AE94" i="2"/>
  <c r="A96" i="4" s="1"/>
  <c r="AI96" i="2"/>
  <c r="E98" i="4" s="1"/>
  <c r="AD96" i="2"/>
  <c r="AE96" i="2"/>
  <c r="A98" i="4" s="1"/>
  <c r="AI98" i="2"/>
  <c r="E100" i="4" s="1"/>
  <c r="AD98" i="2"/>
  <c r="AE98" i="2"/>
  <c r="A100" i="4" s="1"/>
  <c r="AE99" i="2"/>
  <c r="A101" i="4" s="1"/>
  <c r="AD99" i="2"/>
  <c r="AI99" i="2"/>
  <c r="E101" i="4" s="1"/>
  <c r="AD101" i="2"/>
  <c r="AI101" i="2"/>
  <c r="E103" i="4" s="1"/>
  <c r="AE101" i="2"/>
  <c r="A103" i="4" s="1"/>
  <c r="AE103" i="2"/>
  <c r="A105" i="4" s="1"/>
  <c r="AD103" i="2"/>
  <c r="AI103" i="2"/>
  <c r="E105" i="4" s="1"/>
  <c r="AD105" i="2"/>
  <c r="AI105" i="2"/>
  <c r="E107" i="4" s="1"/>
  <c r="AE105" i="2"/>
  <c r="A107" i="4" s="1"/>
  <c r="AE107" i="2"/>
  <c r="A109" i="4" s="1"/>
  <c r="AD107" i="2"/>
  <c r="AI107" i="2"/>
  <c r="E109" i="4" s="1"/>
  <c r="AD109" i="2"/>
  <c r="AI109" i="2"/>
  <c r="E111" i="4" s="1"/>
  <c r="AE109" i="2"/>
  <c r="A111" i="4" s="1"/>
  <c r="AE111" i="2"/>
  <c r="A113" i="4" s="1"/>
  <c r="AD111" i="2"/>
  <c r="AI111" i="2"/>
  <c r="E113" i="4" s="1"/>
  <c r="AD113" i="2"/>
  <c r="AI113" i="2"/>
  <c r="E115" i="4" s="1"/>
  <c r="AE113" i="2"/>
  <c r="A115" i="4" s="1"/>
  <c r="AE115" i="2"/>
  <c r="A117" i="4" s="1"/>
  <c r="AD115" i="2"/>
  <c r="AI115" i="2"/>
  <c r="E117" i="4" s="1"/>
  <c r="AD117" i="2"/>
  <c r="AI117" i="2"/>
  <c r="E119" i="4" s="1"/>
  <c r="AE117" i="2"/>
  <c r="A119" i="4" s="1"/>
  <c r="AE119" i="2"/>
  <c r="A121" i="4" s="1"/>
  <c r="AD119" i="2"/>
  <c r="AI119" i="2"/>
  <c r="E121" i="4" s="1"/>
  <c r="AD121" i="2"/>
  <c r="AI121" i="2"/>
  <c r="E123" i="4" s="1"/>
  <c r="AE121" i="2"/>
  <c r="A123" i="4" s="1"/>
  <c r="AE123" i="2"/>
  <c r="A125" i="4" s="1"/>
  <c r="AD123" i="2"/>
  <c r="AI123" i="2"/>
  <c r="E125" i="4" s="1"/>
  <c r="AD125" i="2"/>
  <c r="AI125" i="2"/>
  <c r="E127" i="4" s="1"/>
  <c r="AE125" i="2"/>
  <c r="A127" i="4" s="1"/>
  <c r="AE127" i="2"/>
  <c r="A129" i="4" s="1"/>
  <c r="AD127" i="2"/>
  <c r="AI127" i="2"/>
  <c r="E129" i="4" s="1"/>
  <c r="AD129" i="2"/>
  <c r="AI129" i="2"/>
  <c r="E131" i="4" s="1"/>
  <c r="AE129" i="2"/>
  <c r="A131" i="4" s="1"/>
  <c r="AE131" i="2"/>
  <c r="A133" i="4" s="1"/>
  <c r="AD131" i="2"/>
  <c r="AI131" i="2"/>
  <c r="E133" i="4" s="1"/>
  <c r="AD133" i="2"/>
  <c r="AI133" i="2"/>
  <c r="E135" i="4" s="1"/>
  <c r="AE133" i="2"/>
  <c r="A135" i="4" s="1"/>
  <c r="AE135" i="2"/>
  <c r="A137" i="4" s="1"/>
  <c r="AD135" i="2"/>
  <c r="AI135" i="2"/>
  <c r="E137" i="4" s="1"/>
  <c r="AD137" i="2"/>
  <c r="AI137" i="2"/>
  <c r="E139" i="4" s="1"/>
  <c r="AE137" i="2"/>
  <c r="A139" i="4" s="1"/>
  <c r="AE139" i="2"/>
  <c r="A141" i="4" s="1"/>
  <c r="AD139" i="2"/>
  <c r="AI139" i="2"/>
  <c r="E141" i="4" s="1"/>
  <c r="AD141" i="2"/>
  <c r="AI141" i="2"/>
  <c r="E143" i="4" s="1"/>
  <c r="AE141" i="2"/>
  <c r="A143" i="4" s="1"/>
  <c r="AE143" i="2"/>
  <c r="A145" i="4" s="1"/>
  <c r="AD143" i="2"/>
  <c r="AI143" i="2"/>
  <c r="E145" i="4" s="1"/>
  <c r="AD153" i="2"/>
  <c r="AE153" i="2"/>
  <c r="A155" i="4" s="1"/>
  <c r="AI153" i="2"/>
  <c r="AE155" i="2"/>
  <c r="A157" i="4" s="1"/>
  <c r="AD155" i="2"/>
  <c r="AI155" i="2"/>
  <c r="E157" i="4" s="1"/>
  <c r="AI162" i="2"/>
  <c r="E164" i="4" s="1"/>
  <c r="AD162" i="2"/>
  <c r="AE162" i="2"/>
  <c r="A164" i="4" s="1"/>
  <c r="AD169" i="2"/>
  <c r="AE169" i="2"/>
  <c r="A171" i="4" s="1"/>
  <c r="AI169" i="2"/>
  <c r="AI234" i="2"/>
  <c r="E236" i="4" s="1"/>
  <c r="AD234" i="2"/>
  <c r="AE234" i="2"/>
  <c r="A236" i="4" s="1"/>
  <c r="AI236" i="2"/>
  <c r="E238" i="4" s="1"/>
  <c r="AD236" i="2"/>
  <c r="AE236" i="2"/>
  <c r="A238" i="4" s="1"/>
  <c r="AI238" i="2"/>
  <c r="E240" i="4" s="1"/>
  <c r="AD238" i="2"/>
  <c r="AE238" i="2"/>
  <c r="A240" i="4" s="1"/>
  <c r="AI240" i="2"/>
  <c r="E242" i="4" s="1"/>
  <c r="AD240" i="2"/>
  <c r="AE240" i="2"/>
  <c r="A242" i="4" s="1"/>
  <c r="AI242" i="2"/>
  <c r="E244" i="4" s="1"/>
  <c r="AD242" i="2"/>
  <c r="AE242" i="2"/>
  <c r="A244" i="4" s="1"/>
  <c r="AI244" i="2"/>
  <c r="E246" i="4" s="1"/>
  <c r="AD244" i="2"/>
  <c r="AE244" i="2"/>
  <c r="A246" i="4" s="1"/>
  <c r="AI246" i="2"/>
  <c r="E248" i="4" s="1"/>
  <c r="AD246" i="2"/>
  <c r="AE246" i="2"/>
  <c r="A248" i="4" s="1"/>
  <c r="AI248" i="2"/>
  <c r="E250" i="4" s="1"/>
  <c r="AD248" i="2"/>
  <c r="AE248" i="2"/>
  <c r="A250" i="4" s="1"/>
  <c r="AI250" i="2"/>
  <c r="E252" i="4" s="1"/>
  <c r="AD250" i="2"/>
  <c r="AE250" i="2"/>
  <c r="A252" i="4" s="1"/>
  <c r="AI252" i="2"/>
  <c r="E254" i="4" s="1"/>
  <c r="AD252" i="2"/>
  <c r="AE252" i="2"/>
  <c r="A254" i="4" s="1"/>
  <c r="AI254" i="2"/>
  <c r="E256" i="4" s="1"/>
  <c r="AD254" i="2"/>
  <c r="AE254" i="2"/>
  <c r="A256" i="4" s="1"/>
  <c r="AI256" i="2"/>
  <c r="E258" i="4" s="1"/>
  <c r="AD256" i="2"/>
  <c r="AE256" i="2"/>
  <c r="A258" i="4" s="1"/>
  <c r="AI258" i="2"/>
  <c r="E260" i="4" s="1"/>
  <c r="AD258" i="2"/>
  <c r="AE258" i="2"/>
  <c r="A260" i="4" s="1"/>
  <c r="AI260" i="2"/>
  <c r="AD260" i="2"/>
  <c r="AH260" i="2" s="1"/>
  <c r="AE260" i="2"/>
  <c r="AI262" i="2"/>
  <c r="AD262" i="2"/>
  <c r="AH262" i="2" s="1"/>
  <c r="AE262" i="2"/>
  <c r="AI264" i="2"/>
  <c r="AD264" i="2"/>
  <c r="AH264" i="2" s="1"/>
  <c r="AE264" i="2"/>
  <c r="AI266" i="2"/>
  <c r="AD266" i="2"/>
  <c r="AH266" i="2" s="1"/>
  <c r="AE266" i="2"/>
  <c r="AI268" i="2"/>
  <c r="AD268" i="2"/>
  <c r="AH268" i="2" s="1"/>
  <c r="AE268" i="2"/>
  <c r="AI270" i="2"/>
  <c r="AD270" i="2"/>
  <c r="AH270" i="2" s="1"/>
  <c r="AE270" i="2"/>
  <c r="AI272" i="2"/>
  <c r="AD272" i="2"/>
  <c r="AH272" i="2" s="1"/>
  <c r="AE272" i="2"/>
  <c r="AI274" i="2"/>
  <c r="AD274" i="2"/>
  <c r="AH274" i="2" s="1"/>
  <c r="AE274" i="2"/>
  <c r="AI276" i="2"/>
  <c r="AD276" i="2"/>
  <c r="AH276" i="2" s="1"/>
  <c r="AE276" i="2"/>
  <c r="AI278" i="2"/>
  <c r="AD278" i="2"/>
  <c r="AH278" i="2" s="1"/>
  <c r="AE278" i="2"/>
  <c r="AI280" i="2"/>
  <c r="AD280" i="2"/>
  <c r="AH280" i="2" s="1"/>
  <c r="AE280" i="2"/>
  <c r="AI282" i="2"/>
  <c r="AD282" i="2"/>
  <c r="AH282" i="2" s="1"/>
  <c r="AE282" i="2"/>
  <c r="AI284" i="2"/>
  <c r="AD284" i="2"/>
  <c r="AH284" i="2" s="1"/>
  <c r="AE284" i="2"/>
  <c r="AI286" i="2"/>
  <c r="AD286" i="2"/>
  <c r="AH286" i="2" s="1"/>
  <c r="AE286" i="2"/>
  <c r="AI288" i="2"/>
  <c r="AD288" i="2"/>
  <c r="AH288" i="2" s="1"/>
  <c r="AE288" i="2"/>
  <c r="AI290" i="2"/>
  <c r="AD290" i="2"/>
  <c r="AH290" i="2" s="1"/>
  <c r="AE290" i="2"/>
  <c r="AI292" i="2"/>
  <c r="AD292" i="2"/>
  <c r="AH292" i="2" s="1"/>
  <c r="AE292" i="2"/>
  <c r="AE294" i="2"/>
  <c r="AD294" i="2"/>
  <c r="AH294" i="2" s="1"/>
  <c r="AI294" i="2"/>
  <c r="AI296" i="2"/>
  <c r="AD296" i="2"/>
  <c r="AH296" i="2" s="1"/>
  <c r="AE296" i="2"/>
  <c r="AI298" i="2"/>
  <c r="AD298" i="2"/>
  <c r="AH298" i="2" s="1"/>
  <c r="AE298" i="2"/>
  <c r="AI300" i="2"/>
  <c r="AD300" i="2"/>
  <c r="AH300" i="2" s="1"/>
  <c r="AE300" i="2"/>
  <c r="AD302" i="2"/>
  <c r="AH302" i="2" s="1"/>
  <c r="AI302" i="2"/>
  <c r="AE302" i="2"/>
  <c r="AI304" i="2"/>
  <c r="AD304" i="2"/>
  <c r="AH304" i="2" s="1"/>
  <c r="AE304" i="2"/>
  <c r="AI306" i="2"/>
  <c r="AD306" i="2"/>
  <c r="AH306" i="2" s="1"/>
  <c r="AE306" i="2"/>
  <c r="AI308" i="2"/>
  <c r="AD308" i="2"/>
  <c r="AH308" i="2" s="1"/>
  <c r="AE308" i="2"/>
  <c r="AE310" i="2"/>
  <c r="AD310" i="2"/>
  <c r="AH310" i="2" s="1"/>
  <c r="AI310" i="2"/>
  <c r="AI312" i="2"/>
  <c r="AD312" i="2"/>
  <c r="AH312" i="2" s="1"/>
  <c r="AE312" i="2"/>
  <c r="AI314" i="2"/>
  <c r="AD314" i="2"/>
  <c r="AH314" i="2" s="1"/>
  <c r="AE314" i="2"/>
  <c r="AI316" i="2"/>
  <c r="AD316" i="2"/>
  <c r="AH316" i="2" s="1"/>
  <c r="AE316" i="2"/>
  <c r="AD318" i="2"/>
  <c r="AH318" i="2" s="1"/>
  <c r="AI318" i="2"/>
  <c r="AE318" i="2"/>
  <c r="AI320" i="2"/>
  <c r="AD320" i="2"/>
  <c r="AH320" i="2" s="1"/>
  <c r="AE320" i="2"/>
  <c r="AI322" i="2"/>
  <c r="AD322" i="2"/>
  <c r="AH322" i="2" s="1"/>
  <c r="AE322" i="2"/>
  <c r="AI324" i="2"/>
  <c r="AD324" i="2"/>
  <c r="AH324" i="2" s="1"/>
  <c r="AE324" i="2"/>
  <c r="AE326" i="2"/>
  <c r="AD326" i="2"/>
  <c r="AH326" i="2" s="1"/>
  <c r="AI326" i="2"/>
  <c r="AI328" i="2"/>
  <c r="AD328" i="2"/>
  <c r="AH328" i="2" s="1"/>
  <c r="AE328" i="2"/>
  <c r="AD331" i="2"/>
  <c r="AH331" i="2" s="1"/>
  <c r="AI331" i="2"/>
  <c r="AE331" i="2"/>
  <c r="AD333" i="2"/>
  <c r="AH333" i="2" s="1"/>
  <c r="AI333" i="2"/>
  <c r="AE333" i="2"/>
  <c r="AD335" i="2"/>
  <c r="AH335" i="2" s="1"/>
  <c r="AI335" i="2"/>
  <c r="AE335" i="2"/>
  <c r="AD337" i="2"/>
  <c r="AH337" i="2" s="1"/>
  <c r="AE337" i="2"/>
  <c r="AI337" i="2"/>
  <c r="AD339" i="2"/>
  <c r="AH339" i="2" s="1"/>
  <c r="AE339" i="2"/>
  <c r="AI339" i="2"/>
  <c r="AI344" i="2"/>
  <c r="AD344" i="2"/>
  <c r="AH344" i="2" s="1"/>
  <c r="AE344" i="2"/>
  <c r="AI348" i="2"/>
  <c r="AD348" i="2"/>
  <c r="AH348" i="2" s="1"/>
  <c r="AE348" i="2"/>
  <c r="AD350" i="2"/>
  <c r="AH350" i="2" s="1"/>
  <c r="AI350" i="2"/>
  <c r="AE350" i="2"/>
  <c r="AI352" i="2"/>
  <c r="AD352" i="2"/>
  <c r="AH352" i="2" s="1"/>
  <c r="AE352" i="2"/>
  <c r="AI354" i="2"/>
  <c r="AD354" i="2"/>
  <c r="AH354" i="2" s="1"/>
  <c r="AE354" i="2"/>
  <c r="AD361" i="2"/>
  <c r="AH361" i="2" s="1"/>
  <c r="AE361" i="2"/>
  <c r="AI361" i="2"/>
  <c r="AE365" i="2"/>
  <c r="AD365" i="2"/>
  <c r="AH365" i="2" s="1"/>
  <c r="AI365" i="2"/>
  <c r="AE367" i="2"/>
  <c r="AD367" i="2"/>
  <c r="AH367" i="2" s="1"/>
  <c r="AI367" i="2"/>
  <c r="AI372" i="2"/>
  <c r="AD372" i="2"/>
  <c r="AH372" i="2" s="1"/>
  <c r="AE372" i="2"/>
  <c r="AI374" i="2"/>
  <c r="AD374" i="2"/>
  <c r="AH374" i="2" s="1"/>
  <c r="AE374" i="2"/>
  <c r="AI376" i="2"/>
  <c r="AD376" i="2"/>
  <c r="AH376" i="2" s="1"/>
  <c r="AE376" i="2"/>
  <c r="AI380" i="2"/>
  <c r="AD380" i="2"/>
  <c r="AH380" i="2" s="1"/>
  <c r="AE380" i="2"/>
  <c r="AI382" i="2"/>
  <c r="AD382" i="2"/>
  <c r="AH382" i="2" s="1"/>
  <c r="AE382" i="2"/>
  <c r="AE385" i="2"/>
  <c r="AD385" i="2"/>
  <c r="AH385" i="2" s="1"/>
  <c r="AI385" i="2"/>
  <c r="AE391" i="2"/>
  <c r="AI391" i="2"/>
  <c r="AD391" i="2"/>
  <c r="AH391" i="2" s="1"/>
  <c r="AI398" i="2"/>
  <c r="AD398" i="2"/>
  <c r="AH398" i="2" s="1"/>
  <c r="AE398" i="2"/>
  <c r="AI406" i="2"/>
  <c r="AE406" i="2"/>
  <c r="AD406" i="2"/>
  <c r="AH406" i="2" s="1"/>
  <c r="AI410" i="2"/>
  <c r="AD410" i="2"/>
  <c r="AH410" i="2" s="1"/>
  <c r="AE410" i="2"/>
  <c r="AD416" i="2"/>
  <c r="AH416" i="2" s="1"/>
  <c r="AI416" i="2"/>
  <c r="AE416" i="2"/>
  <c r="AE419" i="2"/>
  <c r="AD419" i="2"/>
  <c r="AH419" i="2" s="1"/>
  <c r="AI419" i="2"/>
  <c r="AE423" i="2"/>
  <c r="AD423" i="2"/>
  <c r="AH423" i="2" s="1"/>
  <c r="AI423" i="2"/>
  <c r="AE431" i="2"/>
  <c r="AI431" i="2"/>
  <c r="AD431" i="2"/>
  <c r="AH431" i="2" s="1"/>
  <c r="AE451" i="2"/>
  <c r="AD451" i="2"/>
  <c r="AH451" i="2" s="1"/>
  <c r="AI451" i="2"/>
  <c r="AD454" i="2"/>
  <c r="AH454" i="2" s="1"/>
  <c r="AI454" i="2"/>
  <c r="AE454" i="2"/>
  <c r="AD458" i="2"/>
  <c r="AH458" i="2" s="1"/>
  <c r="AI458" i="2"/>
  <c r="AE458" i="2"/>
  <c r="AD460" i="2"/>
  <c r="AH460" i="2" s="1"/>
  <c r="AI460" i="2"/>
  <c r="AE460" i="2"/>
  <c r="AD462" i="2"/>
  <c r="AH462" i="2" s="1"/>
  <c r="AI462" i="2"/>
  <c r="AE462" i="2"/>
  <c r="AD464" i="2"/>
  <c r="AH464" i="2" s="1"/>
  <c r="AI464" i="2"/>
  <c r="AE464" i="2"/>
  <c r="AD467" i="2"/>
  <c r="AH467" i="2" s="1"/>
  <c r="AI467" i="2"/>
  <c r="AE467" i="2"/>
  <c r="AI469" i="2"/>
  <c r="AD469" i="2"/>
  <c r="AH469" i="2" s="1"/>
  <c r="AE469" i="2"/>
  <c r="AD472" i="2"/>
  <c r="AH472" i="2" s="1"/>
  <c r="AI472" i="2"/>
  <c r="AE472" i="2"/>
  <c r="AD475" i="2"/>
  <c r="AH475" i="2" s="1"/>
  <c r="AI475" i="2"/>
  <c r="AE475" i="2"/>
  <c r="AD478" i="2"/>
  <c r="AH478" i="2" s="1"/>
  <c r="AE478" i="2"/>
  <c r="AI478" i="2"/>
  <c r="AI481" i="2"/>
  <c r="AD481" i="2"/>
  <c r="AH481" i="2" s="1"/>
  <c r="AE481" i="2"/>
  <c r="AD490" i="2"/>
  <c r="AH490" i="2" s="1"/>
  <c r="AI490" i="2"/>
  <c r="AE490" i="2"/>
  <c r="AD492" i="2"/>
  <c r="AH492" i="2" s="1"/>
  <c r="AE492" i="2"/>
  <c r="AI492" i="2"/>
  <c r="AD496" i="2"/>
  <c r="AH496" i="2" s="1"/>
  <c r="AE496" i="2"/>
  <c r="AI496" i="2"/>
  <c r="AD500" i="2"/>
  <c r="AH500" i="2" s="1"/>
  <c r="AE500" i="2"/>
  <c r="AI500" i="2"/>
  <c r="AD504" i="2"/>
  <c r="AH504" i="2" s="1"/>
  <c r="AE504" i="2"/>
  <c r="AI504" i="2"/>
  <c r="AD508" i="2"/>
  <c r="AH508" i="2" s="1"/>
  <c r="AE508" i="2"/>
  <c r="AI508" i="2"/>
  <c r="AD512" i="2"/>
  <c r="AH512" i="2" s="1"/>
  <c r="AE512" i="2"/>
  <c r="AI512" i="2"/>
  <c r="AD515" i="2"/>
  <c r="AH515" i="2" s="1"/>
  <c r="AI515" i="2"/>
  <c r="AE515" i="2"/>
  <c r="AI517" i="2"/>
  <c r="AD517" i="2"/>
  <c r="AH517" i="2" s="1"/>
  <c r="AE517" i="2"/>
  <c r="AE519" i="2"/>
  <c r="AD519" i="2"/>
  <c r="AH519" i="2" s="1"/>
  <c r="AI519" i="2"/>
  <c r="AD524" i="2"/>
  <c r="AH524" i="2" s="1"/>
  <c r="AI524" i="2"/>
  <c r="AE524" i="2"/>
  <c r="AD527" i="2"/>
  <c r="AH527" i="2" s="1"/>
  <c r="AI527" i="2"/>
  <c r="AE527" i="2"/>
  <c r="AD531" i="2"/>
  <c r="AH531" i="2" s="1"/>
  <c r="AI531" i="2"/>
  <c r="AE531" i="2"/>
  <c r="AD536" i="2"/>
  <c r="AH536" i="2" s="1"/>
  <c r="AI536" i="2"/>
  <c r="AE536" i="2"/>
  <c r="AD543" i="2"/>
  <c r="AH543" i="2" s="1"/>
  <c r="AI543" i="2"/>
  <c r="AE543" i="2"/>
  <c r="AI546" i="2"/>
  <c r="AD546" i="2"/>
  <c r="AH546" i="2" s="1"/>
  <c r="AE546" i="2"/>
  <c r="AE550" i="2"/>
  <c r="AD550" i="2"/>
  <c r="AH550" i="2" s="1"/>
  <c r="AI550" i="2"/>
  <c r="AI554" i="2"/>
  <c r="AD554" i="2"/>
  <c r="AH554" i="2" s="1"/>
  <c r="AE554" i="2"/>
  <c r="AD559" i="2"/>
  <c r="AH559" i="2" s="1"/>
  <c r="AI559" i="2"/>
  <c r="AE559" i="2"/>
  <c r="AI562" i="2"/>
  <c r="AE562" i="2"/>
  <c r="AD562" i="2"/>
  <c r="AH562" i="2" s="1"/>
  <c r="AD566" i="2"/>
  <c r="AH566" i="2" s="1"/>
  <c r="AE566" i="2"/>
  <c r="AI566" i="2"/>
  <c r="AI569" i="2"/>
  <c r="AD569" i="2"/>
  <c r="AH569" i="2" s="1"/>
  <c r="AE569" i="2"/>
  <c r="AD571" i="2"/>
  <c r="AH571" i="2" s="1"/>
  <c r="AI571" i="2"/>
  <c r="AE571" i="2"/>
  <c r="AI573" i="2"/>
  <c r="AD573" i="2"/>
  <c r="AH573" i="2" s="1"/>
  <c r="AE573" i="2"/>
  <c r="AI577" i="2"/>
  <c r="AD577" i="2"/>
  <c r="AH577" i="2" s="1"/>
  <c r="AE577" i="2"/>
  <c r="AI579" i="2"/>
  <c r="AD579" i="2"/>
  <c r="AH579" i="2" s="1"/>
  <c r="AE579" i="2"/>
  <c r="AE582" i="2"/>
  <c r="AI582" i="2"/>
  <c r="AD582" i="2"/>
  <c r="AH582" i="2" s="1"/>
  <c r="AD586" i="2"/>
  <c r="AH586" i="2" s="1"/>
  <c r="AI586" i="2"/>
  <c r="AE586" i="2"/>
  <c r="AI591" i="2"/>
  <c r="AE591" i="2"/>
  <c r="AD591" i="2"/>
  <c r="AH591" i="2" s="1"/>
  <c r="AI596" i="2"/>
  <c r="AD596" i="2"/>
  <c r="AH596" i="2" s="1"/>
  <c r="AE596" i="2"/>
  <c r="AI600" i="2"/>
  <c r="AD600" i="2"/>
  <c r="AH600" i="2" s="1"/>
  <c r="AE600" i="2"/>
  <c r="AI604" i="2"/>
  <c r="AD604" i="2"/>
  <c r="AH604" i="2" s="1"/>
  <c r="AE604" i="2"/>
  <c r="AI608" i="2"/>
  <c r="AD608" i="2"/>
  <c r="AH608" i="2" s="1"/>
  <c r="AE608" i="2"/>
  <c r="AI613" i="2"/>
  <c r="AD613" i="2"/>
  <c r="AH613" i="2" s="1"/>
  <c r="AE613" i="2"/>
  <c r="AI616" i="2"/>
  <c r="AE616" i="2"/>
  <c r="AD616" i="2"/>
  <c r="AH616" i="2" s="1"/>
  <c r="AI620" i="2"/>
  <c r="AD620" i="2"/>
  <c r="AH620" i="2" s="1"/>
  <c r="AE620" i="2"/>
  <c r="AH252" i="2" l="1"/>
  <c r="D254" i="4" s="1"/>
  <c r="AH236" i="2"/>
  <c r="D238" i="4" s="1"/>
  <c r="AH153" i="2"/>
  <c r="D155" i="4" s="1"/>
  <c r="AH139" i="2"/>
  <c r="D141" i="4" s="1"/>
  <c r="AH129" i="2"/>
  <c r="D131" i="4" s="1"/>
  <c r="AH123" i="2"/>
  <c r="D125" i="4" s="1"/>
  <c r="AH113" i="2"/>
  <c r="D115" i="4" s="1"/>
  <c r="AH107" i="2"/>
  <c r="D109" i="4" s="1"/>
  <c r="AH92" i="2"/>
  <c r="D94" i="4" s="1"/>
  <c r="AH78" i="2"/>
  <c r="D80" i="4" s="1"/>
  <c r="AH54" i="2"/>
  <c r="D56" i="4" s="1"/>
  <c r="AH30" i="2"/>
  <c r="D32" i="4" s="1"/>
  <c r="AH255" i="2"/>
  <c r="D257" i="4" s="1"/>
  <c r="AH245" i="2"/>
  <c r="D247" i="4" s="1"/>
  <c r="AH239" i="2"/>
  <c r="D241" i="4" s="1"/>
  <c r="AH161" i="2"/>
  <c r="D163" i="4" s="1"/>
  <c r="AH142" i="2"/>
  <c r="D144" i="4" s="1"/>
  <c r="AH126" i="2"/>
  <c r="D128" i="4" s="1"/>
  <c r="AH110" i="2"/>
  <c r="D112" i="4" s="1"/>
  <c r="AH95" i="2"/>
  <c r="D97" i="4" s="1"/>
  <c r="AH76" i="2"/>
  <c r="D78" i="4" s="1"/>
  <c r="AH204" i="2"/>
  <c r="D206" i="4" s="1"/>
  <c r="AH172" i="2"/>
  <c r="D174" i="4" s="1"/>
  <c r="AH145" i="2"/>
  <c r="D147" i="4" s="1"/>
  <c r="AH29" i="2"/>
  <c r="D31" i="4" s="1"/>
  <c r="AH13" i="2"/>
  <c r="D15" i="4" s="1"/>
  <c r="AH229" i="2"/>
  <c r="D231" i="4" s="1"/>
  <c r="AH223" i="2"/>
  <c r="D225" i="4" s="1"/>
  <c r="AH213" i="2"/>
  <c r="D215" i="4" s="1"/>
  <c r="AH207" i="2"/>
  <c r="D209" i="4" s="1"/>
  <c r="AH197" i="2"/>
  <c r="D199" i="4" s="1"/>
  <c r="AH191" i="2"/>
  <c r="D193" i="4" s="1"/>
  <c r="AH181" i="2"/>
  <c r="D183" i="4" s="1"/>
  <c r="AH175" i="2"/>
  <c r="D177" i="4" s="1"/>
  <c r="AH168" i="2"/>
  <c r="D170" i="4" s="1"/>
  <c r="AH152" i="2"/>
  <c r="D154" i="4" s="1"/>
  <c r="AH88" i="2"/>
  <c r="D90" i="4" s="1"/>
  <c r="AH67" i="2"/>
  <c r="D69" i="4" s="1"/>
  <c r="AH59" i="2"/>
  <c r="D61" i="4" s="1"/>
  <c r="AH51" i="2"/>
  <c r="D53" i="4" s="1"/>
  <c r="AH43" i="2"/>
  <c r="D45" i="4" s="1"/>
  <c r="AH35" i="2"/>
  <c r="D37" i="4" s="1"/>
  <c r="AH27" i="2"/>
  <c r="D29" i="4" s="1"/>
  <c r="AH19" i="2"/>
  <c r="D21" i="4" s="1"/>
  <c r="AH11" i="2"/>
  <c r="D13" i="4" s="1"/>
  <c r="AH224" i="2"/>
  <c r="D226" i="4" s="1"/>
  <c r="AH190" i="2"/>
  <c r="D192" i="4" s="1"/>
  <c r="AH151" i="2"/>
  <c r="D153" i="4" s="1"/>
  <c r="AH62" i="2"/>
  <c r="D64" i="4" s="1"/>
  <c r="AH46" i="2"/>
  <c r="D48" i="4" s="1"/>
  <c r="AH136" i="2"/>
  <c r="D138" i="4" s="1"/>
  <c r="AH120" i="2"/>
  <c r="D122" i="4" s="1"/>
  <c r="AH104" i="2"/>
  <c r="D106" i="4" s="1"/>
  <c r="AH81" i="2"/>
  <c r="D83" i="4" s="1"/>
  <c r="AH68" i="2"/>
  <c r="D70" i="4" s="1"/>
  <c r="AH60" i="2"/>
  <c r="D62" i="4" s="1"/>
  <c r="AH52" i="2"/>
  <c r="D54" i="4" s="1"/>
  <c r="AH44" i="2"/>
  <c r="D46" i="4" s="1"/>
  <c r="AH36" i="2"/>
  <c r="D38" i="4" s="1"/>
  <c r="AH28" i="2"/>
  <c r="D30" i="4" s="1"/>
  <c r="AH20" i="2"/>
  <c r="D22" i="4" s="1"/>
  <c r="AH12" i="2"/>
  <c r="D14" i="4" s="1"/>
  <c r="AH4" i="2"/>
  <c r="D6" i="4" s="1"/>
  <c r="AH222" i="2"/>
  <c r="D224" i="4" s="1"/>
  <c r="AH192" i="2"/>
  <c r="D194" i="4" s="1"/>
  <c r="AH156" i="2"/>
  <c r="D158" i="4" s="1"/>
  <c r="AH87" i="2"/>
  <c r="D89" i="4" s="1"/>
  <c r="AH146" i="2"/>
  <c r="D148" i="4" s="1"/>
  <c r="AH83" i="2"/>
  <c r="D85" i="4" s="1"/>
  <c r="AH212" i="2"/>
  <c r="D214" i="4" s="1"/>
  <c r="AH178" i="2"/>
  <c r="D180" i="4" s="1"/>
  <c r="AH246" i="2"/>
  <c r="D248" i="4" s="1"/>
  <c r="AH70" i="2"/>
  <c r="D72" i="4" s="1"/>
  <c r="AH38" i="2"/>
  <c r="D40" i="4" s="1"/>
  <c r="AH22" i="2"/>
  <c r="D24" i="4" s="1"/>
  <c r="AH14" i="2"/>
  <c r="D16" i="4" s="1"/>
  <c r="AH6" i="2"/>
  <c r="D8" i="4" s="1"/>
  <c r="AH256" i="2"/>
  <c r="D258" i="4" s="1"/>
  <c r="AH240" i="2"/>
  <c r="D242" i="4" s="1"/>
  <c r="AH143" i="2"/>
  <c r="D145" i="4" s="1"/>
  <c r="AH133" i="2"/>
  <c r="D135" i="4" s="1"/>
  <c r="AH127" i="2"/>
  <c r="D129" i="4" s="1"/>
  <c r="AH117" i="2"/>
  <c r="D119" i="4" s="1"/>
  <c r="AH111" i="2"/>
  <c r="D113" i="4" s="1"/>
  <c r="AH101" i="2"/>
  <c r="D103" i="4" s="1"/>
  <c r="AH96" i="2"/>
  <c r="D98" i="4" s="1"/>
  <c r="AH259" i="2"/>
  <c r="D261" i="4" s="1"/>
  <c r="AH249" i="2"/>
  <c r="D251" i="4" s="1"/>
  <c r="AH243" i="2"/>
  <c r="D245" i="4" s="1"/>
  <c r="AH233" i="2"/>
  <c r="D235" i="4" s="1"/>
  <c r="AH154" i="2"/>
  <c r="D156" i="4" s="1"/>
  <c r="AH130" i="2"/>
  <c r="D132" i="4" s="1"/>
  <c r="AH114" i="2"/>
  <c r="D116" i="4" s="1"/>
  <c r="AH232" i="2"/>
  <c r="D234" i="4" s="1"/>
  <c r="AH210" i="2"/>
  <c r="D212" i="4" s="1"/>
  <c r="AH180" i="2"/>
  <c r="D182" i="4" s="1"/>
  <c r="AH227" i="2"/>
  <c r="D229" i="4" s="1"/>
  <c r="AH217" i="2"/>
  <c r="D219" i="4" s="1"/>
  <c r="AH211" i="2"/>
  <c r="D213" i="4" s="1"/>
  <c r="AH201" i="2"/>
  <c r="D203" i="4" s="1"/>
  <c r="AH195" i="2"/>
  <c r="D197" i="4" s="1"/>
  <c r="AH185" i="2"/>
  <c r="D187" i="4" s="1"/>
  <c r="AH179" i="2"/>
  <c r="D181" i="4" s="1"/>
  <c r="AH159" i="2"/>
  <c r="D161" i="4" s="1"/>
  <c r="AH86" i="2"/>
  <c r="D88" i="4" s="1"/>
  <c r="AH79" i="2"/>
  <c r="D81" i="4" s="1"/>
  <c r="AH230" i="2"/>
  <c r="D232" i="4" s="1"/>
  <c r="AH198" i="2"/>
  <c r="D200" i="4" s="1"/>
  <c r="AH69" i="2"/>
  <c r="D71" i="4" s="1"/>
  <c r="AH61" i="2"/>
  <c r="D63" i="4" s="1"/>
  <c r="AH53" i="2"/>
  <c r="D55" i="4" s="1"/>
  <c r="AH45" i="2"/>
  <c r="D47" i="4" s="1"/>
  <c r="AH33" i="2"/>
  <c r="D35" i="4" s="1"/>
  <c r="AH17" i="2"/>
  <c r="D19" i="4" s="1"/>
  <c r="AH162" i="2"/>
  <c r="D164" i="4" s="1"/>
  <c r="AH250" i="2"/>
  <c r="D252" i="4" s="1"/>
  <c r="AH234" i="2"/>
  <c r="D236" i="4" s="1"/>
  <c r="AH163" i="2"/>
  <c r="D165" i="4" s="1"/>
  <c r="AH140" i="2"/>
  <c r="D142" i="4" s="1"/>
  <c r="AH124" i="2"/>
  <c r="D126" i="4" s="1"/>
  <c r="AH108" i="2"/>
  <c r="D110" i="4" s="1"/>
  <c r="AH200" i="2"/>
  <c r="D202" i="4" s="1"/>
  <c r="AH167" i="2"/>
  <c r="D169" i="4" s="1"/>
  <c r="AH91" i="2"/>
  <c r="D93" i="4" s="1"/>
  <c r="AH150" i="2"/>
  <c r="D152" i="4" s="1"/>
  <c r="AH71" i="2"/>
  <c r="D73" i="4" s="1"/>
  <c r="AH220" i="2"/>
  <c r="D222" i="4" s="1"/>
  <c r="AH186" i="2"/>
  <c r="D188" i="4" s="1"/>
  <c r="AH165" i="2"/>
  <c r="D167" i="4" s="1"/>
  <c r="AH147" i="2"/>
  <c r="D149" i="4" s="1"/>
  <c r="AH77" i="2"/>
  <c r="D79" i="4" s="1"/>
  <c r="AH244" i="2"/>
  <c r="D246" i="4" s="1"/>
  <c r="AH155" i="2"/>
  <c r="D157" i="4" s="1"/>
  <c r="AH137" i="2"/>
  <c r="D139" i="4" s="1"/>
  <c r="AH131" i="2"/>
  <c r="D133" i="4" s="1"/>
  <c r="AH121" i="2"/>
  <c r="D123" i="4" s="1"/>
  <c r="AH115" i="2"/>
  <c r="D117" i="4" s="1"/>
  <c r="AH105" i="2"/>
  <c r="D107" i="4" s="1"/>
  <c r="AH99" i="2"/>
  <c r="D101" i="4" s="1"/>
  <c r="AH58" i="2"/>
  <c r="D60" i="4" s="1"/>
  <c r="AH34" i="2"/>
  <c r="D36" i="4" s="1"/>
  <c r="AH18" i="2"/>
  <c r="D20" i="4" s="1"/>
  <c r="AH10" i="2"/>
  <c r="D12" i="4" s="1"/>
  <c r="AH253" i="2"/>
  <c r="D255" i="4" s="1"/>
  <c r="AH247" i="2"/>
  <c r="D249" i="4" s="1"/>
  <c r="AH237" i="2"/>
  <c r="D239" i="4" s="1"/>
  <c r="AH134" i="2"/>
  <c r="D136" i="4" s="1"/>
  <c r="AH118" i="2"/>
  <c r="D120" i="4" s="1"/>
  <c r="AH102" i="2"/>
  <c r="D104" i="4" s="1"/>
  <c r="AH93" i="2"/>
  <c r="D95" i="4" s="1"/>
  <c r="AH82" i="2"/>
  <c r="D84" i="4" s="1"/>
  <c r="AH72" i="2"/>
  <c r="D74" i="4" s="1"/>
  <c r="AH218" i="2"/>
  <c r="D220" i="4" s="1"/>
  <c r="AH188" i="2"/>
  <c r="D190" i="4" s="1"/>
  <c r="AH41" i="2"/>
  <c r="D43" i="4" s="1"/>
  <c r="AH21" i="2"/>
  <c r="D23" i="4" s="1"/>
  <c r="AH231" i="2"/>
  <c r="D233" i="4" s="1"/>
  <c r="AH221" i="2"/>
  <c r="D223" i="4" s="1"/>
  <c r="AH215" i="2"/>
  <c r="D217" i="4" s="1"/>
  <c r="AH205" i="2"/>
  <c r="D207" i="4" s="1"/>
  <c r="AH199" i="2"/>
  <c r="D201" i="4" s="1"/>
  <c r="AH189" i="2"/>
  <c r="D191" i="4" s="1"/>
  <c r="AH183" i="2"/>
  <c r="D185" i="4" s="1"/>
  <c r="AH173" i="2"/>
  <c r="D175" i="4" s="1"/>
  <c r="AH166" i="2"/>
  <c r="D168" i="4" s="1"/>
  <c r="AH90" i="2"/>
  <c r="D92" i="4" s="1"/>
  <c r="AH63" i="2"/>
  <c r="D65" i="4" s="1"/>
  <c r="AH55" i="2"/>
  <c r="D57" i="4" s="1"/>
  <c r="AH47" i="2"/>
  <c r="D49" i="4" s="1"/>
  <c r="AH39" i="2"/>
  <c r="D41" i="4" s="1"/>
  <c r="AH31" i="2"/>
  <c r="D33" i="4" s="1"/>
  <c r="AH23" i="2"/>
  <c r="D25" i="4" s="1"/>
  <c r="AH15" i="2"/>
  <c r="D17" i="4" s="1"/>
  <c r="AH7" i="2"/>
  <c r="D9" i="4" s="1"/>
  <c r="AH206" i="2"/>
  <c r="D208" i="4" s="1"/>
  <c r="AH174" i="2"/>
  <c r="D176" i="4" s="1"/>
  <c r="AH254" i="2"/>
  <c r="D256" i="4" s="1"/>
  <c r="AH238" i="2"/>
  <c r="D240" i="4" s="1"/>
  <c r="AH94" i="2"/>
  <c r="D96" i="4" s="1"/>
  <c r="AH74" i="2"/>
  <c r="D76" i="4" s="1"/>
  <c r="AH66" i="2"/>
  <c r="D68" i="4" s="1"/>
  <c r="AH50" i="2"/>
  <c r="D52" i="4" s="1"/>
  <c r="AH42" i="2"/>
  <c r="D44" i="4" s="1"/>
  <c r="AH26" i="2"/>
  <c r="D28" i="4" s="1"/>
  <c r="AH144" i="2"/>
  <c r="D146" i="4" s="1"/>
  <c r="AH128" i="2"/>
  <c r="D130" i="4" s="1"/>
  <c r="AH112" i="2"/>
  <c r="D114" i="4" s="1"/>
  <c r="AH56" i="2"/>
  <c r="D58" i="4" s="1"/>
  <c r="AH32" i="2"/>
  <c r="D34" i="4" s="1"/>
  <c r="AH16" i="2"/>
  <c r="D18" i="4" s="1"/>
  <c r="AH8" i="2"/>
  <c r="D10" i="4" s="1"/>
  <c r="AH208" i="2"/>
  <c r="D210" i="4" s="1"/>
  <c r="AH176" i="2"/>
  <c r="D178" i="4" s="1"/>
  <c r="AH149" i="2"/>
  <c r="D151" i="4" s="1"/>
  <c r="AH89" i="2"/>
  <c r="D91" i="4" s="1"/>
  <c r="AH5" i="2"/>
  <c r="D7" i="4" s="1"/>
  <c r="AH85" i="2"/>
  <c r="D87" i="4" s="1"/>
  <c r="AH226" i="2"/>
  <c r="D228" i="4" s="1"/>
  <c r="AH194" i="2"/>
  <c r="D196" i="4" s="1"/>
  <c r="AH158" i="2"/>
  <c r="D160" i="4" s="1"/>
  <c r="AH248" i="2"/>
  <c r="D250" i="4" s="1"/>
  <c r="AH141" i="2"/>
  <c r="D143" i="4" s="1"/>
  <c r="AH135" i="2"/>
  <c r="D137" i="4" s="1"/>
  <c r="AH125" i="2"/>
  <c r="D127" i="4" s="1"/>
  <c r="AH119" i="2"/>
  <c r="D121" i="4" s="1"/>
  <c r="AH109" i="2"/>
  <c r="D111" i="4" s="1"/>
  <c r="AH103" i="2"/>
  <c r="D105" i="4" s="1"/>
  <c r="AH257" i="2"/>
  <c r="D259" i="4" s="1"/>
  <c r="AH251" i="2"/>
  <c r="D253" i="4" s="1"/>
  <c r="AH241" i="2"/>
  <c r="D243" i="4" s="1"/>
  <c r="AH235" i="2"/>
  <c r="D237" i="4" s="1"/>
  <c r="AH138" i="2"/>
  <c r="D140" i="4" s="1"/>
  <c r="AH122" i="2"/>
  <c r="D124" i="4" s="1"/>
  <c r="AH106" i="2"/>
  <c r="D108" i="4" s="1"/>
  <c r="AH97" i="2"/>
  <c r="D99" i="4" s="1"/>
  <c r="AH64" i="2"/>
  <c r="D66" i="4" s="1"/>
  <c r="AH48" i="2"/>
  <c r="D50" i="4" s="1"/>
  <c r="AH40" i="2"/>
  <c r="D42" i="4" s="1"/>
  <c r="AH24" i="2"/>
  <c r="D26" i="4" s="1"/>
  <c r="AH228" i="2"/>
  <c r="D230" i="4" s="1"/>
  <c r="AH196" i="2"/>
  <c r="D198" i="4" s="1"/>
  <c r="AH160" i="2"/>
  <c r="D162" i="4" s="1"/>
  <c r="AH225" i="2"/>
  <c r="D227" i="4" s="1"/>
  <c r="AH219" i="2"/>
  <c r="D221" i="4" s="1"/>
  <c r="AH209" i="2"/>
  <c r="D211" i="4" s="1"/>
  <c r="AH203" i="2"/>
  <c r="D205" i="4" s="1"/>
  <c r="AH193" i="2"/>
  <c r="D195" i="4" s="1"/>
  <c r="AH187" i="2"/>
  <c r="D189" i="4" s="1"/>
  <c r="AH177" i="2"/>
  <c r="D179" i="4" s="1"/>
  <c r="AH171" i="2"/>
  <c r="D173" i="4" s="1"/>
  <c r="AH157" i="2"/>
  <c r="D159" i="4" s="1"/>
  <c r="AH148" i="2"/>
  <c r="D150" i="4" s="1"/>
  <c r="AH216" i="2"/>
  <c r="D218" i="4" s="1"/>
  <c r="AH182" i="2"/>
  <c r="D184" i="4" s="1"/>
  <c r="AH65" i="2"/>
  <c r="D67" i="4" s="1"/>
  <c r="AH57" i="2"/>
  <c r="D59" i="4" s="1"/>
  <c r="AH49" i="2"/>
  <c r="D51" i="4" s="1"/>
  <c r="AH37" i="2"/>
  <c r="D39" i="4" s="1"/>
  <c r="AH25" i="2"/>
  <c r="D27" i="4" s="1"/>
  <c r="AH9" i="2"/>
  <c r="D11" i="4" s="1"/>
  <c r="AH258" i="2"/>
  <c r="D260" i="4" s="1"/>
  <c r="AH242" i="2"/>
  <c r="D244" i="4" s="1"/>
  <c r="AH169" i="2"/>
  <c r="D171" i="4" s="1"/>
  <c r="AH98" i="2"/>
  <c r="D100" i="4" s="1"/>
  <c r="AH132" i="2"/>
  <c r="D134" i="4" s="1"/>
  <c r="AH116" i="2"/>
  <c r="D118" i="4" s="1"/>
  <c r="AH100" i="2"/>
  <c r="D102" i="4" s="1"/>
  <c r="AH80" i="2"/>
  <c r="D82" i="4" s="1"/>
  <c r="AH214" i="2"/>
  <c r="D216" i="4" s="1"/>
  <c r="AH184" i="2"/>
  <c r="D186" i="4" s="1"/>
  <c r="AH164" i="2"/>
  <c r="D166" i="4" s="1"/>
  <c r="AH75" i="2"/>
  <c r="D77" i="4" s="1"/>
  <c r="AH202" i="2"/>
  <c r="D204" i="4" s="1"/>
  <c r="AH170" i="2"/>
  <c r="D172" i="4" s="1"/>
  <c r="AH84" i="2"/>
  <c r="D86" i="4" s="1"/>
  <c r="AH73" i="2"/>
  <c r="D75" i="4" s="1"/>
  <c r="AJ505" i="2"/>
  <c r="AJ607" i="2"/>
  <c r="AJ473" i="2"/>
  <c r="AJ529" i="2"/>
  <c r="AJ360" i="2"/>
  <c r="AJ477" i="2"/>
  <c r="AJ514" i="2"/>
  <c r="AJ325" i="2"/>
  <c r="AJ327" i="2"/>
  <c r="AJ72" i="2"/>
  <c r="AJ73" i="2"/>
  <c r="AJ330" i="2"/>
  <c r="AJ339" i="2"/>
  <c r="AJ14" i="2"/>
  <c r="AJ614" i="2"/>
  <c r="AJ522" i="2"/>
  <c r="AJ493" i="2"/>
  <c r="AJ353" i="2"/>
  <c r="AJ40" i="2"/>
  <c r="AJ42" i="2"/>
  <c r="AJ82" i="2"/>
  <c r="AJ480" i="2"/>
  <c r="AJ5" i="2"/>
  <c r="AJ591" i="2"/>
  <c r="AJ504" i="2"/>
  <c r="AJ488" i="2"/>
  <c r="AJ390" i="2"/>
  <c r="AJ603" i="2"/>
  <c r="AJ492" i="2"/>
  <c r="AJ578" i="2"/>
  <c r="AJ612" i="2"/>
  <c r="AJ384" i="2"/>
  <c r="AJ343" i="2"/>
  <c r="AJ525" i="2"/>
  <c r="AJ478" i="2"/>
  <c r="AJ598" i="2"/>
  <c r="AJ570" i="2"/>
  <c r="AJ368" i="2"/>
  <c r="AJ341" i="2"/>
  <c r="AJ323" i="2"/>
  <c r="AJ520" i="2"/>
  <c r="AJ484" i="2"/>
  <c r="AJ361" i="2"/>
  <c r="AJ618" i="2"/>
  <c r="AJ334" i="2"/>
  <c r="AJ589" i="2"/>
  <c r="AJ465" i="2"/>
  <c r="AJ496" i="2"/>
  <c r="AJ500" i="2"/>
  <c r="AJ616" i="2"/>
  <c r="AJ508" i="2"/>
  <c r="AJ50" i="2"/>
  <c r="AJ38" i="2"/>
  <c r="AJ46" i="2"/>
  <c r="AJ6" i="2"/>
  <c r="AJ66" i="2"/>
  <c r="AJ76" i="2"/>
  <c r="AJ62" i="2"/>
  <c r="AJ512" i="2"/>
  <c r="AJ337" i="2"/>
  <c r="AJ566" i="2"/>
  <c r="AJ169" i="2"/>
  <c r="E171" i="4"/>
  <c r="AJ145" i="2"/>
  <c r="E147" i="4"/>
  <c r="AJ83" i="2"/>
  <c r="E85" i="4"/>
  <c r="AJ84" i="2"/>
  <c r="E86" i="4"/>
  <c r="AJ153" i="2"/>
  <c r="E155" i="4"/>
  <c r="AJ285" i="2"/>
  <c r="AJ281" i="2"/>
  <c r="AJ273" i="2"/>
  <c r="AJ257" i="2"/>
  <c r="AJ245" i="2"/>
  <c r="AJ237" i="2"/>
  <c r="AJ233" i="2"/>
  <c r="AJ149" i="2"/>
  <c r="E151" i="4"/>
  <c r="AJ91" i="2"/>
  <c r="E93" i="4"/>
  <c r="AJ87" i="2"/>
  <c r="E89" i="4"/>
  <c r="AJ229" i="2"/>
  <c r="AJ221" i="2"/>
  <c r="AJ217" i="2"/>
  <c r="AJ209" i="2"/>
  <c r="AJ189" i="2"/>
  <c r="AJ185" i="2"/>
  <c r="AJ173" i="2"/>
  <c r="AJ157" i="2"/>
  <c r="E159" i="4"/>
  <c r="AJ88" i="2"/>
  <c r="E90" i="4"/>
  <c r="AJ552" i="2"/>
  <c r="AJ11" i="2"/>
  <c r="AJ513" i="2"/>
  <c r="AJ497" i="2"/>
  <c r="AJ541" i="2"/>
  <c r="AJ414" i="2"/>
  <c r="AJ378" i="2"/>
  <c r="AJ43" i="2"/>
  <c r="AJ27" i="2"/>
  <c r="AJ19" i="2"/>
  <c r="AJ534" i="2"/>
  <c r="AJ483" i="2"/>
  <c r="AJ9" i="2"/>
  <c r="AJ358" i="2"/>
  <c r="AJ447" i="2"/>
  <c r="AJ388" i="2"/>
  <c r="AJ439" i="2"/>
  <c r="AJ401" i="2"/>
  <c r="AJ377" i="2"/>
  <c r="AJ226" i="2"/>
  <c r="AJ202" i="2"/>
  <c r="AJ194" i="2"/>
  <c r="AJ186" i="2"/>
  <c r="AJ178" i="2"/>
  <c r="AJ170" i="2"/>
  <c r="AJ158" i="2"/>
  <c r="AJ151" i="2"/>
  <c r="AJ57" i="2"/>
  <c r="AJ49" i="2"/>
  <c r="AJ45" i="2"/>
  <c r="AJ37" i="2"/>
  <c r="AJ25" i="2"/>
  <c r="AJ17" i="2"/>
  <c r="AJ120" i="2"/>
  <c r="AJ116" i="2"/>
  <c r="AJ108" i="2"/>
  <c r="AJ242" i="2"/>
  <c r="AJ606" i="2"/>
  <c r="AJ581" i="2"/>
  <c r="AJ332" i="2"/>
  <c r="AJ134" i="2"/>
  <c r="AJ118" i="2"/>
  <c r="AJ110" i="2"/>
  <c r="AJ81" i="2"/>
  <c r="AJ68" i="2"/>
  <c r="AJ481" i="2"/>
  <c r="AJ431" i="2"/>
  <c r="AJ380" i="2"/>
  <c r="AJ344" i="2"/>
  <c r="AJ328" i="2"/>
  <c r="AJ304" i="2"/>
  <c r="AJ593" i="2"/>
  <c r="AJ336" i="2"/>
  <c r="AJ136" i="2"/>
  <c r="AJ124" i="2"/>
  <c r="AJ122" i="2"/>
  <c r="AJ112" i="2"/>
  <c r="AJ102" i="2"/>
  <c r="AJ232" i="2"/>
  <c r="AJ80" i="2"/>
  <c r="AJ56" i="2"/>
  <c r="AJ560" i="2"/>
  <c r="AJ544" i="2"/>
  <c r="AJ300" i="2"/>
  <c r="AJ258" i="2"/>
  <c r="AJ250" i="2"/>
  <c r="AJ246" i="2"/>
  <c r="AJ96" i="2"/>
  <c r="AJ94" i="2"/>
  <c r="AJ78" i="2"/>
  <c r="AJ70" i="2"/>
  <c r="AJ590" i="2"/>
  <c r="AJ421" i="2"/>
  <c r="AJ355" i="2"/>
  <c r="AJ319" i="2"/>
  <c r="AJ315" i="2"/>
  <c r="AJ144" i="2"/>
  <c r="AJ140" i="2"/>
  <c r="AJ138" i="2"/>
  <c r="AJ132" i="2"/>
  <c r="AJ130" i="2"/>
  <c r="AJ576" i="2"/>
  <c r="AJ537" i="2"/>
  <c r="AJ521" i="2"/>
  <c r="AJ449" i="2"/>
  <c r="AJ445" i="2"/>
  <c r="AJ370" i="2"/>
  <c r="AJ356" i="2"/>
  <c r="AJ228" i="2"/>
  <c r="AJ214" i="2"/>
  <c r="AJ29" i="2"/>
  <c r="AJ599" i="2"/>
  <c r="AJ592" i="2"/>
  <c r="AJ585" i="2"/>
  <c r="AJ575" i="2"/>
  <c r="AJ565" i="2"/>
  <c r="AJ549" i="2"/>
  <c r="AJ503" i="2"/>
  <c r="AJ499" i="2"/>
  <c r="AJ457" i="2"/>
  <c r="AJ429" i="2"/>
  <c r="AJ392" i="2"/>
  <c r="AJ146" i="2"/>
  <c r="AJ326" i="2"/>
  <c r="AJ320" i="2"/>
  <c r="AJ314" i="2"/>
  <c r="AJ312" i="2"/>
  <c r="AJ310" i="2"/>
  <c r="AJ306" i="2"/>
  <c r="AJ302" i="2"/>
  <c r="AJ296" i="2"/>
  <c r="AJ294" i="2"/>
  <c r="AJ453" i="2"/>
  <c r="AJ448" i="2"/>
  <c r="AJ444" i="2"/>
  <c r="AJ440" i="2"/>
  <c r="AJ436" i="2"/>
  <c r="AJ432" i="2"/>
  <c r="AJ424" i="2"/>
  <c r="AJ396" i="2"/>
  <c r="AJ394" i="2"/>
  <c r="AJ389" i="2"/>
  <c r="AJ371" i="2"/>
  <c r="AJ363" i="2"/>
  <c r="AJ215" i="2"/>
  <c r="AJ213" i="2"/>
  <c r="AJ211" i="2"/>
  <c r="AJ207" i="2"/>
  <c r="AJ164" i="2"/>
  <c r="AJ150" i="2"/>
  <c r="AJ148" i="2"/>
  <c r="AJ85" i="2"/>
  <c r="AJ75" i="2"/>
  <c r="AJ147" i="2"/>
  <c r="AJ608" i="2"/>
  <c r="AJ218" i="2"/>
  <c r="AJ204" i="2"/>
  <c r="AJ188" i="2"/>
  <c r="AJ569" i="2"/>
  <c r="AJ554" i="2"/>
  <c r="AJ517" i="2"/>
  <c r="AJ490" i="2"/>
  <c r="AJ475" i="2"/>
  <c r="AJ469" i="2"/>
  <c r="AJ290" i="2"/>
  <c r="AJ286" i="2"/>
  <c r="AJ282" i="2"/>
  <c r="AJ280" i="2"/>
  <c r="AJ274" i="2"/>
  <c r="AJ266" i="2"/>
  <c r="AJ264" i="2"/>
  <c r="AJ260" i="2"/>
  <c r="AJ244" i="2"/>
  <c r="AJ238" i="2"/>
  <c r="AJ234" i="2"/>
  <c r="AJ564" i="2"/>
  <c r="AJ548" i="2"/>
  <c r="AJ487" i="2"/>
  <c r="AJ479" i="2"/>
  <c r="AJ461" i="2"/>
  <c r="AJ386" i="2"/>
  <c r="AJ425" i="2"/>
  <c r="AJ192" i="2"/>
  <c r="AJ184" i="2"/>
  <c r="AJ176" i="2"/>
  <c r="AJ89" i="2"/>
  <c r="AJ41" i="2"/>
  <c r="AJ595" i="2"/>
  <c r="AJ59" i="2"/>
  <c r="AJ51" i="2"/>
  <c r="AJ65" i="2"/>
  <c r="AJ61" i="2"/>
  <c r="AJ224" i="2"/>
  <c r="AJ216" i="2"/>
  <c r="AJ206" i="2"/>
  <c r="AJ190" i="2"/>
  <c r="AJ174" i="2"/>
  <c r="AJ467" i="2"/>
  <c r="AJ462" i="2"/>
  <c r="AJ458" i="2"/>
  <c r="AJ423" i="2"/>
  <c r="AJ391" i="2"/>
  <c r="AJ374" i="2"/>
  <c r="AJ372" i="2"/>
  <c r="AJ365" i="2"/>
  <c r="AJ352" i="2"/>
  <c r="AJ322" i="2"/>
  <c r="AJ316" i="2"/>
  <c r="AJ288" i="2"/>
  <c r="AJ254" i="2"/>
  <c r="AJ236" i="2"/>
  <c r="AJ556" i="2"/>
  <c r="AJ553" i="2"/>
  <c r="AJ533" i="2"/>
  <c r="AJ205" i="2"/>
  <c r="AJ203" i="2"/>
  <c r="AJ201" i="2"/>
  <c r="AJ199" i="2"/>
  <c r="AJ197" i="2"/>
  <c r="AJ195" i="2"/>
  <c r="AJ193" i="2"/>
  <c r="AJ191" i="2"/>
  <c r="AJ187" i="2"/>
  <c r="AJ183" i="2"/>
  <c r="AJ181" i="2"/>
  <c r="AJ179" i="2"/>
  <c r="AJ177" i="2"/>
  <c r="AJ175" i="2"/>
  <c r="AJ171" i="2"/>
  <c r="AJ166" i="2"/>
  <c r="AJ86" i="2"/>
  <c r="AJ67" i="2"/>
  <c r="AJ35" i="2"/>
  <c r="AJ230" i="2"/>
  <c r="AJ182" i="2"/>
  <c r="AJ165" i="2"/>
  <c r="AJ600" i="2"/>
  <c r="AJ596" i="2"/>
  <c r="AJ579" i="2"/>
  <c r="AJ573" i="2"/>
  <c r="AJ571" i="2"/>
  <c r="AJ276" i="2"/>
  <c r="AJ270" i="2"/>
  <c r="AJ248" i="2"/>
  <c r="AJ98" i="2"/>
  <c r="AJ54" i="2"/>
  <c r="AJ30" i="2"/>
  <c r="AJ22" i="2"/>
  <c r="AJ10" i="2"/>
  <c r="AJ572" i="2"/>
  <c r="AJ474" i="2"/>
  <c r="AJ468" i="2"/>
  <c r="AJ463" i="2"/>
  <c r="AJ456" i="2"/>
  <c r="AJ450" i="2"/>
  <c r="AJ427" i="2"/>
  <c r="AJ418" i="2"/>
  <c r="AJ415" i="2"/>
  <c r="AJ405" i="2"/>
  <c r="AJ383" i="2"/>
  <c r="AJ379" i="2"/>
  <c r="AJ373" i="2"/>
  <c r="AJ366" i="2"/>
  <c r="AJ351" i="2"/>
  <c r="AJ347" i="2"/>
  <c r="AJ338" i="2"/>
  <c r="AJ163" i="2"/>
  <c r="AJ161" i="2"/>
  <c r="AJ142" i="2"/>
  <c r="AJ126" i="2"/>
  <c r="AJ104" i="2"/>
  <c r="AJ100" i="2"/>
  <c r="AJ16" i="2"/>
  <c r="AJ4" i="2"/>
  <c r="AJ617" i="2"/>
  <c r="AJ609" i="2"/>
  <c r="AJ601" i="2"/>
  <c r="AJ583" i="2"/>
  <c r="AJ567" i="2"/>
  <c r="AJ501" i="2"/>
  <c r="AJ485" i="2"/>
  <c r="AJ437" i="2"/>
  <c r="AJ433" i="2"/>
  <c r="AJ430" i="2"/>
  <c r="AJ422" i="2"/>
  <c r="AJ411" i="2"/>
  <c r="AJ403" i="2"/>
  <c r="AJ395" i="2"/>
  <c r="AJ208" i="2"/>
  <c r="AJ200" i="2"/>
  <c r="AJ196" i="2"/>
  <c r="AJ172" i="2"/>
  <c r="AJ160" i="2"/>
  <c r="AJ13" i="2"/>
  <c r="AJ615" i="2"/>
  <c r="AJ610" i="2"/>
  <c r="AJ404" i="2"/>
  <c r="AJ402" i="2"/>
  <c r="AJ620" i="2"/>
  <c r="AJ613" i="2"/>
  <c r="AJ604" i="2"/>
  <c r="AJ586" i="2"/>
  <c r="AJ577" i="2"/>
  <c r="AJ559" i="2"/>
  <c r="AJ550" i="2"/>
  <c r="AJ536" i="2"/>
  <c r="AJ527" i="2"/>
  <c r="AJ410" i="2"/>
  <c r="AJ398" i="2"/>
  <c r="AJ382" i="2"/>
  <c r="AJ354" i="2"/>
  <c r="AJ348" i="2"/>
  <c r="AJ335" i="2"/>
  <c r="AJ331" i="2"/>
  <c r="AJ324" i="2"/>
  <c r="AJ318" i="2"/>
  <c r="AJ308" i="2"/>
  <c r="AJ298" i="2"/>
  <c r="AJ292" i="2"/>
  <c r="AJ284" i="2"/>
  <c r="AJ278" i="2"/>
  <c r="AJ272" i="2"/>
  <c r="AJ268" i="2"/>
  <c r="AJ262" i="2"/>
  <c r="AJ256" i="2"/>
  <c r="AJ252" i="2"/>
  <c r="AJ240" i="2"/>
  <c r="AJ162" i="2"/>
  <c r="AJ155" i="2"/>
  <c r="AJ143" i="2"/>
  <c r="AJ141" i="2"/>
  <c r="AJ139" i="2"/>
  <c r="AJ137" i="2"/>
  <c r="AJ135" i="2"/>
  <c r="AJ133" i="2"/>
  <c r="AJ131" i="2"/>
  <c r="AJ129" i="2"/>
  <c r="AJ127" i="2"/>
  <c r="AJ125" i="2"/>
  <c r="AJ123" i="2"/>
  <c r="AJ121" i="2"/>
  <c r="AJ119" i="2"/>
  <c r="AJ117" i="2"/>
  <c r="AJ115" i="2"/>
  <c r="AJ113" i="2"/>
  <c r="AJ111" i="2"/>
  <c r="AJ109" i="2"/>
  <c r="AJ107" i="2"/>
  <c r="AJ105" i="2"/>
  <c r="AJ103" i="2"/>
  <c r="AJ101" i="2"/>
  <c r="AJ99" i="2"/>
  <c r="AJ92" i="2"/>
  <c r="AJ58" i="2"/>
  <c r="AJ34" i="2"/>
  <c r="AJ18" i="2"/>
  <c r="AJ574" i="2"/>
  <c r="AJ568" i="2"/>
  <c r="AJ540" i="2"/>
  <c r="AJ526" i="2"/>
  <c r="AJ518" i="2"/>
  <c r="AJ506" i="2"/>
  <c r="AJ498" i="2"/>
  <c r="AJ311" i="2"/>
  <c r="AJ307" i="2"/>
  <c r="AJ303" i="2"/>
  <c r="AJ299" i="2"/>
  <c r="AJ295" i="2"/>
  <c r="AJ291" i="2"/>
  <c r="AJ154" i="2"/>
  <c r="AJ128" i="2"/>
  <c r="AJ114" i="2"/>
  <c r="AJ106" i="2"/>
  <c r="AJ8" i="2"/>
  <c r="AJ605" i="2"/>
  <c r="AJ597" i="2"/>
  <c r="AJ594" i="2"/>
  <c r="AJ555" i="2"/>
  <c r="AJ539" i="2"/>
  <c r="AJ509" i="2"/>
  <c r="AJ494" i="2"/>
  <c r="AJ441" i="2"/>
  <c r="AJ222" i="2"/>
  <c r="AJ210" i="2"/>
  <c r="AJ180" i="2"/>
  <c r="AJ167" i="2"/>
  <c r="AJ156" i="2"/>
  <c r="AJ21" i="2"/>
  <c r="AJ619" i="2"/>
  <c r="AJ588" i="2"/>
  <c r="AJ535" i="2"/>
  <c r="AJ532" i="2"/>
  <c r="AJ523" i="2"/>
  <c r="AJ511" i="2"/>
  <c r="AJ489" i="2"/>
  <c r="AJ486" i="2"/>
  <c r="AJ482" i="2"/>
  <c r="AJ471" i="2"/>
  <c r="AJ412" i="2"/>
  <c r="AJ400" i="2"/>
  <c r="AJ340" i="2"/>
  <c r="AJ152" i="2"/>
  <c r="AJ90" i="2"/>
  <c r="AJ558" i="2"/>
  <c r="AJ220" i="2"/>
  <c r="AJ212" i="2"/>
  <c r="AJ198" i="2"/>
  <c r="AJ69" i="2"/>
  <c r="AJ53" i="2"/>
  <c r="AJ33" i="2"/>
  <c r="AG562" i="2"/>
  <c r="AG554" i="2"/>
  <c r="AG543" i="2"/>
  <c r="AG620" i="2"/>
  <c r="AG613" i="2"/>
  <c r="AG608" i="2"/>
  <c r="AG604" i="2"/>
  <c r="AG600" i="2"/>
  <c r="AG596" i="2"/>
  <c r="AG586" i="2"/>
  <c r="AG579" i="2"/>
  <c r="AG577" i="2"/>
  <c r="AG573" i="2"/>
  <c r="AG571" i="2"/>
  <c r="AJ562" i="2"/>
  <c r="AG559" i="2"/>
  <c r="AG550" i="2"/>
  <c r="AJ543" i="2"/>
  <c r="AG536" i="2"/>
  <c r="AJ531" i="2"/>
  <c r="AG527" i="2"/>
  <c r="AJ524" i="2"/>
  <c r="AJ519" i="2"/>
  <c r="AJ515" i="2"/>
  <c r="AG512" i="2"/>
  <c r="AG504" i="2"/>
  <c r="AG496" i="2"/>
  <c r="AG490" i="2"/>
  <c r="AG475" i="2"/>
  <c r="AJ472" i="2"/>
  <c r="AG469" i="2"/>
  <c r="AG467" i="2"/>
  <c r="AJ464" i="2"/>
  <c r="AG462" i="2"/>
  <c r="AJ460" i="2"/>
  <c r="AG458" i="2"/>
  <c r="AJ454" i="2"/>
  <c r="AJ451" i="2"/>
  <c r="AG431" i="2"/>
  <c r="AG423" i="2"/>
  <c r="AJ419" i="2"/>
  <c r="AJ416" i="2"/>
  <c r="AG410" i="2"/>
  <c r="AG406" i="2"/>
  <c r="AJ406" i="2"/>
  <c r="AG398" i="2"/>
  <c r="AJ385" i="2"/>
  <c r="AJ376" i="2"/>
  <c r="AG376" i="2"/>
  <c r="AG374" i="2"/>
  <c r="AG372" i="2"/>
  <c r="AJ367" i="2"/>
  <c r="AG365" i="2"/>
  <c r="AG361" i="2"/>
  <c r="AJ350" i="2"/>
  <c r="AG348" i="2"/>
  <c r="AG344" i="2"/>
  <c r="AG339" i="2"/>
  <c r="AG335" i="2"/>
  <c r="AJ333" i="2"/>
  <c r="AG331" i="2"/>
  <c r="AG326" i="2"/>
  <c r="AG324" i="2"/>
  <c r="AG322" i="2"/>
  <c r="AG320" i="2"/>
  <c r="AG318" i="2"/>
  <c r="AG310" i="2"/>
  <c r="AG308" i="2"/>
  <c r="AG306" i="2"/>
  <c r="AG304" i="2"/>
  <c r="AG302" i="2"/>
  <c r="AG294" i="2"/>
  <c r="AG292" i="2"/>
  <c r="AG290" i="2"/>
  <c r="AG288" i="2"/>
  <c r="AG286" i="2"/>
  <c r="AG284" i="2"/>
  <c r="AG282" i="2"/>
  <c r="AG280" i="2"/>
  <c r="AG278" i="2"/>
  <c r="AG276" i="2"/>
  <c r="AG274" i="2"/>
  <c r="AG272" i="2"/>
  <c r="AG270" i="2"/>
  <c r="AG268" i="2"/>
  <c r="AG266" i="2"/>
  <c r="AG264" i="2"/>
  <c r="AG262" i="2"/>
  <c r="AG260" i="2"/>
  <c r="AG258" i="2"/>
  <c r="C260" i="4" s="1"/>
  <c r="AG256" i="2"/>
  <c r="C258" i="4" s="1"/>
  <c r="AG254" i="2"/>
  <c r="C256" i="4" s="1"/>
  <c r="AG252" i="2"/>
  <c r="C254" i="4" s="1"/>
  <c r="AG250" i="2"/>
  <c r="C252" i="4" s="1"/>
  <c r="AG248" i="2"/>
  <c r="C250" i="4" s="1"/>
  <c r="AG246" i="2"/>
  <c r="C248" i="4" s="1"/>
  <c r="AG244" i="2"/>
  <c r="C246" i="4" s="1"/>
  <c r="AG242" i="2"/>
  <c r="C244" i="4" s="1"/>
  <c r="AG240" i="2"/>
  <c r="C242" i="4" s="1"/>
  <c r="AG238" i="2"/>
  <c r="C240" i="4" s="1"/>
  <c r="AG236" i="2"/>
  <c r="C238" i="4" s="1"/>
  <c r="AG234" i="2"/>
  <c r="C236" i="4" s="1"/>
  <c r="AG169" i="2"/>
  <c r="C171" i="4" s="1"/>
  <c r="AG155" i="2"/>
  <c r="C157" i="4" s="1"/>
  <c r="AG153" i="2"/>
  <c r="C155" i="4" s="1"/>
  <c r="AG143" i="2"/>
  <c r="C145" i="4" s="1"/>
  <c r="AG141" i="2"/>
  <c r="C143" i="4" s="1"/>
  <c r="AG139" i="2"/>
  <c r="C141" i="4" s="1"/>
  <c r="AG137" i="2"/>
  <c r="C139" i="4" s="1"/>
  <c r="AG135" i="2"/>
  <c r="C137" i="4" s="1"/>
  <c r="AG133" i="2"/>
  <c r="C135" i="4" s="1"/>
  <c r="AG131" i="2"/>
  <c r="C133" i="4" s="1"/>
  <c r="AG129" i="2"/>
  <c r="C131" i="4" s="1"/>
  <c r="AG127" i="2"/>
  <c r="C129" i="4" s="1"/>
  <c r="AG125" i="2"/>
  <c r="C127" i="4" s="1"/>
  <c r="AG123" i="2"/>
  <c r="C125" i="4" s="1"/>
  <c r="AG121" i="2"/>
  <c r="C123" i="4" s="1"/>
  <c r="AG119" i="2"/>
  <c r="C121" i="4" s="1"/>
  <c r="AG117" i="2"/>
  <c r="C119" i="4" s="1"/>
  <c r="AG115" i="2"/>
  <c r="C117" i="4" s="1"/>
  <c r="AG113" i="2"/>
  <c r="C115" i="4" s="1"/>
  <c r="AG111" i="2"/>
  <c r="C113" i="4" s="1"/>
  <c r="AG109" i="2"/>
  <c r="C111" i="4" s="1"/>
  <c r="AG107" i="2"/>
  <c r="C109" i="4" s="1"/>
  <c r="AG105" i="2"/>
  <c r="C107" i="4" s="1"/>
  <c r="AG103" i="2"/>
  <c r="C105" i="4" s="1"/>
  <c r="AG101" i="2"/>
  <c r="C103" i="4" s="1"/>
  <c r="AG99" i="2"/>
  <c r="C101" i="4" s="1"/>
  <c r="AG98" i="2"/>
  <c r="C100" i="4" s="1"/>
  <c r="AG96" i="2"/>
  <c r="C98" i="4" s="1"/>
  <c r="AG94" i="2"/>
  <c r="C96" i="4" s="1"/>
  <c r="AG92" i="2"/>
  <c r="C94" i="4" s="1"/>
  <c r="AJ3" i="2"/>
  <c r="E5" i="4"/>
  <c r="AJ74" i="2"/>
  <c r="E76" i="4"/>
  <c r="AG74" i="2"/>
  <c r="C76" i="4" s="1"/>
  <c r="AG66" i="2"/>
  <c r="C68" i="4" s="1"/>
  <c r="AG54" i="2"/>
  <c r="C56" i="4" s="1"/>
  <c r="AG50" i="2"/>
  <c r="C52" i="4" s="1"/>
  <c r="AG42" i="2"/>
  <c r="C44" i="4" s="1"/>
  <c r="AG30" i="2"/>
  <c r="C32" i="4" s="1"/>
  <c r="AJ26" i="2"/>
  <c r="AG26" i="2"/>
  <c r="C28" i="4" s="1"/>
  <c r="AG618" i="2"/>
  <c r="AJ611" i="2"/>
  <c r="AG606" i="2"/>
  <c r="AJ602" i="2"/>
  <c r="AG598" i="2"/>
  <c r="AG590" i="2"/>
  <c r="AG574" i="2"/>
  <c r="AG572" i="2"/>
  <c r="AG570" i="2"/>
  <c r="AJ561" i="2"/>
  <c r="AG556" i="2"/>
  <c r="AG553" i="2"/>
  <c r="AJ545" i="2"/>
  <c r="AG540" i="2"/>
  <c r="AG533" i="2"/>
  <c r="AG526" i="2"/>
  <c r="AG518" i="2"/>
  <c r="AJ516" i="2"/>
  <c r="AG514" i="2"/>
  <c r="AJ510" i="2"/>
  <c r="AG506" i="2"/>
  <c r="AJ502" i="2"/>
  <c r="AG498" i="2"/>
  <c r="AG493" i="2"/>
  <c r="AJ491" i="2"/>
  <c r="AG479" i="2"/>
  <c r="AJ476" i="2"/>
  <c r="AG474" i="2"/>
  <c r="AJ470" i="2"/>
  <c r="AG468" i="2"/>
  <c r="AJ466" i="2"/>
  <c r="AG463" i="2"/>
  <c r="AJ459" i="2"/>
  <c r="AG456" i="2"/>
  <c r="AJ452" i="2"/>
  <c r="AG450" i="2"/>
  <c r="AG427" i="2"/>
  <c r="AG421" i="2"/>
  <c r="AG418" i="2"/>
  <c r="AG415" i="2"/>
  <c r="AJ409" i="2"/>
  <c r="AG405" i="2"/>
  <c r="AJ397" i="2"/>
  <c r="AG383" i="2"/>
  <c r="AJ381" i="2"/>
  <c r="AG379" i="2"/>
  <c r="AJ375" i="2"/>
  <c r="AG373" i="2"/>
  <c r="AG366" i="2"/>
  <c r="AG355" i="2"/>
  <c r="AG351" i="2"/>
  <c r="AJ349" i="2"/>
  <c r="AG347" i="2"/>
  <c r="AG338" i="2"/>
  <c r="AG336" i="2"/>
  <c r="AG334" i="2"/>
  <c r="AJ329" i="2"/>
  <c r="AG327" i="2"/>
  <c r="AG323" i="2"/>
  <c r="AJ321" i="2"/>
  <c r="AG319" i="2"/>
  <c r="AJ317" i="2"/>
  <c r="AG315" i="2"/>
  <c r="AJ313" i="2"/>
  <c r="AG311" i="2"/>
  <c r="AJ309" i="2"/>
  <c r="AG307" i="2"/>
  <c r="AJ305" i="2"/>
  <c r="AG303" i="2"/>
  <c r="AJ301" i="2"/>
  <c r="AG299" i="2"/>
  <c r="AJ297" i="2"/>
  <c r="AG295" i="2"/>
  <c r="AJ293" i="2"/>
  <c r="AG291" i="2"/>
  <c r="AJ289" i="2"/>
  <c r="AJ287" i="2"/>
  <c r="AJ283" i="2"/>
  <c r="AJ279" i="2"/>
  <c r="AJ277" i="2"/>
  <c r="AJ275" i="2"/>
  <c r="AJ271" i="2"/>
  <c r="AJ269" i="2"/>
  <c r="AJ267" i="2"/>
  <c r="AJ265" i="2"/>
  <c r="AJ263" i="2"/>
  <c r="AJ261" i="2"/>
  <c r="AJ259" i="2"/>
  <c r="AJ255" i="2"/>
  <c r="AJ253" i="2"/>
  <c r="AJ251" i="2"/>
  <c r="AJ249" i="2"/>
  <c r="AJ247" i="2"/>
  <c r="AJ243" i="2"/>
  <c r="AJ241" i="2"/>
  <c r="AJ239" i="2"/>
  <c r="AJ235" i="2"/>
  <c r="AG161" i="2"/>
  <c r="C163" i="4" s="1"/>
  <c r="AJ97" i="2"/>
  <c r="AJ95" i="2"/>
  <c r="AJ93" i="2"/>
  <c r="AG81" i="2"/>
  <c r="C83" i="4" s="1"/>
  <c r="AG82" i="2"/>
  <c r="C84" i="4" s="1"/>
  <c r="AG72" i="2"/>
  <c r="C74" i="4" s="1"/>
  <c r="AG68" i="2"/>
  <c r="C70" i="4" s="1"/>
  <c r="AJ60" i="2"/>
  <c r="E62" i="4"/>
  <c r="AG60" i="2"/>
  <c r="C62" i="4" s="1"/>
  <c r="AJ52" i="2"/>
  <c r="AG52" i="2"/>
  <c r="C54" i="4" s="1"/>
  <c r="AG44" i="2"/>
  <c r="C46" i="4" s="1"/>
  <c r="AG40" i="2"/>
  <c r="C42" i="4" s="1"/>
  <c r="AJ32" i="2"/>
  <c r="AG32" i="2"/>
  <c r="C34" i="4" s="1"/>
  <c r="AJ28" i="2"/>
  <c r="E30" i="4"/>
  <c r="AG28" i="2"/>
  <c r="C30" i="4" s="1"/>
  <c r="AJ24" i="2"/>
  <c r="AG24" i="2"/>
  <c r="C26" i="4" s="1"/>
  <c r="AG16" i="2"/>
  <c r="C18" i="4" s="1"/>
  <c r="AG12" i="2"/>
  <c r="C14" i="4" s="1"/>
  <c r="AG4" i="2"/>
  <c r="C6" i="4" s="1"/>
  <c r="AG617" i="2"/>
  <c r="AG609" i="2"/>
  <c r="AG605" i="2"/>
  <c r="AG601" i="2"/>
  <c r="AG597" i="2"/>
  <c r="AG594" i="2"/>
  <c r="AG589" i="2"/>
  <c r="AJ563" i="2"/>
  <c r="AG555" i="2"/>
  <c r="AJ547" i="2"/>
  <c r="AG539" i="2"/>
  <c r="AJ530" i="2"/>
  <c r="AG521" i="2"/>
  <c r="AG509" i="2"/>
  <c r="AG501" i="2"/>
  <c r="AG494" i="2"/>
  <c r="AG449" i="2"/>
  <c r="AG445" i="2"/>
  <c r="AG441" i="2"/>
  <c r="AG437" i="2"/>
  <c r="AG433" i="2"/>
  <c r="AG430" i="2"/>
  <c r="AJ428" i="2"/>
  <c r="AG425" i="2"/>
  <c r="AG422" i="2"/>
  <c r="AJ413" i="2"/>
  <c r="AG411" i="2"/>
  <c r="AJ407" i="2"/>
  <c r="AG403" i="2"/>
  <c r="AJ399" i="2"/>
  <c r="AG395" i="2"/>
  <c r="AG370" i="2"/>
  <c r="AG356" i="2"/>
  <c r="AJ342" i="2"/>
  <c r="AG167" i="2"/>
  <c r="C169" i="4" s="1"/>
  <c r="AG160" i="2"/>
  <c r="C162" i="4" s="1"/>
  <c r="AG156" i="2"/>
  <c r="C158" i="4" s="1"/>
  <c r="AG149" i="2"/>
  <c r="C151" i="4" s="1"/>
  <c r="AG91" i="2"/>
  <c r="C93" i="4" s="1"/>
  <c r="AG29" i="2"/>
  <c r="C31" i="4" s="1"/>
  <c r="AG13" i="2"/>
  <c r="C15" i="4" s="1"/>
  <c r="AG5" i="2"/>
  <c r="C7" i="4" s="1"/>
  <c r="AG619" i="2"/>
  <c r="AG615" i="2"/>
  <c r="AG610" i="2"/>
  <c r="AG607" i="2"/>
  <c r="AG603" i="2"/>
  <c r="AJ580" i="2"/>
  <c r="AG580" i="2"/>
  <c r="AG575" i="2"/>
  <c r="AG565" i="2"/>
  <c r="AJ557" i="2"/>
  <c r="AG552" i="2"/>
  <c r="AG549" i="2"/>
  <c r="AG541" i="2"/>
  <c r="AJ538" i="2"/>
  <c r="AG535" i="2"/>
  <c r="AG532" i="2"/>
  <c r="AJ528" i="2"/>
  <c r="AG523" i="2"/>
  <c r="AG511" i="2"/>
  <c r="AJ507" i="2"/>
  <c r="AG503" i="2"/>
  <c r="AG499" i="2"/>
  <c r="AJ495" i="2"/>
  <c r="AG489" i="2"/>
  <c r="AG486" i="2"/>
  <c r="AG482" i="2"/>
  <c r="AG477" i="2"/>
  <c r="AG471" i="2"/>
  <c r="AG457" i="2"/>
  <c r="AG453" i="2"/>
  <c r="AG448" i="2"/>
  <c r="AJ446" i="2"/>
  <c r="AG444" i="2"/>
  <c r="AJ442" i="2"/>
  <c r="AG440" i="2"/>
  <c r="AJ438" i="2"/>
  <c r="AG436" i="2"/>
  <c r="AJ434" i="2"/>
  <c r="AG432" i="2"/>
  <c r="AJ426" i="2"/>
  <c r="AG424" i="2"/>
  <c r="AJ420" i="2"/>
  <c r="AG414" i="2"/>
  <c r="AG412" i="2"/>
  <c r="AG389" i="2"/>
  <c r="AJ387" i="2"/>
  <c r="AG371" i="2"/>
  <c r="AJ369" i="2"/>
  <c r="AG363" i="2"/>
  <c r="AJ359" i="2"/>
  <c r="AJ357" i="2"/>
  <c r="AJ346" i="2"/>
  <c r="AG346" i="2"/>
  <c r="AG340" i="2"/>
  <c r="AJ231" i="2"/>
  <c r="AJ227" i="2"/>
  <c r="AJ225" i="2"/>
  <c r="AJ223" i="2"/>
  <c r="AJ219" i="2"/>
  <c r="AG168" i="2"/>
  <c r="C170" i="4" s="1"/>
  <c r="AG159" i="2"/>
  <c r="C161" i="4" s="1"/>
  <c r="AG157" i="2"/>
  <c r="C159" i="4" s="1"/>
  <c r="AG86" i="2"/>
  <c r="C88" i="4" s="1"/>
  <c r="AG85" i="2"/>
  <c r="C87" i="4" s="1"/>
  <c r="AG83" i="2"/>
  <c r="C85" i="4" s="1"/>
  <c r="AG79" i="2"/>
  <c r="C81" i="4" s="1"/>
  <c r="AG75" i="2"/>
  <c r="C77" i="4" s="1"/>
  <c r="AG63" i="2"/>
  <c r="C65" i="4" s="1"/>
  <c r="AG55" i="2"/>
  <c r="C57" i="4" s="1"/>
  <c r="AG47" i="2"/>
  <c r="C49" i="4" s="1"/>
  <c r="AG39" i="2"/>
  <c r="C41" i="4" s="1"/>
  <c r="AG31" i="2"/>
  <c r="C33" i="4" s="1"/>
  <c r="AG23" i="2"/>
  <c r="C25" i="4" s="1"/>
  <c r="AG15" i="2"/>
  <c r="C17" i="4" s="1"/>
  <c r="AG7" i="2"/>
  <c r="C9" i="4" s="1"/>
  <c r="AG587" i="2"/>
  <c r="AG551" i="2"/>
  <c r="AG542" i="2"/>
  <c r="AG513" i="2"/>
  <c r="AG497" i="2"/>
  <c r="AG488" i="2"/>
  <c r="AJ455" i="2"/>
  <c r="AG447" i="2"/>
  <c r="AJ443" i="2"/>
  <c r="AG439" i="2"/>
  <c r="AJ435" i="2"/>
  <c r="AG401" i="2"/>
  <c r="AJ393" i="2"/>
  <c r="AG377" i="2"/>
  <c r="AJ345" i="2"/>
  <c r="AG230" i="2"/>
  <c r="C232" i="4" s="1"/>
  <c r="AG226" i="2"/>
  <c r="C228" i="4" s="1"/>
  <c r="AG224" i="2"/>
  <c r="C226" i="4" s="1"/>
  <c r="AG220" i="2"/>
  <c r="C222" i="4" s="1"/>
  <c r="AG216" i="2"/>
  <c r="C218" i="4" s="1"/>
  <c r="AG212" i="2"/>
  <c r="C214" i="4" s="1"/>
  <c r="AG206" i="2"/>
  <c r="C208" i="4" s="1"/>
  <c r="AG202" i="2"/>
  <c r="C204" i="4" s="1"/>
  <c r="AG198" i="2"/>
  <c r="C200" i="4" s="1"/>
  <c r="AG194" i="2"/>
  <c r="C196" i="4" s="1"/>
  <c r="AG190" i="2"/>
  <c r="C192" i="4" s="1"/>
  <c r="AG186" i="2"/>
  <c r="C188" i="4" s="1"/>
  <c r="AG182" i="2"/>
  <c r="C184" i="4" s="1"/>
  <c r="AG178" i="2"/>
  <c r="C180" i="4" s="1"/>
  <c r="AG174" i="2"/>
  <c r="C176" i="4" s="1"/>
  <c r="AG170" i="2"/>
  <c r="C172" i="4" s="1"/>
  <c r="AG165" i="2"/>
  <c r="C167" i="4" s="1"/>
  <c r="AG151" i="2"/>
  <c r="C153" i="4" s="1"/>
  <c r="AJ77" i="2"/>
  <c r="AG77" i="2"/>
  <c r="C79" i="4" s="1"/>
  <c r="AG65" i="2"/>
  <c r="C67" i="4" s="1"/>
  <c r="AG57" i="2"/>
  <c r="C59" i="4" s="1"/>
  <c r="AG49" i="2"/>
  <c r="C51" i="4" s="1"/>
  <c r="AG37" i="2"/>
  <c r="C39" i="4" s="1"/>
  <c r="AG25" i="2"/>
  <c r="C27" i="4" s="1"/>
  <c r="AG9" i="2"/>
  <c r="C11" i="4" s="1"/>
  <c r="AG616" i="2"/>
  <c r="AG591" i="2"/>
  <c r="AJ582" i="2"/>
  <c r="AG582" i="2"/>
  <c r="AG569" i="2"/>
  <c r="AG566" i="2"/>
  <c r="AJ546" i="2"/>
  <c r="AG546" i="2"/>
  <c r="AG531" i="2"/>
  <c r="AG524" i="2"/>
  <c r="AG519" i="2"/>
  <c r="AG517" i="2"/>
  <c r="AG515" i="2"/>
  <c r="AG508" i="2"/>
  <c r="AG500" i="2"/>
  <c r="AG492" i="2"/>
  <c r="AG481" i="2"/>
  <c r="AG478" i="2"/>
  <c r="AG472" i="2"/>
  <c r="AG464" i="2"/>
  <c r="AG460" i="2"/>
  <c r="AG454" i="2"/>
  <c r="AG451" i="2"/>
  <c r="AG419" i="2"/>
  <c r="AG416" i="2"/>
  <c r="AG391" i="2"/>
  <c r="AG385" i="2"/>
  <c r="AG382" i="2"/>
  <c r="AG380" i="2"/>
  <c r="AG367" i="2"/>
  <c r="AG354" i="2"/>
  <c r="AG352" i="2"/>
  <c r="AG350" i="2"/>
  <c r="AG337" i="2"/>
  <c r="AG333" i="2"/>
  <c r="AG328" i="2"/>
  <c r="AG316" i="2"/>
  <c r="AG314" i="2"/>
  <c r="AG312" i="2"/>
  <c r="AG300" i="2"/>
  <c r="AG298" i="2"/>
  <c r="AG296" i="2"/>
  <c r="AG162" i="2"/>
  <c r="C164" i="4" s="1"/>
  <c r="AG3" i="2"/>
  <c r="C5" i="4" s="1"/>
  <c r="D5" i="4"/>
  <c r="AG78" i="2"/>
  <c r="C80" i="4" s="1"/>
  <c r="AG70" i="2"/>
  <c r="C72" i="4" s="1"/>
  <c r="AG62" i="2"/>
  <c r="C64" i="4" s="1"/>
  <c r="AG58" i="2"/>
  <c r="C60" i="4" s="1"/>
  <c r="AG46" i="2"/>
  <c r="C48" i="4" s="1"/>
  <c r="AG38" i="2"/>
  <c r="C40" i="4" s="1"/>
  <c r="AG34" i="2"/>
  <c r="C36" i="4" s="1"/>
  <c r="AG22" i="2"/>
  <c r="C24" i="4" s="1"/>
  <c r="AG18" i="2"/>
  <c r="C20" i="4" s="1"/>
  <c r="AG14" i="2"/>
  <c r="C16" i="4" s="1"/>
  <c r="AG10" i="2"/>
  <c r="C12" i="4" s="1"/>
  <c r="AG6" i="2"/>
  <c r="C8" i="4" s="1"/>
  <c r="AG614" i="2"/>
  <c r="AG611" i="2"/>
  <c r="AG602" i="2"/>
  <c r="AG593" i="2"/>
  <c r="AJ584" i="2"/>
  <c r="AG584" i="2"/>
  <c r="AG581" i="2"/>
  <c r="AG578" i="2"/>
  <c r="AG568" i="2"/>
  <c r="AG564" i="2"/>
  <c r="AG561" i="2"/>
  <c r="AG548" i="2"/>
  <c r="AG545" i="2"/>
  <c r="AG529" i="2"/>
  <c r="AG522" i="2"/>
  <c r="AG516" i="2"/>
  <c r="AG510" i="2"/>
  <c r="AG502" i="2"/>
  <c r="AG491" i="2"/>
  <c r="AG487" i="2"/>
  <c r="AG476" i="2"/>
  <c r="AG470" i="2"/>
  <c r="AG466" i="2"/>
  <c r="AG461" i="2"/>
  <c r="AG459" i="2"/>
  <c r="AG452" i="2"/>
  <c r="AG409" i="2"/>
  <c r="AG397" i="2"/>
  <c r="AG386" i="2"/>
  <c r="AG381" i="2"/>
  <c r="AG375" i="2"/>
  <c r="AG368" i="2"/>
  <c r="AJ362" i="2"/>
  <c r="AG362" i="2"/>
  <c r="AG353" i="2"/>
  <c r="AG349" i="2"/>
  <c r="AG341" i="2"/>
  <c r="AG332" i="2"/>
  <c r="AG329" i="2"/>
  <c r="AG325" i="2"/>
  <c r="AG321" i="2"/>
  <c r="AG317" i="2"/>
  <c r="AG313" i="2"/>
  <c r="AG309" i="2"/>
  <c r="AG305" i="2"/>
  <c r="AG301" i="2"/>
  <c r="AG297" i="2"/>
  <c r="AG293" i="2"/>
  <c r="AG289" i="2"/>
  <c r="AG287" i="2"/>
  <c r="AG285" i="2"/>
  <c r="AG283" i="2"/>
  <c r="AG281" i="2"/>
  <c r="AG279" i="2"/>
  <c r="AG277" i="2"/>
  <c r="AG275" i="2"/>
  <c r="AG273" i="2"/>
  <c r="AG271" i="2"/>
  <c r="AG269" i="2"/>
  <c r="AG267" i="2"/>
  <c r="AG265" i="2"/>
  <c r="AG263" i="2"/>
  <c r="AG261" i="2"/>
  <c r="AG259" i="2"/>
  <c r="C261" i="4" s="1"/>
  <c r="AG257" i="2"/>
  <c r="C259" i="4" s="1"/>
  <c r="AG255" i="2"/>
  <c r="C257" i="4" s="1"/>
  <c r="AG253" i="2"/>
  <c r="C255" i="4" s="1"/>
  <c r="AG251" i="2"/>
  <c r="C253" i="4" s="1"/>
  <c r="AG249" i="2"/>
  <c r="C251" i="4" s="1"/>
  <c r="AG247" i="2"/>
  <c r="C249" i="4" s="1"/>
  <c r="AG245" i="2"/>
  <c r="C247" i="4" s="1"/>
  <c r="AG243" i="2"/>
  <c r="C245" i="4" s="1"/>
  <c r="AG241" i="2"/>
  <c r="C243" i="4" s="1"/>
  <c r="AG239" i="2"/>
  <c r="C241" i="4" s="1"/>
  <c r="AG237" i="2"/>
  <c r="C239" i="4" s="1"/>
  <c r="AG235" i="2"/>
  <c r="C237" i="4" s="1"/>
  <c r="AG233" i="2"/>
  <c r="C235" i="4" s="1"/>
  <c r="AG163" i="2"/>
  <c r="C165" i="4" s="1"/>
  <c r="AG154" i="2"/>
  <c r="C156" i="4" s="1"/>
  <c r="AG144" i="2"/>
  <c r="C146" i="4" s="1"/>
  <c r="AG142" i="2"/>
  <c r="C144" i="4" s="1"/>
  <c r="AG140" i="2"/>
  <c r="C142" i="4" s="1"/>
  <c r="AG138" i="2"/>
  <c r="C140" i="4" s="1"/>
  <c r="AG136" i="2"/>
  <c r="C138" i="4" s="1"/>
  <c r="AG134" i="2"/>
  <c r="C136" i="4" s="1"/>
  <c r="AG132" i="2"/>
  <c r="C134" i="4" s="1"/>
  <c r="AG130" i="2"/>
  <c r="C132" i="4" s="1"/>
  <c r="AG128" i="2"/>
  <c r="C130" i="4" s="1"/>
  <c r="AG126" i="2"/>
  <c r="C128" i="4" s="1"/>
  <c r="AG124" i="2"/>
  <c r="C126" i="4" s="1"/>
  <c r="AG122" i="2"/>
  <c r="C124" i="4" s="1"/>
  <c r="AG120" i="2"/>
  <c r="C122" i="4" s="1"/>
  <c r="AG118" i="2"/>
  <c r="C120" i="4" s="1"/>
  <c r="AG116" i="2"/>
  <c r="C118" i="4" s="1"/>
  <c r="AG114" i="2"/>
  <c r="C116" i="4" s="1"/>
  <c r="AG112" i="2"/>
  <c r="C114" i="4" s="1"/>
  <c r="AG110" i="2"/>
  <c r="C112" i="4" s="1"/>
  <c r="AG108" i="2"/>
  <c r="C110" i="4" s="1"/>
  <c r="AG106" i="2"/>
  <c r="C108" i="4" s="1"/>
  <c r="AG104" i="2"/>
  <c r="C106" i="4" s="1"/>
  <c r="AG102" i="2"/>
  <c r="C104" i="4" s="1"/>
  <c r="AG100" i="2"/>
  <c r="C102" i="4" s="1"/>
  <c r="AG232" i="2"/>
  <c r="C234" i="4" s="1"/>
  <c r="AG97" i="2"/>
  <c r="C99" i="4" s="1"/>
  <c r="AG95" i="2"/>
  <c r="C97" i="4" s="1"/>
  <c r="AG93" i="2"/>
  <c r="C95" i="4" s="1"/>
  <c r="AG80" i="2"/>
  <c r="C82" i="4" s="1"/>
  <c r="AG76" i="2"/>
  <c r="C78" i="4" s="1"/>
  <c r="AJ64" i="2"/>
  <c r="E66" i="4"/>
  <c r="AG64" i="2"/>
  <c r="C66" i="4" s="1"/>
  <c r="AG56" i="2"/>
  <c r="C58" i="4" s="1"/>
  <c r="AJ48" i="2"/>
  <c r="E50" i="4"/>
  <c r="AG48" i="2"/>
  <c r="C50" i="4" s="1"/>
  <c r="AJ44" i="2"/>
  <c r="E46" i="4"/>
  <c r="AJ36" i="2"/>
  <c r="E38" i="4"/>
  <c r="AG36" i="2"/>
  <c r="C38" i="4" s="1"/>
  <c r="AJ20" i="2"/>
  <c r="E22" i="4"/>
  <c r="AG20" i="2"/>
  <c r="C22" i="4" s="1"/>
  <c r="AJ12" i="2"/>
  <c r="E14" i="4"/>
  <c r="AG8" i="2"/>
  <c r="C10" i="4" s="1"/>
  <c r="AG612" i="2"/>
  <c r="AG583" i="2"/>
  <c r="AG576" i="2"/>
  <c r="AG567" i="2"/>
  <c r="AG563" i="2"/>
  <c r="AG547" i="2"/>
  <c r="AG537" i="2"/>
  <c r="AG530" i="2"/>
  <c r="AG485" i="2"/>
  <c r="AG480" i="2"/>
  <c r="AG465" i="2"/>
  <c r="AG428" i="2"/>
  <c r="AJ417" i="2"/>
  <c r="AG417" i="2"/>
  <c r="AG413" i="2"/>
  <c r="AG407" i="2"/>
  <c r="AG399" i="2"/>
  <c r="AG390" i="2"/>
  <c r="AG384" i="2"/>
  <c r="AG360" i="2"/>
  <c r="AG342" i="2"/>
  <c r="AG228" i="2"/>
  <c r="C230" i="4" s="1"/>
  <c r="AG222" i="2"/>
  <c r="C224" i="4" s="1"/>
  <c r="AG218" i="2"/>
  <c r="C220" i="4" s="1"/>
  <c r="AG214" i="2"/>
  <c r="C216" i="4" s="1"/>
  <c r="AG210" i="2"/>
  <c r="C212" i="4" s="1"/>
  <c r="AG208" i="2"/>
  <c r="C210" i="4" s="1"/>
  <c r="AG204" i="2"/>
  <c r="C206" i="4" s="1"/>
  <c r="AG200" i="2"/>
  <c r="C202" i="4" s="1"/>
  <c r="AG196" i="2"/>
  <c r="C198" i="4" s="1"/>
  <c r="AG192" i="2"/>
  <c r="C194" i="4" s="1"/>
  <c r="AG188" i="2"/>
  <c r="C190" i="4" s="1"/>
  <c r="AG184" i="2"/>
  <c r="C186" i="4" s="1"/>
  <c r="AG180" i="2"/>
  <c r="C182" i="4" s="1"/>
  <c r="AG176" i="2"/>
  <c r="C178" i="4" s="1"/>
  <c r="AG172" i="2"/>
  <c r="C174" i="4" s="1"/>
  <c r="AG145" i="2"/>
  <c r="C147" i="4" s="1"/>
  <c r="AG89" i="2"/>
  <c r="C91" i="4" s="1"/>
  <c r="AG87" i="2"/>
  <c r="C89" i="4" s="1"/>
  <c r="AG41" i="2"/>
  <c r="C43" i="4" s="1"/>
  <c r="AG21" i="2"/>
  <c r="C23" i="4" s="1"/>
  <c r="AG599" i="2"/>
  <c r="AG595" i="2"/>
  <c r="AG592" i="2"/>
  <c r="AG588" i="2"/>
  <c r="AG585" i="2"/>
  <c r="AG560" i="2"/>
  <c r="AG557" i="2"/>
  <c r="AG544" i="2"/>
  <c r="AG538" i="2"/>
  <c r="AG528" i="2"/>
  <c r="AG520" i="2"/>
  <c r="AG507" i="2"/>
  <c r="AG495" i="2"/>
  <c r="AG484" i="2"/>
  <c r="AG446" i="2"/>
  <c r="AG442" i="2"/>
  <c r="AG438" i="2"/>
  <c r="AG434" i="2"/>
  <c r="AG429" i="2"/>
  <c r="AG426" i="2"/>
  <c r="AG420" i="2"/>
  <c r="AJ408" i="2"/>
  <c r="AG408" i="2"/>
  <c r="AG404" i="2"/>
  <c r="AG402" i="2"/>
  <c r="AG400" i="2"/>
  <c r="AG396" i="2"/>
  <c r="AG394" i="2"/>
  <c r="AG392" i="2"/>
  <c r="AG387" i="2"/>
  <c r="AG378" i="2"/>
  <c r="AG369" i="2"/>
  <c r="AG359" i="2"/>
  <c r="AG357" i="2"/>
  <c r="AG343" i="2"/>
  <c r="AG231" i="2"/>
  <c r="C233" i="4" s="1"/>
  <c r="AG229" i="2"/>
  <c r="C231" i="4" s="1"/>
  <c r="AG227" i="2"/>
  <c r="C229" i="4" s="1"/>
  <c r="AG225" i="2"/>
  <c r="C227" i="4" s="1"/>
  <c r="AG223" i="2"/>
  <c r="C225" i="4" s="1"/>
  <c r="AG221" i="2"/>
  <c r="C223" i="4" s="1"/>
  <c r="AG219" i="2"/>
  <c r="C221" i="4" s="1"/>
  <c r="AG217" i="2"/>
  <c r="C219" i="4" s="1"/>
  <c r="AG215" i="2"/>
  <c r="C217" i="4" s="1"/>
  <c r="AG213" i="2"/>
  <c r="C215" i="4" s="1"/>
  <c r="AG211" i="2"/>
  <c r="C213" i="4" s="1"/>
  <c r="AG209" i="2"/>
  <c r="C211" i="4" s="1"/>
  <c r="AG207" i="2"/>
  <c r="C209" i="4" s="1"/>
  <c r="AG205" i="2"/>
  <c r="C207" i="4" s="1"/>
  <c r="AG203" i="2"/>
  <c r="C205" i="4" s="1"/>
  <c r="AG201" i="2"/>
  <c r="C203" i="4" s="1"/>
  <c r="AG199" i="2"/>
  <c r="C201" i="4" s="1"/>
  <c r="AG197" i="2"/>
  <c r="C199" i="4" s="1"/>
  <c r="AG195" i="2"/>
  <c r="C197" i="4" s="1"/>
  <c r="AG193" i="2"/>
  <c r="C195" i="4" s="1"/>
  <c r="AG191" i="2"/>
  <c r="C193" i="4" s="1"/>
  <c r="AG189" i="2"/>
  <c r="C191" i="4" s="1"/>
  <c r="AG187" i="2"/>
  <c r="C189" i="4" s="1"/>
  <c r="AG185" i="2"/>
  <c r="C187" i="4" s="1"/>
  <c r="AG183" i="2"/>
  <c r="C185" i="4" s="1"/>
  <c r="AG181" i="2"/>
  <c r="C183" i="4" s="1"/>
  <c r="AG179" i="2"/>
  <c r="C181" i="4" s="1"/>
  <c r="AG177" i="2"/>
  <c r="C179" i="4" s="1"/>
  <c r="AG175" i="2"/>
  <c r="C177" i="4" s="1"/>
  <c r="AG173" i="2"/>
  <c r="C175" i="4" s="1"/>
  <c r="AG171" i="2"/>
  <c r="C173" i="4" s="1"/>
  <c r="AJ168" i="2"/>
  <c r="AG166" i="2"/>
  <c r="C168" i="4" s="1"/>
  <c r="AG164" i="2"/>
  <c r="C166" i="4" s="1"/>
  <c r="AJ159" i="2"/>
  <c r="AG152" i="2"/>
  <c r="C154" i="4" s="1"/>
  <c r="AG150" i="2"/>
  <c r="C152" i="4" s="1"/>
  <c r="AG148" i="2"/>
  <c r="C150" i="4" s="1"/>
  <c r="AG146" i="2"/>
  <c r="C148" i="4" s="1"/>
  <c r="AG90" i="2"/>
  <c r="C92" i="4" s="1"/>
  <c r="AG88" i="2"/>
  <c r="C90" i="4" s="1"/>
  <c r="AJ79" i="2"/>
  <c r="AJ71" i="2"/>
  <c r="AG71" i="2"/>
  <c r="C73" i="4" s="1"/>
  <c r="AG67" i="2"/>
  <c r="C69" i="4" s="1"/>
  <c r="AJ63" i="2"/>
  <c r="AG59" i="2"/>
  <c r="C61" i="4" s="1"/>
  <c r="AJ55" i="2"/>
  <c r="AG51" i="2"/>
  <c r="C53" i="4" s="1"/>
  <c r="AJ47" i="2"/>
  <c r="AG43" i="2"/>
  <c r="C45" i="4" s="1"/>
  <c r="AJ39" i="2"/>
  <c r="AG35" i="2"/>
  <c r="C37" i="4" s="1"/>
  <c r="AJ31" i="2"/>
  <c r="AG27" i="2"/>
  <c r="C29" i="4" s="1"/>
  <c r="AJ23" i="2"/>
  <c r="AG19" i="2"/>
  <c r="C21" i="4" s="1"/>
  <c r="AJ15" i="2"/>
  <c r="AG11" i="2"/>
  <c r="C13" i="4" s="1"/>
  <c r="AJ7" i="2"/>
  <c r="AJ587" i="2"/>
  <c r="AG558" i="2"/>
  <c r="AJ551" i="2"/>
  <c r="AJ542" i="2"/>
  <c r="AG534" i="2"/>
  <c r="AG525" i="2"/>
  <c r="AG505" i="2"/>
  <c r="AG483" i="2"/>
  <c r="AG473" i="2"/>
  <c r="AG455" i="2"/>
  <c r="AG443" i="2"/>
  <c r="AG435" i="2"/>
  <c r="AG393" i="2"/>
  <c r="AG388" i="2"/>
  <c r="AJ364" i="2"/>
  <c r="AG364" i="2"/>
  <c r="AG358" i="2"/>
  <c r="AG345" i="2"/>
  <c r="AG330" i="2"/>
  <c r="AG158" i="2"/>
  <c r="C160" i="4" s="1"/>
  <c r="AG147" i="2"/>
  <c r="C149" i="4" s="1"/>
  <c r="AG84" i="2"/>
  <c r="C86" i="4" s="1"/>
  <c r="AG73" i="2"/>
  <c r="C75" i="4" s="1"/>
  <c r="AG69" i="2"/>
  <c r="C71" i="4" s="1"/>
  <c r="AG61" i="2"/>
  <c r="C63" i="4" s="1"/>
  <c r="AG53" i="2"/>
  <c r="C55" i="4" s="1"/>
  <c r="AG45" i="2"/>
  <c r="C47" i="4" s="1"/>
  <c r="AG33" i="2"/>
  <c r="C35" i="4" s="1"/>
  <c r="AG17" i="2"/>
  <c r="C19" i="4" s="1"/>
</calcChain>
</file>

<file path=xl/comments1.xml><?xml version="1.0" encoding="utf-8"?>
<comments xmlns="http://schemas.openxmlformats.org/spreadsheetml/2006/main">
  <authors>
    <author>作者</author>
  </authors>
  <commentList>
    <comment ref="D2" authorId="0">
      <text>
        <r>
          <rPr>
            <b/>
            <sz val="9"/>
            <color indexed="81"/>
            <rFont val="宋体"/>
            <charset val="134"/>
          </rPr>
          <t>作者:</t>
        </r>
        <r>
          <rPr>
            <sz val="9"/>
            <color indexed="81"/>
            <rFont val="宋体"/>
            <charset val="134"/>
          </rPr>
          <t xml:space="preserve">
基数为10000，独立概率</t>
        </r>
      </text>
    </commen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0、前后端
1、只前端
2、只后端</t>
        </r>
      </text>
    </comment>
    <comment ref="D4" authorId="0">
      <text>
        <r>
          <rPr>
            <b/>
            <sz val="9"/>
            <color indexed="81"/>
            <rFont val="宋体"/>
            <charset val="134"/>
          </rPr>
          <t>作者:</t>
        </r>
        <r>
          <rPr>
            <sz val="9"/>
            <color indexed="81"/>
            <rFont val="宋体"/>
            <charset val="134"/>
          </rPr>
          <t xml:space="preserve">
</t>
        </r>
        <r>
          <rPr>
            <sz val="12"/>
            <color indexed="81"/>
            <rFont val="宋体"/>
            <family val="3"/>
            <charset val="134"/>
          </rPr>
          <t xml:space="preserve">int：整数型
string：字符串类型
List：列表类型{X,X,X}
Map：{x=y}键值对应
MList:{X,X,X|X,X}
MMap:{x=y|x=y,x=y}
</t>
        </r>
      </text>
    </comment>
  </commentList>
</comments>
</file>

<file path=xl/sharedStrings.xml><?xml version="1.0" encoding="utf-8"?>
<sst xmlns="http://schemas.openxmlformats.org/spreadsheetml/2006/main" count="728" uniqueCount="388">
  <si>
    <t>编号</t>
  </si>
  <si>
    <t>条目</t>
  </si>
  <si>
    <t>掉落个数</t>
  </si>
  <si>
    <t>掉落总个数</t>
  </si>
  <si>
    <t>所属类型</t>
  </si>
  <si>
    <t>类型编号</t>
  </si>
  <si>
    <t>掉落1ID</t>
  </si>
  <si>
    <t>掉落2ID</t>
  </si>
  <si>
    <t>掉落3ID</t>
  </si>
  <si>
    <t>掉落4ID</t>
  </si>
  <si>
    <t>掉落5ID</t>
  </si>
  <si>
    <t>掉落6ID</t>
  </si>
  <si>
    <t>掉落7ID</t>
  </si>
  <si>
    <t>掉落8ID</t>
  </si>
  <si>
    <t>掉落9ID</t>
  </si>
  <si>
    <t>掉落10ID</t>
  </si>
  <si>
    <t>掉落1概率</t>
  </si>
  <si>
    <t>掉落2概率</t>
  </si>
  <si>
    <t>掉落3概率</t>
  </si>
  <si>
    <t>掉落4概率</t>
  </si>
  <si>
    <t>掉落5概率</t>
  </si>
  <si>
    <t>掉落6概率</t>
  </si>
  <si>
    <t>掉落7概率</t>
  </si>
  <si>
    <t>掉落8概率</t>
  </si>
  <si>
    <t>掉落9概率</t>
  </si>
  <si>
    <t>掉落10概率</t>
  </si>
  <si>
    <t>掉落ID</t>
  </si>
  <si>
    <t>掉落说明</t>
  </si>
  <si>
    <t>掉落细节ID</t>
  </si>
  <si>
    <t>掉落概率</t>
  </si>
  <si>
    <t>参数1</t>
  </si>
  <si>
    <t>参数2</t>
  </si>
  <si>
    <t>任务</t>
  </si>
  <si>
    <t>副本</t>
  </si>
  <si>
    <t>掉落编号</t>
  </si>
  <si>
    <t>掉落类型</t>
  </si>
  <si>
    <t>计算用：</t>
  </si>
  <si>
    <t>掉落入库：</t>
  </si>
  <si>
    <t>掉落子编号</t>
  </si>
  <si>
    <t>类型名称</t>
  </si>
  <si>
    <t>是否平均掉？</t>
  </si>
  <si>
    <t>掉落物品1</t>
  </si>
  <si>
    <t>掉落物品2</t>
  </si>
  <si>
    <t>掉落物品3</t>
  </si>
  <si>
    <t>掉落物品4</t>
  </si>
  <si>
    <t>掉落物品5</t>
  </si>
  <si>
    <t>掉落物品6</t>
  </si>
  <si>
    <t>掉落物品7</t>
  </si>
  <si>
    <t>掉落物品8</t>
  </si>
  <si>
    <t>掉落物品9</t>
  </si>
  <si>
    <t>掉落物品10</t>
  </si>
  <si>
    <t>掉落总和</t>
  </si>
  <si>
    <t>掉落概率1</t>
  </si>
  <si>
    <t>掉落概率2</t>
  </si>
  <si>
    <t>掉落概率3</t>
  </si>
  <si>
    <t>掉落概率4</t>
  </si>
  <si>
    <t>掉落概率5</t>
  </si>
  <si>
    <t>掉落概率6</t>
  </si>
  <si>
    <t>掉落概率7</t>
  </si>
  <si>
    <t>掉落概率8</t>
  </si>
  <si>
    <t>掉落概率9</t>
  </si>
  <si>
    <t>掉落概率10</t>
  </si>
  <si>
    <t>含行数</t>
  </si>
  <si>
    <t>行偏移</t>
  </si>
  <si>
    <t>序列</t>
  </si>
  <si>
    <t>掉落名称</t>
  </si>
  <si>
    <t>掉落物品ID</t>
  </si>
  <si>
    <t>基本掉落数量</t>
  </si>
  <si>
    <t>掉落组说明</t>
  </si>
  <si>
    <t>OPEN</t>
    <phoneticPr fontId="1" type="noConversion"/>
  </si>
  <si>
    <t>CLOSE</t>
  </si>
  <si>
    <t>CLOSE</t>
    <phoneticPr fontId="1" type="noConversion"/>
  </si>
  <si>
    <t>普通卡材料</t>
    <phoneticPr fontId="1" type="noConversion"/>
  </si>
  <si>
    <t>81110+2</t>
    <phoneticPr fontId="1" type="noConversion"/>
  </si>
  <si>
    <t>81110+3</t>
    <phoneticPr fontId="1" type="noConversion"/>
  </si>
  <si>
    <t>81110+4</t>
    <phoneticPr fontId="1" type="noConversion"/>
  </si>
  <si>
    <t>91120+1</t>
    <phoneticPr fontId="1" type="noConversion"/>
  </si>
  <si>
    <t>91120+2</t>
  </si>
  <si>
    <t>91120+3</t>
  </si>
  <si>
    <t>91130+1</t>
    <phoneticPr fontId="1" type="noConversion"/>
  </si>
  <si>
    <t>91130+2</t>
  </si>
  <si>
    <t>91130+3</t>
  </si>
  <si>
    <t>91140+1</t>
    <phoneticPr fontId="1" type="noConversion"/>
  </si>
  <si>
    <t>91140+2</t>
  </si>
  <si>
    <t>91140+3</t>
  </si>
  <si>
    <t>91220+1</t>
    <phoneticPr fontId="1" type="noConversion"/>
  </si>
  <si>
    <t>91220+2</t>
  </si>
  <si>
    <t>91220+3</t>
  </si>
  <si>
    <t>91230+1</t>
    <phoneticPr fontId="1" type="noConversion"/>
  </si>
  <si>
    <t>91240+1</t>
    <phoneticPr fontId="1" type="noConversion"/>
  </si>
  <si>
    <t>91320+1</t>
    <phoneticPr fontId="1" type="noConversion"/>
  </si>
  <si>
    <t>91330+1</t>
    <phoneticPr fontId="1" type="noConversion"/>
  </si>
  <si>
    <t>91340+1</t>
    <phoneticPr fontId="1" type="noConversion"/>
  </si>
  <si>
    <t>91230+2</t>
  </si>
  <si>
    <t>91230+3</t>
  </si>
  <si>
    <t>91240+2</t>
  </si>
  <si>
    <t>91240+3</t>
  </si>
  <si>
    <t>91320+2</t>
  </si>
  <si>
    <t>91320+3</t>
  </si>
  <si>
    <t>91330+2</t>
  </si>
  <si>
    <t>91330+3</t>
  </si>
  <si>
    <t>91340+2</t>
  </si>
  <si>
    <t>91340+3</t>
  </si>
  <si>
    <t>91420+1</t>
    <phoneticPr fontId="1" type="noConversion"/>
  </si>
  <si>
    <t>91430+1</t>
    <phoneticPr fontId="1" type="noConversion"/>
  </si>
  <si>
    <t>91440+1</t>
    <phoneticPr fontId="1" type="noConversion"/>
  </si>
  <si>
    <t>91520+1</t>
    <phoneticPr fontId="1" type="noConversion"/>
  </si>
  <si>
    <t>91530+1</t>
    <phoneticPr fontId="1" type="noConversion"/>
  </si>
  <si>
    <t>91540+1</t>
    <phoneticPr fontId="1" type="noConversion"/>
  </si>
  <si>
    <t>91620+1</t>
    <phoneticPr fontId="1" type="noConversion"/>
  </si>
  <si>
    <t>91630+1</t>
    <phoneticPr fontId="1" type="noConversion"/>
  </si>
  <si>
    <t>91640+1</t>
    <phoneticPr fontId="1" type="noConversion"/>
  </si>
  <si>
    <t>91720+1</t>
    <phoneticPr fontId="1" type="noConversion"/>
  </si>
  <si>
    <t>91730+1</t>
    <phoneticPr fontId="1" type="noConversion"/>
  </si>
  <si>
    <t>91740+1</t>
    <phoneticPr fontId="1" type="noConversion"/>
  </si>
  <si>
    <t>91420+2</t>
  </si>
  <si>
    <t>91420+3</t>
  </si>
  <si>
    <t>91430+2</t>
  </si>
  <si>
    <t>91430+3</t>
  </si>
  <si>
    <t>91440+2</t>
  </si>
  <si>
    <t>91440+3</t>
  </si>
  <si>
    <t>91520+2</t>
  </si>
  <si>
    <t>91520+3</t>
  </si>
  <si>
    <t>91530+2</t>
  </si>
  <si>
    <t>91530+3</t>
  </si>
  <si>
    <t>91540+2</t>
  </si>
  <si>
    <t>91540+3</t>
  </si>
  <si>
    <t>91620+2</t>
  </si>
  <si>
    <t>91620+3</t>
  </si>
  <si>
    <t>91630+2</t>
  </si>
  <si>
    <t>91630+3</t>
  </si>
  <si>
    <t>91640+2</t>
  </si>
  <si>
    <t>91640+3</t>
  </si>
  <si>
    <t>91720+2</t>
  </si>
  <si>
    <t>91720+3</t>
  </si>
  <si>
    <t>91730+2</t>
  </si>
  <si>
    <t>91730+3</t>
  </si>
  <si>
    <t>91740+2</t>
  </si>
  <si>
    <t>91740+3</t>
  </si>
  <si>
    <t>经验卡</t>
  </si>
  <si>
    <t>初级经验卡</t>
    <phoneticPr fontId="1" type="noConversion"/>
  </si>
  <si>
    <t>4001100+1</t>
    <phoneticPr fontId="1" type="noConversion"/>
  </si>
  <si>
    <t>4001100+2</t>
  </si>
  <si>
    <t>4001100+3</t>
  </si>
  <si>
    <t>经验卡</t>
    <phoneticPr fontId="1" type="noConversion"/>
  </si>
  <si>
    <t>装备设计图</t>
  </si>
  <si>
    <t>装备设计图</t>
    <phoneticPr fontId="1" type="noConversion"/>
  </si>
  <si>
    <t>卡碎片</t>
  </si>
  <si>
    <t>卡碎片</t>
    <phoneticPr fontId="1" type="noConversion"/>
  </si>
  <si>
    <t>卡碎片</t>
    <phoneticPr fontId="1" type="noConversion"/>
  </si>
  <si>
    <t>装备设计图</t>
    <phoneticPr fontId="1" type="noConversion"/>
  </si>
  <si>
    <t>71110+1</t>
    <phoneticPr fontId="1" type="noConversion"/>
  </si>
  <si>
    <t>71210+1</t>
    <phoneticPr fontId="1" type="noConversion"/>
  </si>
  <si>
    <t>71310+1</t>
    <phoneticPr fontId="1" type="noConversion"/>
  </si>
  <si>
    <t>71410+1</t>
    <phoneticPr fontId="1" type="noConversion"/>
  </si>
  <si>
    <t>71510+1</t>
    <phoneticPr fontId="1" type="noConversion"/>
  </si>
  <si>
    <t>71610+1</t>
    <phoneticPr fontId="1" type="noConversion"/>
  </si>
  <si>
    <t>71710+1</t>
    <phoneticPr fontId="1" type="noConversion"/>
  </si>
  <si>
    <t>是</t>
    <phoneticPr fontId="1" type="noConversion"/>
  </si>
  <si>
    <t>11001+1/3</t>
    <phoneticPr fontId="1" type="noConversion"/>
  </si>
  <si>
    <t>活动</t>
    <phoneticPr fontId="1" type="noConversion"/>
  </si>
  <si>
    <t>92130+3</t>
  </si>
  <si>
    <t>92140+3</t>
  </si>
  <si>
    <t>92220+3</t>
  </si>
  <si>
    <t>92230+3</t>
  </si>
  <si>
    <t>92240+3</t>
  </si>
  <si>
    <t>92320+3</t>
  </si>
  <si>
    <t>92330+3</t>
  </si>
  <si>
    <t>92340+3</t>
  </si>
  <si>
    <t>92420+3</t>
  </si>
  <si>
    <t>92430+3</t>
  </si>
  <si>
    <t>92440+3</t>
  </si>
  <si>
    <t>92520+3</t>
  </si>
  <si>
    <t>92530+3</t>
  </si>
  <si>
    <t>92540+3</t>
  </si>
  <si>
    <t>92620+3</t>
  </si>
  <si>
    <t>92630+3</t>
  </si>
  <si>
    <t>92640+3</t>
  </si>
  <si>
    <t>92720+3</t>
  </si>
  <si>
    <t>92730+3</t>
  </si>
  <si>
    <t>92740+3</t>
  </si>
  <si>
    <t>融合卡材料</t>
  </si>
  <si>
    <t>融合副本</t>
  </si>
  <si>
    <t>融合副本</t>
    <phoneticPr fontId="1" type="noConversion"/>
  </si>
  <si>
    <t>经验卡副本</t>
  </si>
  <si>
    <t>经验卡副本</t>
    <phoneticPr fontId="1" type="noConversion"/>
  </si>
  <si>
    <t>中级经验卡</t>
    <phoneticPr fontId="1" type="noConversion"/>
  </si>
  <si>
    <t>高级经验卡</t>
    <phoneticPr fontId="1" type="noConversion"/>
  </si>
  <si>
    <t>4003100+8</t>
  </si>
  <si>
    <t>4002100+12</t>
  </si>
  <si>
    <t>4002100+14</t>
  </si>
  <si>
    <t>4003100+14</t>
  </si>
  <si>
    <t>4003100+16</t>
  </si>
  <si>
    <t>4003100+17</t>
  </si>
  <si>
    <t>4003100+18</t>
  </si>
  <si>
    <t>4003100+20</t>
  </si>
  <si>
    <t>4003100+21</t>
  </si>
  <si>
    <t>4002100+8</t>
    <phoneticPr fontId="1" type="noConversion"/>
  </si>
  <si>
    <t>4002100+10</t>
    <phoneticPr fontId="1" type="noConversion"/>
  </si>
  <si>
    <t>4003100+2</t>
    <phoneticPr fontId="1" type="noConversion"/>
  </si>
  <si>
    <t>4003100+0</t>
    <phoneticPr fontId="1" type="noConversion"/>
  </si>
  <si>
    <t>4003100+1</t>
    <phoneticPr fontId="1" type="noConversion"/>
  </si>
  <si>
    <t>4003100+4</t>
    <phoneticPr fontId="1" type="noConversion"/>
  </si>
  <si>
    <t>4003100+5</t>
    <phoneticPr fontId="1" type="noConversion"/>
  </si>
  <si>
    <t>4003100+6</t>
    <phoneticPr fontId="1" type="noConversion"/>
  </si>
  <si>
    <t>4003100+9</t>
  </si>
  <si>
    <t>4003100+10</t>
  </si>
  <si>
    <t>4003100+12</t>
  </si>
  <si>
    <t>4003100+13</t>
  </si>
  <si>
    <t>4003100+22</t>
  </si>
  <si>
    <t>82110+5</t>
    <phoneticPr fontId="1" type="noConversion"/>
  </si>
  <si>
    <t>82110+7</t>
    <phoneticPr fontId="1" type="noConversion"/>
  </si>
  <si>
    <t>82110+9</t>
    <phoneticPr fontId="1" type="noConversion"/>
  </si>
  <si>
    <t>82110+11</t>
    <phoneticPr fontId="1" type="noConversion"/>
  </si>
  <si>
    <t>92120+3</t>
    <phoneticPr fontId="1" type="noConversion"/>
  </si>
  <si>
    <t>92120+4</t>
    <phoneticPr fontId="1" type="noConversion"/>
  </si>
  <si>
    <t>92120+5</t>
    <phoneticPr fontId="1" type="noConversion"/>
  </si>
  <si>
    <t>92130+4</t>
  </si>
  <si>
    <t>92140+4</t>
  </si>
  <si>
    <t>92220+4</t>
  </si>
  <si>
    <t>92230+4</t>
  </si>
  <si>
    <t>92240+4</t>
  </si>
  <si>
    <t>92320+4</t>
  </si>
  <si>
    <t>92330+4</t>
  </si>
  <si>
    <t>92340+4</t>
  </si>
  <si>
    <t>92420+4</t>
  </si>
  <si>
    <t>92430+4</t>
  </si>
  <si>
    <t>92440+4</t>
  </si>
  <si>
    <t>92520+4</t>
  </si>
  <si>
    <t>92530+4</t>
  </si>
  <si>
    <t>92540+4</t>
  </si>
  <si>
    <t>92620+4</t>
  </si>
  <si>
    <t>92630+4</t>
  </si>
  <si>
    <t>92640+4</t>
  </si>
  <si>
    <t>92720+4</t>
  </si>
  <si>
    <t>92730+4</t>
  </si>
  <si>
    <t>92740+4</t>
  </si>
  <si>
    <t>92130+5</t>
  </si>
  <si>
    <t>92140+5</t>
  </si>
  <si>
    <t>92220+5</t>
  </si>
  <si>
    <t>92230+5</t>
  </si>
  <si>
    <t>92240+5</t>
  </si>
  <si>
    <t>92320+5</t>
  </si>
  <si>
    <t>92330+5</t>
  </si>
  <si>
    <t>92340+5</t>
  </si>
  <si>
    <t>92420+5</t>
  </si>
  <si>
    <t>92430+5</t>
  </si>
  <si>
    <t>92440+5</t>
  </si>
  <si>
    <t>92520+5</t>
  </si>
  <si>
    <t>92530+5</t>
  </si>
  <si>
    <t>92540+5</t>
  </si>
  <si>
    <t>92620+5</t>
  </si>
  <si>
    <t>92630+5</t>
  </si>
  <si>
    <t>92640+5</t>
  </si>
  <si>
    <t>92720+5</t>
  </si>
  <si>
    <t>92730+5</t>
  </si>
  <si>
    <t>92740+5</t>
  </si>
  <si>
    <t>免费银币抽</t>
    <phoneticPr fontId="1" type="noConversion"/>
  </si>
  <si>
    <t>银币抽</t>
    <phoneticPr fontId="1" type="noConversion"/>
  </si>
  <si>
    <t>银币十抽</t>
    <phoneticPr fontId="1" type="noConversion"/>
  </si>
  <si>
    <t>免费金币抽</t>
    <phoneticPr fontId="1" type="noConversion"/>
  </si>
  <si>
    <t>金币抽</t>
    <phoneticPr fontId="1" type="noConversion"/>
  </si>
  <si>
    <t>金币十抽</t>
    <phoneticPr fontId="1" type="noConversion"/>
  </si>
  <si>
    <t>VIP金币十抽</t>
    <phoneticPr fontId="1" type="noConversion"/>
  </si>
  <si>
    <t>普通卡A</t>
    <phoneticPr fontId="1" type="noConversion"/>
  </si>
  <si>
    <t>普通卡B</t>
    <phoneticPr fontId="1" type="noConversion"/>
  </si>
  <si>
    <t>普通卡C</t>
    <phoneticPr fontId="1" type="noConversion"/>
  </si>
  <si>
    <t>普通卡D</t>
    <phoneticPr fontId="1" type="noConversion"/>
  </si>
  <si>
    <t>81110+1</t>
    <phoneticPr fontId="1" type="noConversion"/>
  </si>
  <si>
    <t>91120+1</t>
    <phoneticPr fontId="1" type="noConversion"/>
  </si>
  <si>
    <t>91220+1</t>
    <phoneticPr fontId="1" type="noConversion"/>
  </si>
  <si>
    <t>91320+1</t>
    <phoneticPr fontId="1" type="noConversion"/>
  </si>
  <si>
    <t>91420+1</t>
    <phoneticPr fontId="1" type="noConversion"/>
  </si>
  <si>
    <t>91520+1</t>
    <phoneticPr fontId="1" type="noConversion"/>
  </si>
  <si>
    <t>91130+1</t>
    <phoneticPr fontId="1" type="noConversion"/>
  </si>
  <si>
    <t>91230+1</t>
    <phoneticPr fontId="1" type="noConversion"/>
  </si>
  <si>
    <t>91330+1</t>
    <phoneticPr fontId="1" type="noConversion"/>
  </si>
  <si>
    <t>91430+1</t>
    <phoneticPr fontId="1" type="noConversion"/>
  </si>
  <si>
    <t>91530+1</t>
    <phoneticPr fontId="1" type="noConversion"/>
  </si>
  <si>
    <t>91140+1</t>
    <phoneticPr fontId="1" type="noConversion"/>
  </si>
  <si>
    <t>91240+1</t>
    <phoneticPr fontId="1" type="noConversion"/>
  </si>
  <si>
    <t>91340+1</t>
    <phoneticPr fontId="1" type="noConversion"/>
  </si>
  <si>
    <t>91440+1</t>
    <phoneticPr fontId="1" type="noConversion"/>
  </si>
  <si>
    <t>91540+1</t>
    <phoneticPr fontId="1" type="noConversion"/>
  </si>
  <si>
    <t>融合卡A</t>
    <phoneticPr fontId="1" type="noConversion"/>
  </si>
  <si>
    <t>融合卡B</t>
    <phoneticPr fontId="1" type="noConversion"/>
  </si>
  <si>
    <t>融合卡C</t>
    <phoneticPr fontId="1" type="noConversion"/>
  </si>
  <si>
    <t>融合卡D</t>
    <phoneticPr fontId="1" type="noConversion"/>
  </si>
  <si>
    <t>82110+1</t>
    <phoneticPr fontId="1" type="noConversion"/>
  </si>
  <si>
    <t>92120+1</t>
  </si>
  <si>
    <t>92220+1</t>
  </si>
  <si>
    <t>92320+1</t>
  </si>
  <si>
    <t>92420+1</t>
  </si>
  <si>
    <t>92520+1</t>
  </si>
  <si>
    <t>92130+1</t>
  </si>
  <si>
    <t>92230+1</t>
  </si>
  <si>
    <t>92330+1</t>
  </si>
  <si>
    <t>92430+1</t>
  </si>
  <si>
    <t>92530+1</t>
  </si>
  <si>
    <t>92140+1</t>
  </si>
  <si>
    <t>92240+1</t>
  </si>
  <si>
    <t>92340+1</t>
  </si>
  <si>
    <t>92440+1</t>
  </si>
  <si>
    <t>92540+1</t>
  </si>
  <si>
    <t>71110+1</t>
    <phoneticPr fontId="1" type="noConversion"/>
  </si>
  <si>
    <t>72110+1</t>
    <phoneticPr fontId="1" type="noConversion"/>
  </si>
  <si>
    <t>71210+1</t>
    <phoneticPr fontId="1" type="noConversion"/>
  </si>
  <si>
    <t>装备设计图</t>
    <phoneticPr fontId="1" type="noConversion"/>
  </si>
  <si>
    <t>72210+1</t>
    <phoneticPr fontId="1" type="noConversion"/>
  </si>
  <si>
    <t>经验卡</t>
    <phoneticPr fontId="1" type="noConversion"/>
  </si>
  <si>
    <t>4002100+3</t>
    <phoneticPr fontId="1" type="noConversion"/>
  </si>
  <si>
    <t>4003100+1</t>
    <phoneticPr fontId="1" type="noConversion"/>
  </si>
  <si>
    <t>4003100+2</t>
  </si>
  <si>
    <t>免费银币抽</t>
  </si>
  <si>
    <t>银币抽</t>
  </si>
  <si>
    <t>银币十抽</t>
  </si>
  <si>
    <t>91130+15</t>
  </si>
  <si>
    <t>91230+15</t>
  </si>
  <si>
    <t>91330+15</t>
  </si>
  <si>
    <t>91430+15</t>
  </si>
  <si>
    <t>91530+15</t>
  </si>
  <si>
    <t>91140+15</t>
  </si>
  <si>
    <t>91240+15</t>
  </si>
  <si>
    <t>91340+15</t>
  </si>
  <si>
    <t>91440+15</t>
  </si>
  <si>
    <t>91540+15</t>
  </si>
  <si>
    <t>91120+15</t>
  </si>
  <si>
    <t>91220+15</t>
  </si>
  <si>
    <t>91320+15</t>
  </si>
  <si>
    <t>91420+15</t>
  </si>
  <si>
    <t>91520+15</t>
  </si>
  <si>
    <t>81110+20</t>
    <phoneticPr fontId="1" type="noConversion"/>
  </si>
  <si>
    <t>82110+20</t>
    <phoneticPr fontId="1" type="noConversion"/>
  </si>
  <si>
    <t>92120+15</t>
  </si>
  <si>
    <t>92220+15</t>
  </si>
  <si>
    <t>92320+15</t>
  </si>
  <si>
    <t>92420+15</t>
  </si>
  <si>
    <t>92520+15</t>
  </si>
  <si>
    <t>92130+15</t>
  </si>
  <si>
    <t>92230+15</t>
  </si>
  <si>
    <t>92330+15</t>
  </si>
  <si>
    <t>92430+15</t>
  </si>
  <si>
    <t>92530+15</t>
  </si>
  <si>
    <t>92140+15</t>
  </si>
  <si>
    <t>92240+15</t>
  </si>
  <si>
    <t>92340+15</t>
  </si>
  <si>
    <t>92440+15</t>
  </si>
  <si>
    <t>92540+15</t>
  </si>
  <si>
    <t>71310+3</t>
  </si>
  <si>
    <t>71410+3</t>
  </si>
  <si>
    <t>71510+3</t>
  </si>
  <si>
    <t>71610+3</t>
  </si>
  <si>
    <t>71710+3</t>
  </si>
  <si>
    <t>72310+3</t>
  </si>
  <si>
    <t>72410+3</t>
  </si>
  <si>
    <t>72510+3</t>
  </si>
  <si>
    <t>72610+3</t>
  </si>
  <si>
    <t>72720+3</t>
  </si>
  <si>
    <t>4002100+30</t>
    <phoneticPr fontId="1" type="noConversion"/>
  </si>
  <si>
    <t>4003100+20</t>
    <phoneticPr fontId="1" type="noConversion"/>
  </si>
  <si>
    <t>4003100+30</t>
    <phoneticPr fontId="1" type="noConversion"/>
  </si>
  <si>
    <t>免费金币抽</t>
  </si>
  <si>
    <t>1009000+1</t>
    <phoneticPr fontId="1" type="noConversion"/>
  </si>
  <si>
    <t>卡</t>
    <phoneticPr fontId="1" type="noConversion"/>
  </si>
  <si>
    <t>卡碎片</t>
    <phoneticPr fontId="1" type="noConversion"/>
  </si>
  <si>
    <t>1010000+1</t>
    <phoneticPr fontId="1" type="noConversion"/>
  </si>
  <si>
    <t>1011000+1</t>
    <phoneticPr fontId="1" type="noConversion"/>
  </si>
  <si>
    <t>11009+1</t>
    <phoneticPr fontId="1" type="noConversion"/>
  </si>
  <si>
    <t>11010+1</t>
    <phoneticPr fontId="1" type="noConversion"/>
  </si>
  <si>
    <t>11011+1</t>
    <phoneticPr fontId="1" type="noConversion"/>
  </si>
  <si>
    <t>金币抽</t>
  </si>
  <si>
    <t>金币十抽</t>
  </si>
  <si>
    <t>VIP金币十抽</t>
  </si>
  <si>
    <t>VIP金币十抽</t>
    <phoneticPr fontId="1" type="noConversion"/>
  </si>
  <si>
    <t>掉落权重</t>
  </si>
  <si>
    <t>id</t>
  </si>
  <si>
    <t>drop_detail_id</t>
  </si>
  <si>
    <t>drop_goods_id</t>
  </si>
  <si>
    <t>drop_num</t>
  </si>
  <si>
    <t>drop_prob</t>
  </si>
  <si>
    <t>int</t>
  </si>
  <si>
    <t>掉落ID</t>
    <phoneticPr fontId="1" type="noConversion"/>
  </si>
  <si>
    <t>drop_id</t>
    <phoneticPr fontId="1" type="noConversion"/>
  </si>
  <si>
    <t>drop_prob</t>
    <phoneticPr fontId="1" type="noConversion"/>
  </si>
  <si>
    <t>掉落数量</t>
    <phoneticPr fontId="1" type="noConversion"/>
  </si>
  <si>
    <t>List</t>
    <phoneticPr fontId="1" type="noConversion"/>
  </si>
  <si>
    <t>81110+1,2</t>
    <phoneticPr fontId="1" type="noConversion"/>
  </si>
  <si>
    <t>概率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</si>
</sst>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  <font>
      <sz val="12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5" fillId="3" borderId="0" xfId="2" applyNumberFormat="1" applyFont="1" applyFill="1" applyAlignment="1">
      <alignment horizontal="center" vertical="center"/>
    </xf>
    <xf numFmtId="0" fontId="5" fillId="2" borderId="5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4" borderId="0" xfId="1" applyFont="1" applyFill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2" borderId="8" xfId="1" applyFont="1" applyFill="1" applyBorder="1" applyAlignment="1">
      <alignment horizontal="center" vertical="center"/>
    </xf>
    <xf numFmtId="0" fontId="6" fillId="2" borderId="11" xfId="1" applyFont="1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/>
    </xf>
    <xf numFmtId="0" fontId="5" fillId="5" borderId="9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5" fillId="3" borderId="0" xfId="2" applyNumberFormat="1" applyFont="1" applyFill="1" applyAlignment="1">
      <alignment horizontal="center" vertical="center"/>
    </xf>
    <xf numFmtId="176" fontId="5" fillId="2" borderId="2" xfId="3" applyNumberFormat="1" applyFont="1" applyFill="1" applyBorder="1" applyAlignment="1">
      <alignment horizontal="center" vertical="center"/>
    </xf>
    <xf numFmtId="176" fontId="5" fillId="2" borderId="3" xfId="3" applyNumberFormat="1" applyFont="1" applyFill="1" applyBorder="1" applyAlignment="1">
      <alignment horizontal="center" vertical="center"/>
    </xf>
    <xf numFmtId="176" fontId="5" fillId="4" borderId="0" xfId="3" applyNumberFormat="1" applyFont="1" applyFill="1" applyBorder="1" applyAlignment="1">
      <alignment horizontal="center" vertical="center"/>
    </xf>
    <xf numFmtId="176" fontId="0" fillId="0" borderId="0" xfId="3" applyNumberFormat="1" applyFont="1" applyAlignment="1"/>
    <xf numFmtId="0" fontId="9" fillId="0" borderId="5" xfId="0" applyFont="1" applyBorder="1" applyAlignment="1">
      <alignment horizontal="center" vertical="center"/>
    </xf>
    <xf numFmtId="176" fontId="6" fillId="2" borderId="12" xfId="3" applyNumberFormat="1" applyFont="1" applyFill="1" applyBorder="1" applyAlignment="1">
      <alignment horizontal="center" vertical="center"/>
    </xf>
    <xf numFmtId="10" fontId="5" fillId="0" borderId="13" xfId="3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8" fillId="0" borderId="5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</cellXfs>
  <cellStyles count="4">
    <cellStyle name="百分比" xfId="3" builtinId="5"/>
    <cellStyle name="百分比 2" xfId="2"/>
    <cellStyle name="常规" xfId="0" builtinId="0"/>
    <cellStyle name="常规 2" xfId="1"/>
  </cellStyles>
  <dxfs count="10"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70"/>
  <sheetViews>
    <sheetView tabSelected="1" workbookViewId="0">
      <selection activeCell="J8" sqref="J8"/>
    </sheetView>
  </sheetViews>
  <sheetFormatPr defaultColWidth="9" defaultRowHeight="14.4" x14ac:dyDescent="0.25"/>
  <cols>
    <col min="1" max="1" width="9" style="1"/>
    <col min="2" max="2" width="8.44140625" style="1" bestFit="1" customWidth="1"/>
    <col min="3" max="3" width="16.109375" style="1" bestFit="1" customWidth="1"/>
    <col min="4" max="4" width="10.44140625" style="1" bestFit="1" customWidth="1"/>
    <col min="5" max="9" width="9" style="1"/>
    <col min="10" max="10" width="16.109375" style="1" bestFit="1" customWidth="1"/>
    <col min="11" max="16384" width="9" style="1"/>
  </cols>
  <sheetData>
    <row r="1" spans="1:4" x14ac:dyDescent="0.25">
      <c r="A1" s="1" t="s">
        <v>0</v>
      </c>
      <c r="B1" s="1" t="s">
        <v>381</v>
      </c>
      <c r="C1" s="1" t="s">
        <v>28</v>
      </c>
      <c r="D1" s="1" t="s">
        <v>387</v>
      </c>
    </row>
    <row r="2" spans="1:4" x14ac:dyDescent="0.25">
      <c r="A2" s="1" t="s">
        <v>375</v>
      </c>
      <c r="B2" s="1" t="s">
        <v>382</v>
      </c>
      <c r="C2" s="1" t="s">
        <v>376</v>
      </c>
      <c r="D2" s="1" t="s">
        <v>383</v>
      </c>
    </row>
    <row r="3" spans="1:4" x14ac:dyDescent="0.25">
      <c r="A3" s="1">
        <v>0</v>
      </c>
      <c r="B3" s="1">
        <v>0</v>
      </c>
      <c r="C3" s="1">
        <v>0</v>
      </c>
      <c r="D3" s="1">
        <v>0</v>
      </c>
    </row>
    <row r="4" spans="1:4" x14ac:dyDescent="0.25">
      <c r="A4" s="1" t="s">
        <v>380</v>
      </c>
      <c r="B4" s="1" t="s">
        <v>380</v>
      </c>
      <c r="C4" s="1" t="s">
        <v>380</v>
      </c>
      <c r="D4" s="1" t="s">
        <v>380</v>
      </c>
    </row>
    <row r="5" spans="1:4" x14ac:dyDescent="0.25">
      <c r="A5" s="1">
        <f>功能掉落明细!AA3</f>
        <v>1</v>
      </c>
      <c r="B5" s="1">
        <f ca="1">功能掉落明细!AB3</f>
        <v>20001</v>
      </c>
      <c r="C5" s="1">
        <f ca="1">功能掉落明细!AC3</f>
        <v>1</v>
      </c>
      <c r="D5" s="1">
        <f ca="1">功能掉落明细!AD3</f>
        <v>10000</v>
      </c>
    </row>
    <row r="6" spans="1:4" x14ac:dyDescent="0.25">
      <c r="A6" s="1">
        <f>功能掉落明细!AA4</f>
        <v>2</v>
      </c>
      <c r="B6" s="1">
        <f ca="1">功能掉落明细!AB4</f>
        <v>20002</v>
      </c>
      <c r="C6" s="1">
        <f ca="1">功能掉落明细!AC4</f>
        <v>1</v>
      </c>
      <c r="D6" s="1">
        <f ca="1">功能掉落明细!AD4</f>
        <v>10000</v>
      </c>
    </row>
    <row r="7" spans="1:4" x14ac:dyDescent="0.25">
      <c r="A7" s="1">
        <f>功能掉落明细!AA5</f>
        <v>3</v>
      </c>
      <c r="B7" s="1">
        <f ca="1">功能掉落明细!AB5</f>
        <v>20002</v>
      </c>
      <c r="C7" s="1">
        <f ca="1">功能掉落明细!AC5</f>
        <v>2</v>
      </c>
      <c r="D7" s="1">
        <f ca="1">功能掉落明细!AD5</f>
        <v>9000</v>
      </c>
    </row>
    <row r="8" spans="1:4" x14ac:dyDescent="0.25">
      <c r="A8" s="1">
        <f>功能掉落明细!AA6</f>
        <v>4</v>
      </c>
      <c r="B8" s="1">
        <f ca="1">功能掉落明细!AB6</f>
        <v>20003</v>
      </c>
      <c r="C8" s="1">
        <f ca="1">功能掉落明细!AC6</f>
        <v>1</v>
      </c>
      <c r="D8" s="1">
        <f ca="1">功能掉落明细!AD6</f>
        <v>10000</v>
      </c>
    </row>
    <row r="9" spans="1:4" x14ac:dyDescent="0.25">
      <c r="A9" s="1">
        <f>功能掉落明细!AA7</f>
        <v>5</v>
      </c>
      <c r="B9" s="1">
        <f ca="1">功能掉落明细!AB7</f>
        <v>20003</v>
      </c>
      <c r="C9" s="1">
        <f ca="1">功能掉落明细!AC7</f>
        <v>3</v>
      </c>
      <c r="D9" s="1">
        <f ca="1">功能掉落明细!AD7</f>
        <v>9000</v>
      </c>
    </row>
    <row r="10" spans="1:4" x14ac:dyDescent="0.25">
      <c r="A10" s="1">
        <f>功能掉落明细!AA8</f>
        <v>6</v>
      </c>
      <c r="B10" s="1">
        <f ca="1">功能掉落明细!AB8</f>
        <v>20004</v>
      </c>
      <c r="C10" s="1">
        <f ca="1">功能掉落明细!AC8</f>
        <v>1</v>
      </c>
      <c r="D10" s="1">
        <f ca="1">功能掉落明细!AD8</f>
        <v>10000</v>
      </c>
    </row>
    <row r="11" spans="1:4" x14ac:dyDescent="0.25">
      <c r="A11" s="1">
        <f>功能掉落明细!AA9</f>
        <v>7</v>
      </c>
      <c r="B11" s="1">
        <f ca="1">功能掉落明细!AB9</f>
        <v>20004</v>
      </c>
      <c r="C11" s="1">
        <f ca="1">功能掉落明细!AC9</f>
        <v>4</v>
      </c>
      <c r="D11" s="1">
        <f ca="1">功能掉落明细!AD9</f>
        <v>9000</v>
      </c>
    </row>
    <row r="12" spans="1:4" x14ac:dyDescent="0.25">
      <c r="A12" s="1">
        <f>功能掉落明细!AA10</f>
        <v>8</v>
      </c>
      <c r="B12" s="1">
        <f ca="1">功能掉落明细!AB10</f>
        <v>20005</v>
      </c>
      <c r="C12" s="1">
        <f ca="1">功能掉落明细!AC10</f>
        <v>1</v>
      </c>
      <c r="D12" s="1">
        <f ca="1">功能掉落明细!AD10</f>
        <v>10000</v>
      </c>
    </row>
    <row r="13" spans="1:4" x14ac:dyDescent="0.25">
      <c r="A13" s="1">
        <f>功能掉落明细!AA11</f>
        <v>9</v>
      </c>
      <c r="B13" s="1">
        <f ca="1">功能掉落明细!AB11</f>
        <v>20006</v>
      </c>
      <c r="C13" s="1">
        <f ca="1">功能掉落明细!AC11</f>
        <v>1</v>
      </c>
      <c r="D13" s="1">
        <f ca="1">功能掉落明细!AD11</f>
        <v>10000</v>
      </c>
    </row>
    <row r="14" spans="1:4" x14ac:dyDescent="0.25">
      <c r="A14" s="1">
        <f>功能掉落明细!AA12</f>
        <v>10</v>
      </c>
      <c r="B14" s="1">
        <f ca="1">功能掉落明细!AB12</f>
        <v>20006</v>
      </c>
      <c r="C14" s="1">
        <f ca="1">功能掉落明细!AC12</f>
        <v>2</v>
      </c>
      <c r="D14" s="1">
        <f ca="1">功能掉落明细!AD12</f>
        <v>9000</v>
      </c>
    </row>
    <row r="15" spans="1:4" x14ac:dyDescent="0.25">
      <c r="A15" s="1">
        <f>功能掉落明细!AA13</f>
        <v>11</v>
      </c>
      <c r="B15" s="1">
        <f ca="1">功能掉落明细!AB13</f>
        <v>20007</v>
      </c>
      <c r="C15" s="1">
        <f ca="1">功能掉落明细!AC13</f>
        <v>1</v>
      </c>
      <c r="D15" s="1">
        <f ca="1">功能掉落明细!AD13</f>
        <v>10000</v>
      </c>
    </row>
    <row r="16" spans="1:4" x14ac:dyDescent="0.25">
      <c r="A16" s="1">
        <f>功能掉落明细!AA14</f>
        <v>12</v>
      </c>
      <c r="B16" s="1">
        <f ca="1">功能掉落明细!AB14</f>
        <v>20007</v>
      </c>
      <c r="C16" s="1">
        <f ca="1">功能掉落明细!AC14</f>
        <v>3</v>
      </c>
      <c r="D16" s="1">
        <f ca="1">功能掉落明细!AD14</f>
        <v>9000</v>
      </c>
    </row>
    <row r="17" spans="1:4" x14ac:dyDescent="0.25">
      <c r="A17" s="1">
        <f>功能掉落明细!AA15</f>
        <v>13</v>
      </c>
      <c r="B17" s="1">
        <f ca="1">功能掉落明细!AB15</f>
        <v>20008</v>
      </c>
      <c r="C17" s="1">
        <f ca="1">功能掉落明细!AC15</f>
        <v>1</v>
      </c>
      <c r="D17" s="1">
        <f ca="1">功能掉落明细!AD15</f>
        <v>10000</v>
      </c>
    </row>
    <row r="18" spans="1:4" x14ac:dyDescent="0.25">
      <c r="A18" s="1">
        <f>功能掉落明细!AA16</f>
        <v>14</v>
      </c>
      <c r="B18" s="1">
        <f ca="1">功能掉落明细!AB16</f>
        <v>20008</v>
      </c>
      <c r="C18" s="1">
        <f ca="1">功能掉落明细!AC16</f>
        <v>4</v>
      </c>
      <c r="D18" s="1">
        <f ca="1">功能掉落明细!AD16</f>
        <v>9000</v>
      </c>
    </row>
    <row r="19" spans="1:4" x14ac:dyDescent="0.25">
      <c r="A19" s="1">
        <f>功能掉落明细!AA17</f>
        <v>15</v>
      </c>
      <c r="B19" s="1">
        <f ca="1">功能掉落明细!AB17</f>
        <v>20009</v>
      </c>
      <c r="C19" s="1">
        <f ca="1">功能掉落明细!AC17</f>
        <v>1</v>
      </c>
      <c r="D19" s="1">
        <f ca="1">功能掉落明细!AD17</f>
        <v>10000</v>
      </c>
    </row>
    <row r="20" spans="1:4" x14ac:dyDescent="0.25">
      <c r="A20" s="1">
        <f>功能掉落明细!AA18</f>
        <v>16</v>
      </c>
      <c r="B20" s="1">
        <f ca="1">功能掉落明细!AB18</f>
        <v>20010</v>
      </c>
      <c r="C20" s="1">
        <f ca="1">功能掉落明细!AC18</f>
        <v>1</v>
      </c>
      <c r="D20" s="1">
        <f ca="1">功能掉落明细!AD18</f>
        <v>10000</v>
      </c>
    </row>
    <row r="21" spans="1:4" x14ac:dyDescent="0.25">
      <c r="A21" s="1">
        <f>功能掉落明细!AA19</f>
        <v>17</v>
      </c>
      <c r="B21" s="1">
        <f ca="1">功能掉落明细!AB19</f>
        <v>20010</v>
      </c>
      <c r="C21" s="1">
        <f ca="1">功能掉落明细!AC19</f>
        <v>2</v>
      </c>
      <c r="D21" s="1">
        <f ca="1">功能掉落明细!AD19</f>
        <v>9000</v>
      </c>
    </row>
    <row r="22" spans="1:4" x14ac:dyDescent="0.25">
      <c r="A22" s="1">
        <f>功能掉落明细!AA20</f>
        <v>18</v>
      </c>
      <c r="B22" s="1">
        <f ca="1">功能掉落明细!AB20</f>
        <v>20011</v>
      </c>
      <c r="C22" s="1">
        <f ca="1">功能掉落明细!AC20</f>
        <v>1</v>
      </c>
      <c r="D22" s="1">
        <f ca="1">功能掉落明细!AD20</f>
        <v>10000</v>
      </c>
    </row>
    <row r="23" spans="1:4" x14ac:dyDescent="0.25">
      <c r="A23" s="1">
        <f>功能掉落明细!AA21</f>
        <v>19</v>
      </c>
      <c r="B23" s="1">
        <f ca="1">功能掉落明细!AB21</f>
        <v>20011</v>
      </c>
      <c r="C23" s="1">
        <f ca="1">功能掉落明细!AC21</f>
        <v>3</v>
      </c>
      <c r="D23" s="1">
        <f ca="1">功能掉落明细!AD21</f>
        <v>9000</v>
      </c>
    </row>
    <row r="24" spans="1:4" x14ac:dyDescent="0.25">
      <c r="A24" s="1">
        <f>功能掉落明细!AA22</f>
        <v>20</v>
      </c>
      <c r="B24" s="1">
        <f ca="1">功能掉落明细!AB22</f>
        <v>20012</v>
      </c>
      <c r="C24" s="1">
        <f ca="1">功能掉落明细!AC22</f>
        <v>1</v>
      </c>
      <c r="D24" s="1">
        <f ca="1">功能掉落明细!AD22</f>
        <v>10000</v>
      </c>
    </row>
    <row r="25" spans="1:4" x14ac:dyDescent="0.25">
      <c r="A25" s="1">
        <f>功能掉落明细!AA23</f>
        <v>21</v>
      </c>
      <c r="B25" s="1">
        <f ca="1">功能掉落明细!AB23</f>
        <v>20012</v>
      </c>
      <c r="C25" s="1">
        <f ca="1">功能掉落明细!AC23</f>
        <v>4</v>
      </c>
      <c r="D25" s="1">
        <f ca="1">功能掉落明细!AD23</f>
        <v>9000</v>
      </c>
    </row>
    <row r="26" spans="1:4" x14ac:dyDescent="0.25">
      <c r="A26" s="1">
        <f>功能掉落明细!AA24</f>
        <v>22</v>
      </c>
      <c r="B26" s="1">
        <f ca="1">功能掉落明细!AB24</f>
        <v>20013</v>
      </c>
      <c r="C26" s="1">
        <f ca="1">功能掉落明细!AC24</f>
        <v>1</v>
      </c>
      <c r="D26" s="1">
        <f ca="1">功能掉落明细!AD24</f>
        <v>10000</v>
      </c>
    </row>
    <row r="27" spans="1:4" x14ac:dyDescent="0.25">
      <c r="A27" s="1">
        <f>功能掉落明细!AA25</f>
        <v>23</v>
      </c>
      <c r="B27" s="1">
        <f ca="1">功能掉落明细!AB25</f>
        <v>20014</v>
      </c>
      <c r="C27" s="1">
        <f ca="1">功能掉落明细!AC25</f>
        <v>1</v>
      </c>
      <c r="D27" s="1">
        <f ca="1">功能掉落明细!AD25</f>
        <v>10000</v>
      </c>
    </row>
    <row r="28" spans="1:4" x14ac:dyDescent="0.25">
      <c r="A28" s="1">
        <f>功能掉落明细!AA26</f>
        <v>24</v>
      </c>
      <c r="B28" s="1">
        <f ca="1">功能掉落明细!AB26</f>
        <v>20014</v>
      </c>
      <c r="C28" s="1">
        <f ca="1">功能掉落明细!AC26</f>
        <v>2</v>
      </c>
      <c r="D28" s="1">
        <f ca="1">功能掉落明细!AD26</f>
        <v>9000</v>
      </c>
    </row>
    <row r="29" spans="1:4" x14ac:dyDescent="0.25">
      <c r="A29" s="1">
        <f>功能掉落明细!AA27</f>
        <v>25</v>
      </c>
      <c r="B29" s="1">
        <f ca="1">功能掉落明细!AB27</f>
        <v>20015</v>
      </c>
      <c r="C29" s="1">
        <f ca="1">功能掉落明细!AC27</f>
        <v>1</v>
      </c>
      <c r="D29" s="1">
        <f ca="1">功能掉落明细!AD27</f>
        <v>10000</v>
      </c>
    </row>
    <row r="30" spans="1:4" x14ac:dyDescent="0.25">
      <c r="A30" s="1">
        <f>功能掉落明细!AA28</f>
        <v>26</v>
      </c>
      <c r="B30" s="1">
        <f ca="1">功能掉落明细!AB28</f>
        <v>20015</v>
      </c>
      <c r="C30" s="1">
        <f ca="1">功能掉落明细!AC28</f>
        <v>3</v>
      </c>
      <c r="D30" s="1">
        <f ca="1">功能掉落明细!AD28</f>
        <v>9000</v>
      </c>
    </row>
    <row r="31" spans="1:4" x14ac:dyDescent="0.25">
      <c r="A31" s="1">
        <f>功能掉落明细!AA29</f>
        <v>27</v>
      </c>
      <c r="B31" s="1">
        <f ca="1">功能掉落明细!AB29</f>
        <v>20016</v>
      </c>
      <c r="C31" s="1">
        <f ca="1">功能掉落明细!AC29</f>
        <v>1</v>
      </c>
      <c r="D31" s="1">
        <f ca="1">功能掉落明细!AD29</f>
        <v>10000</v>
      </c>
    </row>
    <row r="32" spans="1:4" x14ac:dyDescent="0.25">
      <c r="A32" s="1">
        <f>功能掉落明细!AA30</f>
        <v>28</v>
      </c>
      <c r="B32" s="1">
        <f ca="1">功能掉落明细!AB30</f>
        <v>20016</v>
      </c>
      <c r="C32" s="1">
        <f ca="1">功能掉落明细!AC30</f>
        <v>4</v>
      </c>
      <c r="D32" s="1">
        <f ca="1">功能掉落明细!AD30</f>
        <v>9000</v>
      </c>
    </row>
    <row r="33" spans="1:4" x14ac:dyDescent="0.25">
      <c r="A33" s="1">
        <f>功能掉落明细!AA31</f>
        <v>29</v>
      </c>
      <c r="B33" s="1">
        <f ca="1">功能掉落明细!AB31</f>
        <v>20017</v>
      </c>
      <c r="C33" s="1">
        <f ca="1">功能掉落明细!AC31</f>
        <v>1</v>
      </c>
      <c r="D33" s="1">
        <f ca="1">功能掉落明细!AD31</f>
        <v>10000</v>
      </c>
    </row>
    <row r="34" spans="1:4" x14ac:dyDescent="0.25">
      <c r="A34" s="1">
        <f>功能掉落明细!AA32</f>
        <v>30</v>
      </c>
      <c r="B34" s="1">
        <f ca="1">功能掉落明细!AB32</f>
        <v>20018</v>
      </c>
      <c r="C34" s="1">
        <f ca="1">功能掉落明细!AC32</f>
        <v>1</v>
      </c>
      <c r="D34" s="1">
        <f ca="1">功能掉落明细!AD32</f>
        <v>10000</v>
      </c>
    </row>
    <row r="35" spans="1:4" x14ac:dyDescent="0.25">
      <c r="A35" s="1">
        <f>功能掉落明细!AA33</f>
        <v>31</v>
      </c>
      <c r="B35" s="1">
        <f ca="1">功能掉落明细!AB33</f>
        <v>20019</v>
      </c>
      <c r="C35" s="1">
        <f ca="1">功能掉落明细!AC33</f>
        <v>1</v>
      </c>
      <c r="D35" s="1">
        <f ca="1">功能掉落明细!AD33</f>
        <v>10000</v>
      </c>
    </row>
    <row r="36" spans="1:4" x14ac:dyDescent="0.25">
      <c r="A36" s="1">
        <f>功能掉落明细!AA34</f>
        <v>32</v>
      </c>
      <c r="B36" s="1">
        <f ca="1">功能掉落明细!AB34</f>
        <v>20019</v>
      </c>
      <c r="C36" s="1">
        <f ca="1">功能掉落明细!AC34</f>
        <v>5</v>
      </c>
      <c r="D36" s="1">
        <f ca="1">功能掉落明细!AD34</f>
        <v>8000</v>
      </c>
    </row>
    <row r="37" spans="1:4" x14ac:dyDescent="0.25">
      <c r="A37" s="1">
        <f>功能掉落明细!AA35</f>
        <v>33</v>
      </c>
      <c r="B37" s="1">
        <f ca="1">功能掉落明细!AB35</f>
        <v>20019</v>
      </c>
      <c r="C37" s="1">
        <f ca="1">功能掉落明细!AC35</f>
        <v>3</v>
      </c>
      <c r="D37" s="1">
        <f ca="1">功能掉落明细!AD35</f>
        <v>9000</v>
      </c>
    </row>
    <row r="38" spans="1:4" x14ac:dyDescent="0.25">
      <c r="A38" s="1">
        <f>功能掉落明细!AA36</f>
        <v>34</v>
      </c>
      <c r="B38" s="1">
        <f ca="1">功能掉落明细!AB36</f>
        <v>20020</v>
      </c>
      <c r="C38" s="1">
        <f ca="1">功能掉落明细!AC36</f>
        <v>1</v>
      </c>
      <c r="D38" s="1">
        <f ca="1">功能掉落明细!AD36</f>
        <v>10000</v>
      </c>
    </row>
    <row r="39" spans="1:4" x14ac:dyDescent="0.25">
      <c r="A39" s="1">
        <f>功能掉落明细!AA37</f>
        <v>35</v>
      </c>
      <c r="B39" s="1">
        <f ca="1">功能掉落明细!AB37</f>
        <v>20020</v>
      </c>
      <c r="C39" s="1">
        <f ca="1">功能掉落明细!AC37</f>
        <v>5</v>
      </c>
      <c r="D39" s="1">
        <f ca="1">功能掉落明细!AD37</f>
        <v>8000</v>
      </c>
    </row>
    <row r="40" spans="1:4" x14ac:dyDescent="0.25">
      <c r="A40" s="1">
        <f>功能掉落明细!AA38</f>
        <v>36</v>
      </c>
      <c r="B40" s="1">
        <f ca="1">功能掉落明细!AB38</f>
        <v>20020</v>
      </c>
      <c r="C40" s="1">
        <f ca="1">功能掉落明细!AC38</f>
        <v>3</v>
      </c>
      <c r="D40" s="1">
        <f ca="1">功能掉落明细!AD38</f>
        <v>9000</v>
      </c>
    </row>
    <row r="41" spans="1:4" x14ac:dyDescent="0.25">
      <c r="A41" s="1">
        <f>功能掉落明细!AA39</f>
        <v>37</v>
      </c>
      <c r="B41" s="1">
        <f ca="1">功能掉落明细!AB39</f>
        <v>20021</v>
      </c>
      <c r="C41" s="1">
        <f ca="1">功能掉落明细!AC39</f>
        <v>1</v>
      </c>
      <c r="D41" s="1">
        <f ca="1">功能掉落明细!AD39</f>
        <v>10000</v>
      </c>
    </row>
    <row r="42" spans="1:4" x14ac:dyDescent="0.25">
      <c r="A42" s="1">
        <f>功能掉落明细!AA40</f>
        <v>38</v>
      </c>
      <c r="B42" s="1">
        <f ca="1">功能掉落明细!AB40</f>
        <v>20021</v>
      </c>
      <c r="C42" s="1">
        <f ca="1">功能掉落明细!AC40</f>
        <v>6</v>
      </c>
      <c r="D42" s="1">
        <f ca="1">功能掉落明细!AD40</f>
        <v>8000</v>
      </c>
    </row>
    <row r="43" spans="1:4" x14ac:dyDescent="0.25">
      <c r="A43" s="1">
        <f>功能掉落明细!AA41</f>
        <v>39</v>
      </c>
      <c r="B43" s="1">
        <f ca="1">功能掉落明细!AB41</f>
        <v>20021</v>
      </c>
      <c r="C43" s="1">
        <f ca="1">功能掉落明细!AC41</f>
        <v>4</v>
      </c>
      <c r="D43" s="1">
        <f ca="1">功能掉落明细!AD41</f>
        <v>9000</v>
      </c>
    </row>
    <row r="44" spans="1:4" x14ac:dyDescent="0.25">
      <c r="A44" s="1">
        <f>功能掉落明细!AA42</f>
        <v>40</v>
      </c>
      <c r="B44" s="1">
        <f ca="1">功能掉落明细!AB42</f>
        <v>20022</v>
      </c>
      <c r="C44" s="1">
        <f ca="1">功能掉落明细!AC42</f>
        <v>1</v>
      </c>
      <c r="D44" s="1">
        <f ca="1">功能掉落明细!AD42</f>
        <v>10000</v>
      </c>
    </row>
    <row r="45" spans="1:4" x14ac:dyDescent="0.25">
      <c r="A45" s="1">
        <f>功能掉落明细!AA43</f>
        <v>41</v>
      </c>
      <c r="B45" s="1">
        <f ca="1">功能掉落明细!AB43</f>
        <v>20022</v>
      </c>
      <c r="C45" s="1">
        <f ca="1">功能掉落明细!AC43</f>
        <v>6</v>
      </c>
      <c r="D45" s="1">
        <f ca="1">功能掉落明细!AD43</f>
        <v>8000</v>
      </c>
    </row>
    <row r="46" spans="1:4" x14ac:dyDescent="0.25">
      <c r="A46" s="1">
        <f>功能掉落明细!AA44</f>
        <v>42</v>
      </c>
      <c r="B46" s="1">
        <f ca="1">功能掉落明细!AB44</f>
        <v>20022</v>
      </c>
      <c r="C46" s="1">
        <f ca="1">功能掉落明细!AC44</f>
        <v>4</v>
      </c>
      <c r="D46" s="1">
        <f ca="1">功能掉落明细!AD44</f>
        <v>9000</v>
      </c>
    </row>
    <row r="47" spans="1:4" x14ac:dyDescent="0.25">
      <c r="A47" s="1">
        <f>功能掉落明细!AA45</f>
        <v>43</v>
      </c>
      <c r="B47" s="1">
        <f ca="1">功能掉落明细!AB45</f>
        <v>20023</v>
      </c>
      <c r="C47" s="1">
        <f ca="1">功能掉落明细!AC45</f>
        <v>1</v>
      </c>
      <c r="D47" s="1">
        <f ca="1">功能掉落明细!AD45</f>
        <v>10000</v>
      </c>
    </row>
    <row r="48" spans="1:4" x14ac:dyDescent="0.25">
      <c r="A48" s="1">
        <f>功能掉落明细!AA46</f>
        <v>44</v>
      </c>
      <c r="B48" s="1">
        <f ca="1">功能掉落明细!AB46</f>
        <v>20023</v>
      </c>
      <c r="C48" s="1">
        <f ca="1">功能掉落明细!AC46</f>
        <v>7</v>
      </c>
      <c r="D48" s="1">
        <f ca="1">功能掉落明细!AD46</f>
        <v>8000</v>
      </c>
    </row>
    <row r="49" spans="1:4" x14ac:dyDescent="0.25">
      <c r="A49" s="1">
        <f>功能掉落明细!AA47</f>
        <v>45</v>
      </c>
      <c r="B49" s="1">
        <f ca="1">功能掉落明细!AB47</f>
        <v>20023</v>
      </c>
      <c r="C49" s="1">
        <f ca="1">功能掉落明细!AC47</f>
        <v>2</v>
      </c>
      <c r="D49" s="1">
        <f ca="1">功能掉落明细!AD47</f>
        <v>9000</v>
      </c>
    </row>
    <row r="50" spans="1:4" x14ac:dyDescent="0.25">
      <c r="A50" s="1">
        <f>功能掉落明细!AA48</f>
        <v>46</v>
      </c>
      <c r="B50" s="1">
        <f ca="1">功能掉落明细!AB48</f>
        <v>20024</v>
      </c>
      <c r="C50" s="1">
        <f ca="1">功能掉落明细!AC48</f>
        <v>1</v>
      </c>
      <c r="D50" s="1">
        <f ca="1">功能掉落明细!AD48</f>
        <v>10000</v>
      </c>
    </row>
    <row r="51" spans="1:4" x14ac:dyDescent="0.25">
      <c r="A51" s="1">
        <f>功能掉落明细!AA49</f>
        <v>47</v>
      </c>
      <c r="B51" s="1">
        <f ca="1">功能掉落明细!AB49</f>
        <v>20024</v>
      </c>
      <c r="C51" s="1">
        <f ca="1">功能掉落明细!AC49</f>
        <v>7</v>
      </c>
      <c r="D51" s="1">
        <f ca="1">功能掉落明细!AD49</f>
        <v>8000</v>
      </c>
    </row>
    <row r="52" spans="1:4" x14ac:dyDescent="0.25">
      <c r="A52" s="1">
        <f>功能掉落明细!AA50</f>
        <v>48</v>
      </c>
      <c r="B52" s="1">
        <f ca="1">功能掉落明细!AB50</f>
        <v>20024</v>
      </c>
      <c r="C52" s="1">
        <f ca="1">功能掉落明细!AC50</f>
        <v>2</v>
      </c>
      <c r="D52" s="1">
        <f ca="1">功能掉落明细!AD50</f>
        <v>9000</v>
      </c>
    </row>
    <row r="53" spans="1:4" x14ac:dyDescent="0.25">
      <c r="A53" s="1">
        <f>功能掉落明细!AA51</f>
        <v>49</v>
      </c>
      <c r="B53" s="1">
        <f ca="1">功能掉落明细!AB51</f>
        <v>20025</v>
      </c>
      <c r="C53" s="1">
        <f ca="1">功能掉落明细!AC51</f>
        <v>1</v>
      </c>
      <c r="D53" s="1">
        <f ca="1">功能掉落明细!AD51</f>
        <v>10000</v>
      </c>
    </row>
    <row r="54" spans="1:4" x14ac:dyDescent="0.25">
      <c r="A54" s="1">
        <f>功能掉落明细!AA52</f>
        <v>50</v>
      </c>
      <c r="B54" s="1">
        <f ca="1">功能掉落明细!AB52</f>
        <v>20026</v>
      </c>
      <c r="C54" s="1">
        <f ca="1">功能掉落明细!AC52</f>
        <v>1</v>
      </c>
      <c r="D54" s="1">
        <f ca="1">功能掉落明细!AD52</f>
        <v>10000</v>
      </c>
    </row>
    <row r="55" spans="1:4" x14ac:dyDescent="0.25">
      <c r="A55" s="1">
        <f>功能掉落明细!AA53</f>
        <v>51</v>
      </c>
      <c r="B55" s="1">
        <f ca="1">功能掉落明细!AB53</f>
        <v>20026</v>
      </c>
      <c r="C55" s="1">
        <f ca="1">功能掉落明细!AC53</f>
        <v>5</v>
      </c>
      <c r="D55" s="1">
        <f ca="1">功能掉落明细!AD53</f>
        <v>8000</v>
      </c>
    </row>
    <row r="56" spans="1:4" x14ac:dyDescent="0.25">
      <c r="A56" s="1">
        <f>功能掉落明细!AA54</f>
        <v>52</v>
      </c>
      <c r="B56" s="1">
        <f ca="1">功能掉落明细!AB54</f>
        <v>20026</v>
      </c>
      <c r="C56" s="1">
        <f ca="1">功能掉落明细!AC54</f>
        <v>3</v>
      </c>
      <c r="D56" s="1">
        <f ca="1">功能掉落明细!AD54</f>
        <v>9000</v>
      </c>
    </row>
    <row r="57" spans="1:4" x14ac:dyDescent="0.25">
      <c r="A57" s="1">
        <f>功能掉落明细!AA55</f>
        <v>53</v>
      </c>
      <c r="B57" s="1">
        <f ca="1">功能掉落明细!AB55</f>
        <v>20027</v>
      </c>
      <c r="C57" s="1">
        <f ca="1">功能掉落明细!AC55</f>
        <v>1</v>
      </c>
      <c r="D57" s="1">
        <f ca="1">功能掉落明细!AD55</f>
        <v>10000</v>
      </c>
    </row>
    <row r="58" spans="1:4" x14ac:dyDescent="0.25">
      <c r="A58" s="1">
        <f>功能掉落明细!AA56</f>
        <v>54</v>
      </c>
      <c r="B58" s="1">
        <f ca="1">功能掉落明细!AB56</f>
        <v>20027</v>
      </c>
      <c r="C58" s="1">
        <f ca="1">功能掉落明细!AC56</f>
        <v>5</v>
      </c>
      <c r="D58" s="1">
        <f ca="1">功能掉落明细!AD56</f>
        <v>8000</v>
      </c>
    </row>
    <row r="59" spans="1:4" x14ac:dyDescent="0.25">
      <c r="A59" s="1">
        <f>功能掉落明细!AA57</f>
        <v>55</v>
      </c>
      <c r="B59" s="1">
        <f ca="1">功能掉落明细!AB57</f>
        <v>20027</v>
      </c>
      <c r="C59" s="1">
        <f ca="1">功能掉落明细!AC57</f>
        <v>3</v>
      </c>
      <c r="D59" s="1">
        <f ca="1">功能掉落明细!AD57</f>
        <v>9000</v>
      </c>
    </row>
    <row r="60" spans="1:4" x14ac:dyDescent="0.25">
      <c r="A60" s="1">
        <f>功能掉落明细!AA58</f>
        <v>56</v>
      </c>
      <c r="B60" s="1">
        <f ca="1">功能掉落明细!AB58</f>
        <v>20028</v>
      </c>
      <c r="C60" s="1">
        <f ca="1">功能掉落明细!AC58</f>
        <v>1</v>
      </c>
      <c r="D60" s="1">
        <f ca="1">功能掉落明细!AD58</f>
        <v>10000</v>
      </c>
    </row>
    <row r="61" spans="1:4" x14ac:dyDescent="0.25">
      <c r="A61" s="1">
        <f>功能掉落明细!AA59</f>
        <v>57</v>
      </c>
      <c r="B61" s="1">
        <f ca="1">功能掉落明细!AB59</f>
        <v>20028</v>
      </c>
      <c r="C61" s="1">
        <f ca="1">功能掉落明细!AC59</f>
        <v>5</v>
      </c>
      <c r="D61" s="1">
        <f ca="1">功能掉落明细!AD59</f>
        <v>8000</v>
      </c>
    </row>
    <row r="62" spans="1:4" x14ac:dyDescent="0.25">
      <c r="A62" s="1">
        <f>功能掉落明细!AA60</f>
        <v>58</v>
      </c>
      <c r="B62" s="1">
        <f ca="1">功能掉落明细!AB60</f>
        <v>20028</v>
      </c>
      <c r="C62" s="1">
        <f ca="1">功能掉落明细!AC60</f>
        <v>3</v>
      </c>
      <c r="D62" s="1">
        <f ca="1">功能掉落明细!AD60</f>
        <v>9000</v>
      </c>
    </row>
    <row r="63" spans="1:4" x14ac:dyDescent="0.25">
      <c r="A63" s="1">
        <f>功能掉落明细!AA61</f>
        <v>59</v>
      </c>
      <c r="B63" s="1">
        <f ca="1">功能掉落明细!AB61</f>
        <v>20029</v>
      </c>
      <c r="C63" s="1">
        <f ca="1">功能掉落明细!AC61</f>
        <v>1</v>
      </c>
      <c r="D63" s="1">
        <f ca="1">功能掉落明细!AD61</f>
        <v>10000</v>
      </c>
    </row>
    <row r="64" spans="1:4" x14ac:dyDescent="0.25">
      <c r="A64" s="1">
        <f>功能掉落明细!AA62</f>
        <v>60</v>
      </c>
      <c r="B64" s="1">
        <f ca="1">功能掉落明细!AB62</f>
        <v>20029</v>
      </c>
      <c r="C64" s="1">
        <f ca="1">功能掉落明细!AC62</f>
        <v>6</v>
      </c>
      <c r="D64" s="1">
        <f ca="1">功能掉落明细!AD62</f>
        <v>8000</v>
      </c>
    </row>
    <row r="65" spans="1:4" x14ac:dyDescent="0.25">
      <c r="A65" s="1">
        <f>功能掉落明细!AA63</f>
        <v>61</v>
      </c>
      <c r="B65" s="1">
        <f ca="1">功能掉落明细!AB63</f>
        <v>20029</v>
      </c>
      <c r="C65" s="1">
        <f ca="1">功能掉落明细!AC63</f>
        <v>2</v>
      </c>
      <c r="D65" s="1">
        <f ca="1">功能掉落明细!AD63</f>
        <v>9000</v>
      </c>
    </row>
    <row r="66" spans="1:4" x14ac:dyDescent="0.25">
      <c r="A66" s="1">
        <f>功能掉落明细!AA64</f>
        <v>62</v>
      </c>
      <c r="B66" s="1">
        <f ca="1">功能掉落明细!AB64</f>
        <v>20030</v>
      </c>
      <c r="C66" s="1">
        <f ca="1">功能掉落明细!AC64</f>
        <v>1</v>
      </c>
      <c r="D66" s="1">
        <f ca="1">功能掉落明细!AD64</f>
        <v>10000</v>
      </c>
    </row>
    <row r="67" spans="1:4" x14ac:dyDescent="0.25">
      <c r="A67" s="1">
        <f>功能掉落明细!AA65</f>
        <v>63</v>
      </c>
      <c r="B67" s="1">
        <f ca="1">功能掉落明细!AB65</f>
        <v>20030</v>
      </c>
      <c r="C67" s="1">
        <f ca="1">功能掉落明细!AC65</f>
        <v>6</v>
      </c>
      <c r="D67" s="1">
        <f ca="1">功能掉落明细!AD65</f>
        <v>8000</v>
      </c>
    </row>
    <row r="68" spans="1:4" x14ac:dyDescent="0.25">
      <c r="A68" s="1">
        <f>功能掉落明细!AA66</f>
        <v>64</v>
      </c>
      <c r="B68" s="1">
        <f ca="1">功能掉落明细!AB66</f>
        <v>20030</v>
      </c>
      <c r="C68" s="1">
        <f ca="1">功能掉落明细!AC66</f>
        <v>2</v>
      </c>
      <c r="D68" s="1">
        <f ca="1">功能掉落明细!AD66</f>
        <v>9000</v>
      </c>
    </row>
    <row r="69" spans="1:4" x14ac:dyDescent="0.25">
      <c r="A69" s="1">
        <f>功能掉落明细!AA67</f>
        <v>65</v>
      </c>
      <c r="B69" s="1">
        <f ca="1">功能掉落明细!AB67</f>
        <v>20031</v>
      </c>
      <c r="C69" s="1">
        <f ca="1">功能掉落明细!AC67</f>
        <v>1</v>
      </c>
      <c r="D69" s="1">
        <f ca="1">功能掉落明细!AD67</f>
        <v>10000</v>
      </c>
    </row>
    <row r="70" spans="1:4" x14ac:dyDescent="0.25">
      <c r="A70" s="1">
        <f>功能掉落明细!AA68</f>
        <v>66</v>
      </c>
      <c r="B70" s="1">
        <f ca="1">功能掉落明细!AB68</f>
        <v>20031</v>
      </c>
      <c r="C70" s="1">
        <f ca="1">功能掉落明细!AC68</f>
        <v>6</v>
      </c>
      <c r="D70" s="1">
        <f ca="1">功能掉落明细!AD68</f>
        <v>8000</v>
      </c>
    </row>
    <row r="71" spans="1:4" x14ac:dyDescent="0.25">
      <c r="A71" s="1">
        <f>功能掉落明细!AA69</f>
        <v>67</v>
      </c>
      <c r="B71" s="1">
        <f ca="1">功能掉落明细!AB69</f>
        <v>20031</v>
      </c>
      <c r="C71" s="1">
        <f ca="1">功能掉落明细!AC69</f>
        <v>2</v>
      </c>
      <c r="D71" s="1">
        <f ca="1">功能掉落明细!AD69</f>
        <v>9000</v>
      </c>
    </row>
    <row r="72" spans="1:4" x14ac:dyDescent="0.25">
      <c r="A72" s="1">
        <f>功能掉落明细!AA70</f>
        <v>68</v>
      </c>
      <c r="B72" s="1">
        <f ca="1">功能掉落明细!AB70</f>
        <v>20032</v>
      </c>
      <c r="C72" s="1">
        <f ca="1">功能掉落明细!AC70</f>
        <v>1</v>
      </c>
      <c r="D72" s="1">
        <f ca="1">功能掉落明细!AD70</f>
        <v>10000</v>
      </c>
    </row>
    <row r="73" spans="1:4" x14ac:dyDescent="0.25">
      <c r="A73" s="1">
        <f>功能掉落明细!AA71</f>
        <v>69</v>
      </c>
      <c r="B73" s="1">
        <f ca="1">功能掉落明细!AB71</f>
        <v>20032</v>
      </c>
      <c r="C73" s="1">
        <f ca="1">功能掉落明细!AC71</f>
        <v>7</v>
      </c>
      <c r="D73" s="1">
        <f ca="1">功能掉落明细!AD71</f>
        <v>8000</v>
      </c>
    </row>
    <row r="74" spans="1:4" x14ac:dyDescent="0.25">
      <c r="A74" s="1">
        <f>功能掉落明细!AA72</f>
        <v>70</v>
      </c>
      <c r="B74" s="1">
        <f ca="1">功能掉落明细!AB72</f>
        <v>20032</v>
      </c>
      <c r="C74" s="1">
        <f ca="1">功能掉落明细!AC72</f>
        <v>4</v>
      </c>
      <c r="D74" s="1">
        <f ca="1">功能掉落明细!AD72</f>
        <v>9000</v>
      </c>
    </row>
    <row r="75" spans="1:4" x14ac:dyDescent="0.25">
      <c r="A75" s="1">
        <f>功能掉落明细!AA73</f>
        <v>71</v>
      </c>
      <c r="B75" s="1">
        <f ca="1">功能掉落明细!AB73</f>
        <v>20033</v>
      </c>
      <c r="C75" s="1">
        <f ca="1">功能掉落明细!AC73</f>
        <v>1</v>
      </c>
      <c r="D75" s="1">
        <f ca="1">功能掉落明细!AD73</f>
        <v>10000</v>
      </c>
    </row>
    <row r="76" spans="1:4" x14ac:dyDescent="0.25">
      <c r="A76" s="1">
        <f>功能掉落明细!AA74</f>
        <v>72</v>
      </c>
      <c r="B76" s="1">
        <f ca="1">功能掉落明细!AB74</f>
        <v>20033</v>
      </c>
      <c r="C76" s="1">
        <f ca="1">功能掉落明细!AC74</f>
        <v>7</v>
      </c>
      <c r="D76" s="1">
        <f ca="1">功能掉落明细!AD74</f>
        <v>8000</v>
      </c>
    </row>
    <row r="77" spans="1:4" x14ac:dyDescent="0.25">
      <c r="A77" s="1">
        <f>功能掉落明细!AA75</f>
        <v>73</v>
      </c>
      <c r="B77" s="1">
        <f ca="1">功能掉落明细!AB75</f>
        <v>20033</v>
      </c>
      <c r="C77" s="1">
        <f ca="1">功能掉落明细!AC75</f>
        <v>4</v>
      </c>
      <c r="D77" s="1">
        <f ca="1">功能掉落明细!AD75</f>
        <v>9000</v>
      </c>
    </row>
    <row r="78" spans="1:4" x14ac:dyDescent="0.25">
      <c r="A78" s="1">
        <f>功能掉落明细!AA76</f>
        <v>74</v>
      </c>
      <c r="B78" s="1">
        <f ca="1">功能掉落明细!AB76</f>
        <v>20034</v>
      </c>
      <c r="C78" s="1">
        <f ca="1">功能掉落明细!AC76</f>
        <v>1</v>
      </c>
      <c r="D78" s="1">
        <f ca="1">功能掉落明细!AD76</f>
        <v>10000</v>
      </c>
    </row>
    <row r="79" spans="1:4" x14ac:dyDescent="0.25">
      <c r="A79" s="1">
        <f>功能掉落明细!AA77</f>
        <v>75</v>
      </c>
      <c r="B79" s="1">
        <f ca="1">功能掉落明细!AB77</f>
        <v>20034</v>
      </c>
      <c r="C79" s="1">
        <f ca="1">功能掉落明细!AC77</f>
        <v>7</v>
      </c>
      <c r="D79" s="1">
        <f ca="1">功能掉落明细!AD77</f>
        <v>8000</v>
      </c>
    </row>
    <row r="80" spans="1:4" x14ac:dyDescent="0.25">
      <c r="A80" s="1">
        <f>功能掉落明细!AA78</f>
        <v>76</v>
      </c>
      <c r="B80" s="1">
        <f ca="1">功能掉落明细!AB78</f>
        <v>20034</v>
      </c>
      <c r="C80" s="1">
        <f ca="1">功能掉落明细!AC78</f>
        <v>4</v>
      </c>
      <c r="D80" s="1">
        <f ca="1">功能掉落明细!AD78</f>
        <v>9000</v>
      </c>
    </row>
    <row r="81" spans="1:4" x14ac:dyDescent="0.25">
      <c r="A81" s="1">
        <f>功能掉落明细!AA79</f>
        <v>77</v>
      </c>
      <c r="B81" s="1">
        <f ca="1">功能掉落明细!AB79</f>
        <v>20035</v>
      </c>
      <c r="C81" s="1">
        <f ca="1">功能掉落明细!AC79</f>
        <v>1</v>
      </c>
      <c r="D81" s="1">
        <f ca="1">功能掉落明细!AD79</f>
        <v>10000</v>
      </c>
    </row>
    <row r="82" spans="1:4" x14ac:dyDescent="0.25">
      <c r="A82" s="1">
        <f>功能掉落明细!AA80</f>
        <v>78</v>
      </c>
      <c r="B82" s="1">
        <f ca="1">功能掉落明细!AB80</f>
        <v>20036</v>
      </c>
      <c r="C82" s="1">
        <f ca="1">功能掉落明细!AC80</f>
        <v>1</v>
      </c>
      <c r="D82" s="1">
        <f ca="1">功能掉落明细!AD80</f>
        <v>10000</v>
      </c>
    </row>
    <row r="83" spans="1:4" x14ac:dyDescent="0.25">
      <c r="A83" s="1">
        <f>功能掉落明细!AA81</f>
        <v>79</v>
      </c>
      <c r="B83" s="1">
        <f ca="1">功能掉落明细!AB81</f>
        <v>20036</v>
      </c>
      <c r="C83" s="1">
        <f ca="1">功能掉落明细!AC81</f>
        <v>5</v>
      </c>
      <c r="D83" s="1">
        <f ca="1">功能掉落明细!AD81</f>
        <v>8000</v>
      </c>
    </row>
    <row r="84" spans="1:4" x14ac:dyDescent="0.25">
      <c r="A84" s="1">
        <f>功能掉落明细!AA82</f>
        <v>80</v>
      </c>
      <c r="B84" s="1">
        <f ca="1">功能掉落明细!AB82</f>
        <v>20036</v>
      </c>
      <c r="C84" s="1">
        <f ca="1">功能掉落明细!AC82</f>
        <v>4</v>
      </c>
      <c r="D84" s="1">
        <f ca="1">功能掉落明细!AD82</f>
        <v>9000</v>
      </c>
    </row>
    <row r="85" spans="1:4" x14ac:dyDescent="0.25">
      <c r="A85" s="1">
        <f>功能掉落明细!AA83</f>
        <v>81</v>
      </c>
      <c r="B85" s="1">
        <f ca="1">功能掉落明细!AB83</f>
        <v>20037</v>
      </c>
      <c r="C85" s="1">
        <f ca="1">功能掉落明细!AC83</f>
        <v>1</v>
      </c>
      <c r="D85" s="1">
        <f ca="1">功能掉落明细!AD83</f>
        <v>10000</v>
      </c>
    </row>
    <row r="86" spans="1:4" x14ac:dyDescent="0.25">
      <c r="A86" s="1">
        <f>功能掉落明细!AA84</f>
        <v>82</v>
      </c>
      <c r="B86" s="1">
        <f ca="1">功能掉落明细!AB84</f>
        <v>20037</v>
      </c>
      <c r="C86" s="1">
        <f ca="1">功能掉落明细!AC84</f>
        <v>5</v>
      </c>
      <c r="D86" s="1">
        <f ca="1">功能掉落明细!AD84</f>
        <v>8000</v>
      </c>
    </row>
    <row r="87" spans="1:4" x14ac:dyDescent="0.25">
      <c r="A87" s="1">
        <f>功能掉落明细!AA85</f>
        <v>83</v>
      </c>
      <c r="B87" s="1">
        <f ca="1">功能掉落明细!AB85</f>
        <v>20037</v>
      </c>
      <c r="C87" s="1">
        <f ca="1">功能掉落明细!AC85</f>
        <v>4</v>
      </c>
      <c r="D87" s="1">
        <f ca="1">功能掉落明细!AD85</f>
        <v>9000</v>
      </c>
    </row>
    <row r="88" spans="1:4" x14ac:dyDescent="0.25">
      <c r="A88" s="1">
        <f>功能掉落明细!AA86</f>
        <v>84</v>
      </c>
      <c r="B88" s="1">
        <f ca="1">功能掉落明细!AB86</f>
        <v>20038</v>
      </c>
      <c r="C88" s="1">
        <f ca="1">功能掉落明细!AC86</f>
        <v>1</v>
      </c>
      <c r="D88" s="1">
        <f ca="1">功能掉落明细!AD86</f>
        <v>10000</v>
      </c>
    </row>
    <row r="89" spans="1:4" x14ac:dyDescent="0.25">
      <c r="A89" s="1">
        <f>功能掉落明细!AA87</f>
        <v>85</v>
      </c>
      <c r="B89" s="1">
        <f ca="1">功能掉落明细!AB87</f>
        <v>20038</v>
      </c>
      <c r="C89" s="1">
        <f ca="1">功能掉落明细!AC87</f>
        <v>5</v>
      </c>
      <c r="D89" s="1">
        <f ca="1">功能掉落明细!AD87</f>
        <v>8000</v>
      </c>
    </row>
    <row r="90" spans="1:4" x14ac:dyDescent="0.25">
      <c r="A90" s="1">
        <f>功能掉落明细!AA88</f>
        <v>86</v>
      </c>
      <c r="B90" s="1">
        <f ca="1">功能掉落明细!AB88</f>
        <v>20038</v>
      </c>
      <c r="C90" s="1">
        <f ca="1">功能掉落明细!AC88</f>
        <v>4</v>
      </c>
      <c r="D90" s="1">
        <f ca="1">功能掉落明细!AD88</f>
        <v>9000</v>
      </c>
    </row>
    <row r="91" spans="1:4" x14ac:dyDescent="0.25">
      <c r="A91" s="1">
        <f>功能掉落明细!AA89</f>
        <v>87</v>
      </c>
      <c r="B91" s="1">
        <f ca="1">功能掉落明细!AB89</f>
        <v>20039</v>
      </c>
      <c r="C91" s="1">
        <f ca="1">功能掉落明细!AC89</f>
        <v>1</v>
      </c>
      <c r="D91" s="1">
        <f ca="1">功能掉落明细!AD89</f>
        <v>10000</v>
      </c>
    </row>
    <row r="92" spans="1:4" x14ac:dyDescent="0.25">
      <c r="A92" s="1">
        <f>功能掉落明细!AA90</f>
        <v>88</v>
      </c>
      <c r="B92" s="1">
        <f ca="1">功能掉落明细!AB90</f>
        <v>20039</v>
      </c>
      <c r="C92" s="1">
        <f ca="1">功能掉落明细!AC90</f>
        <v>6</v>
      </c>
      <c r="D92" s="1">
        <f ca="1">功能掉落明细!AD90</f>
        <v>8000</v>
      </c>
    </row>
    <row r="93" spans="1:4" x14ac:dyDescent="0.25">
      <c r="A93" s="1">
        <f>功能掉落明细!AA91</f>
        <v>89</v>
      </c>
      <c r="B93" s="1">
        <f ca="1">功能掉落明细!AB91</f>
        <v>20039</v>
      </c>
      <c r="C93" s="1">
        <f ca="1">功能掉落明细!AC91</f>
        <v>2</v>
      </c>
      <c r="D93" s="1">
        <f ca="1">功能掉落明细!AD91</f>
        <v>9000</v>
      </c>
    </row>
    <row r="94" spans="1:4" x14ac:dyDescent="0.25">
      <c r="A94" s="1">
        <f>功能掉落明细!AA92</f>
        <v>90</v>
      </c>
      <c r="B94" s="1">
        <f ca="1">功能掉落明细!AB92</f>
        <v>20040</v>
      </c>
      <c r="C94" s="1">
        <f ca="1">功能掉落明细!AC92</f>
        <v>1</v>
      </c>
      <c r="D94" s="1">
        <f ca="1">功能掉落明细!AD92</f>
        <v>10000</v>
      </c>
    </row>
    <row r="95" spans="1:4" x14ac:dyDescent="0.25">
      <c r="A95" s="1">
        <f>功能掉落明细!AA93</f>
        <v>91</v>
      </c>
      <c r="B95" s="1">
        <f ca="1">功能掉落明细!AB93</f>
        <v>20040</v>
      </c>
      <c r="C95" s="1">
        <f ca="1">功能掉落明细!AC93</f>
        <v>6</v>
      </c>
      <c r="D95" s="1">
        <f ca="1">功能掉落明细!AD93</f>
        <v>8000</v>
      </c>
    </row>
    <row r="96" spans="1:4" x14ac:dyDescent="0.25">
      <c r="A96" s="1">
        <f>功能掉落明细!AA94</f>
        <v>92</v>
      </c>
      <c r="B96" s="1">
        <f ca="1">功能掉落明细!AB94</f>
        <v>20040</v>
      </c>
      <c r="C96" s="1">
        <f ca="1">功能掉落明细!AC94</f>
        <v>2</v>
      </c>
      <c r="D96" s="1">
        <f ca="1">功能掉落明细!AD94</f>
        <v>9000</v>
      </c>
    </row>
    <row r="97" spans="1:4" x14ac:dyDescent="0.25">
      <c r="A97" s="1">
        <f>功能掉落明细!AA95</f>
        <v>93</v>
      </c>
      <c r="B97" s="1">
        <f ca="1">功能掉落明细!AB95</f>
        <v>20041</v>
      </c>
      <c r="C97" s="1">
        <f ca="1">功能掉落明细!AC95</f>
        <v>1</v>
      </c>
      <c r="D97" s="1">
        <f ca="1">功能掉落明细!AD95</f>
        <v>10000</v>
      </c>
    </row>
    <row r="98" spans="1:4" x14ac:dyDescent="0.25">
      <c r="A98" s="1">
        <f>功能掉落明细!AA96</f>
        <v>94</v>
      </c>
      <c r="B98" s="1">
        <f ca="1">功能掉落明细!AB96</f>
        <v>20041</v>
      </c>
      <c r="C98" s="1">
        <f ca="1">功能掉落明细!AC96</f>
        <v>6</v>
      </c>
      <c r="D98" s="1">
        <f ca="1">功能掉落明细!AD96</f>
        <v>8000</v>
      </c>
    </row>
    <row r="99" spans="1:4" x14ac:dyDescent="0.25">
      <c r="A99" s="1">
        <f>功能掉落明细!AA97</f>
        <v>95</v>
      </c>
      <c r="B99" s="1">
        <f ca="1">功能掉落明细!AB97</f>
        <v>20041</v>
      </c>
      <c r="C99" s="1">
        <f ca="1">功能掉落明细!AC97</f>
        <v>2</v>
      </c>
      <c r="D99" s="1">
        <f ca="1">功能掉落明细!AD97</f>
        <v>9000</v>
      </c>
    </row>
    <row r="100" spans="1:4" x14ac:dyDescent="0.25">
      <c r="A100" s="1">
        <f>功能掉落明细!AA98</f>
        <v>96</v>
      </c>
      <c r="B100" s="1">
        <f ca="1">功能掉落明细!AB98</f>
        <v>20042</v>
      </c>
      <c r="C100" s="1">
        <f ca="1">功能掉落明细!AC98</f>
        <v>1</v>
      </c>
      <c r="D100" s="1">
        <f ca="1">功能掉落明细!AD98</f>
        <v>10000</v>
      </c>
    </row>
    <row r="101" spans="1:4" x14ac:dyDescent="0.25">
      <c r="A101" s="1">
        <f>功能掉落明细!AA99</f>
        <v>97</v>
      </c>
      <c r="B101" s="1">
        <f ca="1">功能掉落明细!AB99</f>
        <v>20042</v>
      </c>
      <c r="C101" s="1">
        <f ca="1">功能掉落明细!AC99</f>
        <v>7</v>
      </c>
      <c r="D101" s="1">
        <f ca="1">功能掉落明细!AD99</f>
        <v>8000</v>
      </c>
    </row>
    <row r="102" spans="1:4" x14ac:dyDescent="0.25">
      <c r="A102" s="1">
        <f>功能掉落明细!AA100</f>
        <v>98</v>
      </c>
      <c r="B102" s="1">
        <f ca="1">功能掉落明细!AB100</f>
        <v>20042</v>
      </c>
      <c r="C102" s="1">
        <f ca="1">功能掉落明细!AC100</f>
        <v>3</v>
      </c>
      <c r="D102" s="1">
        <f ca="1">功能掉落明细!AD100</f>
        <v>9000</v>
      </c>
    </row>
    <row r="103" spans="1:4" x14ac:dyDescent="0.25">
      <c r="A103" s="1">
        <f>功能掉落明细!AA101</f>
        <v>99</v>
      </c>
      <c r="B103" s="1">
        <f ca="1">功能掉落明细!AB101</f>
        <v>20043</v>
      </c>
      <c r="C103" s="1">
        <f ca="1">功能掉落明细!AC101</f>
        <v>1</v>
      </c>
      <c r="D103" s="1">
        <f ca="1">功能掉落明细!AD101</f>
        <v>10000</v>
      </c>
    </row>
    <row r="104" spans="1:4" x14ac:dyDescent="0.25">
      <c r="A104" s="1">
        <f>功能掉落明细!AA102</f>
        <v>100</v>
      </c>
      <c r="B104" s="1">
        <f ca="1">功能掉落明细!AB102</f>
        <v>20043</v>
      </c>
      <c r="C104" s="1">
        <f ca="1">功能掉落明细!AC102</f>
        <v>7</v>
      </c>
      <c r="D104" s="1">
        <f ca="1">功能掉落明细!AD102</f>
        <v>8000</v>
      </c>
    </row>
    <row r="105" spans="1:4" x14ac:dyDescent="0.25">
      <c r="A105" s="1">
        <f>功能掉落明细!AA103</f>
        <v>101</v>
      </c>
      <c r="B105" s="1">
        <f ca="1">功能掉落明细!AB103</f>
        <v>20043</v>
      </c>
      <c r="C105" s="1">
        <f ca="1">功能掉落明细!AC103</f>
        <v>3</v>
      </c>
      <c r="D105" s="1">
        <f ca="1">功能掉落明细!AD103</f>
        <v>9000</v>
      </c>
    </row>
    <row r="106" spans="1:4" x14ac:dyDescent="0.25">
      <c r="A106" s="1">
        <f>功能掉落明细!AA104</f>
        <v>102</v>
      </c>
      <c r="B106" s="1">
        <f ca="1">功能掉落明细!AB104</f>
        <v>20044</v>
      </c>
      <c r="C106" s="1">
        <f ca="1">功能掉落明细!AC104</f>
        <v>1</v>
      </c>
      <c r="D106" s="1">
        <f ca="1">功能掉落明细!AD104</f>
        <v>10000</v>
      </c>
    </row>
    <row r="107" spans="1:4" x14ac:dyDescent="0.25">
      <c r="A107" s="1">
        <f>功能掉落明细!AA105</f>
        <v>103</v>
      </c>
      <c r="B107" s="1">
        <f ca="1">功能掉落明细!AB105</f>
        <v>20044</v>
      </c>
      <c r="C107" s="1">
        <f ca="1">功能掉落明细!AC105</f>
        <v>7</v>
      </c>
      <c r="D107" s="1">
        <f ca="1">功能掉落明细!AD105</f>
        <v>8000</v>
      </c>
    </row>
    <row r="108" spans="1:4" x14ac:dyDescent="0.25">
      <c r="A108" s="1">
        <f>功能掉落明细!AA106</f>
        <v>104</v>
      </c>
      <c r="B108" s="1">
        <f ca="1">功能掉落明细!AB106</f>
        <v>20044</v>
      </c>
      <c r="C108" s="1">
        <f ca="1">功能掉落明细!AC106</f>
        <v>3</v>
      </c>
      <c r="D108" s="1">
        <f ca="1">功能掉落明细!AD106</f>
        <v>9000</v>
      </c>
    </row>
    <row r="109" spans="1:4" x14ac:dyDescent="0.25">
      <c r="A109" s="1">
        <f>功能掉落明细!AA107</f>
        <v>105</v>
      </c>
      <c r="B109" s="1">
        <f ca="1">功能掉落明细!AB107</f>
        <v>20045</v>
      </c>
      <c r="C109" s="1">
        <f ca="1">功能掉落明细!AC107</f>
        <v>1</v>
      </c>
      <c r="D109" s="1">
        <f ca="1">功能掉落明细!AD107</f>
        <v>10000</v>
      </c>
    </row>
    <row r="110" spans="1:4" x14ac:dyDescent="0.25">
      <c r="A110" s="1">
        <f>功能掉落明细!AA108</f>
        <v>106</v>
      </c>
      <c r="B110" s="1">
        <f ca="1">功能掉落明细!AB108</f>
        <v>20046</v>
      </c>
      <c r="C110" s="1">
        <f ca="1">功能掉落明细!AC108</f>
        <v>1</v>
      </c>
      <c r="D110" s="1">
        <f ca="1">功能掉落明细!AD108</f>
        <v>10000</v>
      </c>
    </row>
    <row r="111" spans="1:4" x14ac:dyDescent="0.25">
      <c r="A111" s="1">
        <f>功能掉落明细!AA109</f>
        <v>107</v>
      </c>
      <c r="B111" s="1">
        <f ca="1">功能掉落明细!AB109</f>
        <v>20046</v>
      </c>
      <c r="C111" s="1">
        <f ca="1">功能掉落明细!AC109</f>
        <v>8</v>
      </c>
      <c r="D111" s="1">
        <f ca="1">功能掉落明细!AD109</f>
        <v>7000</v>
      </c>
    </row>
    <row r="112" spans="1:4" x14ac:dyDescent="0.25">
      <c r="A112" s="1">
        <f>功能掉落明细!AA110</f>
        <v>108</v>
      </c>
      <c r="B112" s="1">
        <f ca="1">功能掉落明细!AB110</f>
        <v>20046</v>
      </c>
      <c r="C112" s="1">
        <f ca="1">功能掉落明细!AC110</f>
        <v>6</v>
      </c>
      <c r="D112" s="1">
        <f ca="1">功能掉落明细!AD110</f>
        <v>8000</v>
      </c>
    </row>
    <row r="113" spans="1:4" x14ac:dyDescent="0.25">
      <c r="A113" s="1">
        <f>功能掉落明细!AA111</f>
        <v>109</v>
      </c>
      <c r="B113" s="1">
        <f ca="1">功能掉落明细!AB111</f>
        <v>20046</v>
      </c>
      <c r="C113" s="1">
        <f ca="1">功能掉落明细!AC111</f>
        <v>4</v>
      </c>
      <c r="D113" s="1">
        <f ca="1">功能掉落明细!AD111</f>
        <v>9000</v>
      </c>
    </row>
    <row r="114" spans="1:4" x14ac:dyDescent="0.25">
      <c r="A114" s="1">
        <f>功能掉落明细!AA112</f>
        <v>110</v>
      </c>
      <c r="B114" s="1">
        <f ca="1">功能掉落明细!AB112</f>
        <v>20047</v>
      </c>
      <c r="C114" s="1">
        <f ca="1">功能掉落明细!AC112</f>
        <v>1</v>
      </c>
      <c r="D114" s="1">
        <f ca="1">功能掉落明细!AD112</f>
        <v>10000</v>
      </c>
    </row>
    <row r="115" spans="1:4" x14ac:dyDescent="0.25">
      <c r="A115" s="1">
        <f>功能掉落明细!AA113</f>
        <v>111</v>
      </c>
      <c r="B115" s="1">
        <f ca="1">功能掉落明细!AB113</f>
        <v>20047</v>
      </c>
      <c r="C115" s="1">
        <f ca="1">功能掉落明细!AC113</f>
        <v>8</v>
      </c>
      <c r="D115" s="1">
        <f ca="1">功能掉落明细!AD113</f>
        <v>7000</v>
      </c>
    </row>
    <row r="116" spans="1:4" x14ac:dyDescent="0.25">
      <c r="A116" s="1">
        <f>功能掉落明细!AA114</f>
        <v>112</v>
      </c>
      <c r="B116" s="1">
        <f ca="1">功能掉落明细!AB114</f>
        <v>20047</v>
      </c>
      <c r="C116" s="1">
        <f ca="1">功能掉落明细!AC114</f>
        <v>6</v>
      </c>
      <c r="D116" s="1">
        <f ca="1">功能掉落明细!AD114</f>
        <v>8000</v>
      </c>
    </row>
    <row r="117" spans="1:4" x14ac:dyDescent="0.25">
      <c r="A117" s="1">
        <f>功能掉落明细!AA115</f>
        <v>113</v>
      </c>
      <c r="B117" s="1">
        <f ca="1">功能掉落明细!AB115</f>
        <v>20047</v>
      </c>
      <c r="C117" s="1">
        <f ca="1">功能掉落明细!AC115</f>
        <v>4</v>
      </c>
      <c r="D117" s="1">
        <f ca="1">功能掉落明细!AD115</f>
        <v>9000</v>
      </c>
    </row>
    <row r="118" spans="1:4" x14ac:dyDescent="0.25">
      <c r="A118" s="1">
        <f>功能掉落明细!AA116</f>
        <v>114</v>
      </c>
      <c r="B118" s="1">
        <f ca="1">功能掉落明细!AB116</f>
        <v>20048</v>
      </c>
      <c r="C118" s="1">
        <f ca="1">功能掉落明细!AC116</f>
        <v>1</v>
      </c>
      <c r="D118" s="1">
        <f ca="1">功能掉落明细!AD116</f>
        <v>10000</v>
      </c>
    </row>
    <row r="119" spans="1:4" x14ac:dyDescent="0.25">
      <c r="A119" s="1">
        <f>功能掉落明细!AA117</f>
        <v>115</v>
      </c>
      <c r="B119" s="1">
        <f ca="1">功能掉落明细!AB117</f>
        <v>20048</v>
      </c>
      <c r="C119" s="1">
        <f ca="1">功能掉落明细!AC117</f>
        <v>8</v>
      </c>
      <c r="D119" s="1">
        <f ca="1">功能掉落明细!AD117</f>
        <v>7000</v>
      </c>
    </row>
    <row r="120" spans="1:4" x14ac:dyDescent="0.25">
      <c r="A120" s="1">
        <f>功能掉落明细!AA118</f>
        <v>116</v>
      </c>
      <c r="B120" s="1">
        <f ca="1">功能掉落明细!AB118</f>
        <v>20048</v>
      </c>
      <c r="C120" s="1">
        <f ca="1">功能掉落明细!AC118</f>
        <v>6</v>
      </c>
      <c r="D120" s="1">
        <f ca="1">功能掉落明细!AD118</f>
        <v>8000</v>
      </c>
    </row>
    <row r="121" spans="1:4" x14ac:dyDescent="0.25">
      <c r="A121" s="1">
        <f>功能掉落明细!AA119</f>
        <v>117</v>
      </c>
      <c r="B121" s="1">
        <f ca="1">功能掉落明细!AB119</f>
        <v>20048</v>
      </c>
      <c r="C121" s="1">
        <f ca="1">功能掉落明细!AC119</f>
        <v>4</v>
      </c>
      <c r="D121" s="1">
        <f ca="1">功能掉落明细!AD119</f>
        <v>9000</v>
      </c>
    </row>
    <row r="122" spans="1:4" x14ac:dyDescent="0.25">
      <c r="A122" s="1">
        <f>功能掉落明细!AA120</f>
        <v>118</v>
      </c>
      <c r="B122" s="1">
        <f ca="1">功能掉落明细!AB120</f>
        <v>20049</v>
      </c>
      <c r="C122" s="1">
        <f ca="1">功能掉落明细!AC120</f>
        <v>1</v>
      </c>
      <c r="D122" s="1">
        <f ca="1">功能掉落明细!AD120</f>
        <v>10000</v>
      </c>
    </row>
    <row r="123" spans="1:4" x14ac:dyDescent="0.25">
      <c r="A123" s="1">
        <f>功能掉落明细!AA121</f>
        <v>119</v>
      </c>
      <c r="B123" s="1">
        <f ca="1">功能掉落明细!AB121</f>
        <v>20049</v>
      </c>
      <c r="C123" s="1">
        <f ca="1">功能掉落明细!AC121</f>
        <v>9</v>
      </c>
      <c r="D123" s="1">
        <f ca="1">功能掉落明细!AD121</f>
        <v>7000</v>
      </c>
    </row>
    <row r="124" spans="1:4" x14ac:dyDescent="0.25">
      <c r="A124" s="1">
        <f>功能掉落明细!AA122</f>
        <v>120</v>
      </c>
      <c r="B124" s="1">
        <f ca="1">功能掉落明细!AB122</f>
        <v>20049</v>
      </c>
      <c r="C124" s="1">
        <f ca="1">功能掉落明细!AC122</f>
        <v>7</v>
      </c>
      <c r="D124" s="1">
        <f ca="1">功能掉落明细!AD122</f>
        <v>8000</v>
      </c>
    </row>
    <row r="125" spans="1:4" x14ac:dyDescent="0.25">
      <c r="A125" s="1">
        <f>功能掉落明细!AA123</f>
        <v>121</v>
      </c>
      <c r="B125" s="1">
        <f ca="1">功能掉落明细!AB123</f>
        <v>20049</v>
      </c>
      <c r="C125" s="1">
        <f ca="1">功能掉落明细!AC123</f>
        <v>3</v>
      </c>
      <c r="D125" s="1">
        <f ca="1">功能掉落明细!AD123</f>
        <v>9000</v>
      </c>
    </row>
    <row r="126" spans="1:4" x14ac:dyDescent="0.25">
      <c r="A126" s="1">
        <f>功能掉落明细!AA124</f>
        <v>122</v>
      </c>
      <c r="B126" s="1">
        <f ca="1">功能掉落明细!AB124</f>
        <v>20050</v>
      </c>
      <c r="C126" s="1">
        <f ca="1">功能掉落明细!AC124</f>
        <v>1</v>
      </c>
      <c r="D126" s="1">
        <f ca="1">功能掉落明细!AD124</f>
        <v>10000</v>
      </c>
    </row>
    <row r="127" spans="1:4" x14ac:dyDescent="0.25">
      <c r="A127" s="1">
        <f>功能掉落明细!AA125</f>
        <v>123</v>
      </c>
      <c r="B127" s="1">
        <f ca="1">功能掉落明细!AB125</f>
        <v>20050</v>
      </c>
      <c r="C127" s="1">
        <f ca="1">功能掉落明细!AC125</f>
        <v>9</v>
      </c>
      <c r="D127" s="1">
        <f ca="1">功能掉落明细!AD125</f>
        <v>7000</v>
      </c>
    </row>
    <row r="128" spans="1:4" x14ac:dyDescent="0.25">
      <c r="A128" s="1">
        <f>功能掉落明细!AA126</f>
        <v>124</v>
      </c>
      <c r="B128" s="1">
        <f ca="1">功能掉落明细!AB126</f>
        <v>20050</v>
      </c>
      <c r="C128" s="1">
        <f ca="1">功能掉落明细!AC126</f>
        <v>7</v>
      </c>
      <c r="D128" s="1">
        <f ca="1">功能掉落明细!AD126</f>
        <v>8000</v>
      </c>
    </row>
    <row r="129" spans="1:4" x14ac:dyDescent="0.25">
      <c r="A129" s="1">
        <f>功能掉落明细!AA127</f>
        <v>125</v>
      </c>
      <c r="B129" s="1">
        <f ca="1">功能掉落明细!AB127</f>
        <v>20050</v>
      </c>
      <c r="C129" s="1">
        <f ca="1">功能掉落明细!AC127</f>
        <v>3</v>
      </c>
      <c r="D129" s="1">
        <f ca="1">功能掉落明细!AD127</f>
        <v>9000</v>
      </c>
    </row>
    <row r="130" spans="1:4" x14ac:dyDescent="0.25">
      <c r="A130" s="1">
        <f>功能掉落明细!AA128</f>
        <v>126</v>
      </c>
      <c r="B130" s="1">
        <f ca="1">功能掉落明细!AB128</f>
        <v>20051</v>
      </c>
      <c r="C130" s="1">
        <f ca="1">功能掉落明细!AC128</f>
        <v>1</v>
      </c>
      <c r="D130" s="1">
        <f ca="1">功能掉落明细!AD128</f>
        <v>10000</v>
      </c>
    </row>
    <row r="131" spans="1:4" x14ac:dyDescent="0.25">
      <c r="A131" s="1">
        <f>功能掉落明细!AA129</f>
        <v>127</v>
      </c>
      <c r="B131" s="1">
        <f ca="1">功能掉落明细!AB129</f>
        <v>20051</v>
      </c>
      <c r="C131" s="1">
        <f ca="1">功能掉落明细!AC129</f>
        <v>9</v>
      </c>
      <c r="D131" s="1">
        <f ca="1">功能掉落明细!AD129</f>
        <v>7000</v>
      </c>
    </row>
    <row r="132" spans="1:4" x14ac:dyDescent="0.25">
      <c r="A132" s="1">
        <f>功能掉落明细!AA130</f>
        <v>128</v>
      </c>
      <c r="B132" s="1">
        <f ca="1">功能掉落明细!AB130</f>
        <v>20051</v>
      </c>
      <c r="C132" s="1">
        <f ca="1">功能掉落明细!AC130</f>
        <v>7</v>
      </c>
      <c r="D132" s="1">
        <f ca="1">功能掉落明细!AD130</f>
        <v>8000</v>
      </c>
    </row>
    <row r="133" spans="1:4" x14ac:dyDescent="0.25">
      <c r="A133" s="1">
        <f>功能掉落明细!AA131</f>
        <v>129</v>
      </c>
      <c r="B133" s="1">
        <f ca="1">功能掉落明细!AB131</f>
        <v>20051</v>
      </c>
      <c r="C133" s="1">
        <f ca="1">功能掉落明细!AC131</f>
        <v>3</v>
      </c>
      <c r="D133" s="1">
        <f ca="1">功能掉落明细!AD131</f>
        <v>9000</v>
      </c>
    </row>
    <row r="134" spans="1:4" x14ac:dyDescent="0.25">
      <c r="A134" s="1">
        <f>功能掉落明细!AA132</f>
        <v>130</v>
      </c>
      <c r="B134" s="1">
        <f ca="1">功能掉落明细!AB132</f>
        <v>20052</v>
      </c>
      <c r="C134" s="1">
        <f ca="1">功能掉落明细!AC132</f>
        <v>1</v>
      </c>
      <c r="D134" s="1">
        <f ca="1">功能掉落明细!AD132</f>
        <v>10000</v>
      </c>
    </row>
    <row r="135" spans="1:4" x14ac:dyDescent="0.25">
      <c r="A135" s="1">
        <f>功能掉落明细!AA133</f>
        <v>131</v>
      </c>
      <c r="B135" s="1">
        <f ca="1">功能掉落明细!AB133</f>
        <v>20052</v>
      </c>
      <c r="C135" s="1">
        <f ca="1">功能掉落明细!AC133</f>
        <v>10</v>
      </c>
      <c r="D135" s="1">
        <f ca="1">功能掉落明细!AD133</f>
        <v>7000</v>
      </c>
    </row>
    <row r="136" spans="1:4" x14ac:dyDescent="0.25">
      <c r="A136" s="1">
        <f>功能掉落明细!AA134</f>
        <v>132</v>
      </c>
      <c r="B136" s="1">
        <f ca="1">功能掉落明细!AB134</f>
        <v>20052</v>
      </c>
      <c r="C136" s="1">
        <f ca="1">功能掉落明细!AC134</f>
        <v>5</v>
      </c>
      <c r="D136" s="1">
        <f ca="1">功能掉落明细!AD134</f>
        <v>8000</v>
      </c>
    </row>
    <row r="137" spans="1:4" x14ac:dyDescent="0.25">
      <c r="A137" s="1">
        <f>功能掉落明细!AA135</f>
        <v>133</v>
      </c>
      <c r="B137" s="1">
        <f ca="1">功能掉落明细!AB135</f>
        <v>20052</v>
      </c>
      <c r="C137" s="1">
        <f ca="1">功能掉落明细!AC135</f>
        <v>2</v>
      </c>
      <c r="D137" s="1">
        <f ca="1">功能掉落明细!AD135</f>
        <v>9000</v>
      </c>
    </row>
    <row r="138" spans="1:4" x14ac:dyDescent="0.25">
      <c r="A138" s="1">
        <f>功能掉落明细!AA136</f>
        <v>134</v>
      </c>
      <c r="B138" s="1">
        <f ca="1">功能掉落明细!AB136</f>
        <v>20053</v>
      </c>
      <c r="C138" s="1">
        <f ca="1">功能掉落明细!AC136</f>
        <v>1</v>
      </c>
      <c r="D138" s="1">
        <f ca="1">功能掉落明细!AD136</f>
        <v>10000</v>
      </c>
    </row>
    <row r="139" spans="1:4" x14ac:dyDescent="0.25">
      <c r="A139" s="1">
        <f>功能掉落明细!AA137</f>
        <v>135</v>
      </c>
      <c r="B139" s="1">
        <f ca="1">功能掉落明细!AB137</f>
        <v>20053</v>
      </c>
      <c r="C139" s="1">
        <f ca="1">功能掉落明细!AC137</f>
        <v>10</v>
      </c>
      <c r="D139" s="1">
        <f ca="1">功能掉落明细!AD137</f>
        <v>7000</v>
      </c>
    </row>
    <row r="140" spans="1:4" x14ac:dyDescent="0.25">
      <c r="A140" s="1">
        <f>功能掉落明细!AA138</f>
        <v>136</v>
      </c>
      <c r="B140" s="1">
        <f ca="1">功能掉落明细!AB138</f>
        <v>20053</v>
      </c>
      <c r="C140" s="1">
        <f ca="1">功能掉落明细!AC138</f>
        <v>5</v>
      </c>
      <c r="D140" s="1">
        <f ca="1">功能掉落明细!AD138</f>
        <v>8000</v>
      </c>
    </row>
    <row r="141" spans="1:4" x14ac:dyDescent="0.25">
      <c r="A141" s="1">
        <f>功能掉落明细!AA139</f>
        <v>137</v>
      </c>
      <c r="B141" s="1">
        <f ca="1">功能掉落明细!AB139</f>
        <v>20053</v>
      </c>
      <c r="C141" s="1">
        <f ca="1">功能掉落明细!AC139</f>
        <v>2</v>
      </c>
      <c r="D141" s="1">
        <f ca="1">功能掉落明细!AD139</f>
        <v>9000</v>
      </c>
    </row>
    <row r="142" spans="1:4" x14ac:dyDescent="0.25">
      <c r="A142" s="1">
        <f>功能掉落明细!AA140</f>
        <v>138</v>
      </c>
      <c r="B142" s="1">
        <f ca="1">功能掉落明细!AB140</f>
        <v>20054</v>
      </c>
      <c r="C142" s="1">
        <f ca="1">功能掉落明细!AC140</f>
        <v>1</v>
      </c>
      <c r="D142" s="1">
        <f ca="1">功能掉落明细!AD140</f>
        <v>10000</v>
      </c>
    </row>
    <row r="143" spans="1:4" x14ac:dyDescent="0.25">
      <c r="A143" s="1">
        <f>功能掉落明细!AA141</f>
        <v>139</v>
      </c>
      <c r="B143" s="1">
        <f ca="1">功能掉落明细!AB141</f>
        <v>20054</v>
      </c>
      <c r="C143" s="1">
        <f ca="1">功能掉落明细!AC141</f>
        <v>10</v>
      </c>
      <c r="D143" s="1">
        <f ca="1">功能掉落明细!AD141</f>
        <v>7000</v>
      </c>
    </row>
    <row r="144" spans="1:4" x14ac:dyDescent="0.25">
      <c r="A144" s="1">
        <f>功能掉落明细!AA142</f>
        <v>140</v>
      </c>
      <c r="B144" s="1">
        <f ca="1">功能掉落明细!AB142</f>
        <v>20054</v>
      </c>
      <c r="C144" s="1">
        <f ca="1">功能掉落明细!AC142</f>
        <v>5</v>
      </c>
      <c r="D144" s="1">
        <f ca="1">功能掉落明细!AD142</f>
        <v>8000</v>
      </c>
    </row>
    <row r="145" spans="1:4" x14ac:dyDescent="0.25">
      <c r="A145" s="1">
        <f>功能掉落明细!AA143</f>
        <v>141</v>
      </c>
      <c r="B145" s="1">
        <f ca="1">功能掉落明细!AB143</f>
        <v>20054</v>
      </c>
      <c r="C145" s="1">
        <f ca="1">功能掉落明细!AC143</f>
        <v>2</v>
      </c>
      <c r="D145" s="1">
        <f ca="1">功能掉落明细!AD143</f>
        <v>9000</v>
      </c>
    </row>
    <row r="146" spans="1:4" x14ac:dyDescent="0.25">
      <c r="A146" s="1">
        <f>功能掉落明细!AA144</f>
        <v>142</v>
      </c>
      <c r="B146" s="1">
        <f ca="1">功能掉落明细!AB144</f>
        <v>20055</v>
      </c>
      <c r="C146" s="1">
        <f ca="1">功能掉落明细!AC144</f>
        <v>1</v>
      </c>
      <c r="D146" s="1">
        <f ca="1">功能掉落明细!AD144</f>
        <v>10000</v>
      </c>
    </row>
    <row r="147" spans="1:4" x14ac:dyDescent="0.25">
      <c r="A147" s="1">
        <f>功能掉落明细!AA145</f>
        <v>143</v>
      </c>
      <c r="B147" s="1">
        <f ca="1">功能掉落明细!AB145</f>
        <v>20056</v>
      </c>
      <c r="C147" s="1">
        <f ca="1">功能掉落明细!AC145</f>
        <v>1</v>
      </c>
      <c r="D147" s="1">
        <f ca="1">功能掉落明细!AD145</f>
        <v>10000</v>
      </c>
    </row>
    <row r="148" spans="1:4" x14ac:dyDescent="0.25">
      <c r="A148" s="1">
        <f>功能掉落明细!AA146</f>
        <v>144</v>
      </c>
      <c r="B148" s="1">
        <f ca="1">功能掉落明细!AB146</f>
        <v>20056</v>
      </c>
      <c r="C148" s="1">
        <f ca="1">功能掉落明细!AC146</f>
        <v>8</v>
      </c>
      <c r="D148" s="1">
        <f ca="1">功能掉落明细!AD146</f>
        <v>7000</v>
      </c>
    </row>
    <row r="149" spans="1:4" x14ac:dyDescent="0.25">
      <c r="A149" s="1">
        <f>功能掉落明细!AA147</f>
        <v>145</v>
      </c>
      <c r="B149" s="1">
        <f ca="1">功能掉落明细!AB147</f>
        <v>20056</v>
      </c>
      <c r="C149" s="1">
        <f ca="1">功能掉落明细!AC147</f>
        <v>6</v>
      </c>
      <c r="D149" s="1">
        <f ca="1">功能掉落明细!AD147</f>
        <v>8000</v>
      </c>
    </row>
    <row r="150" spans="1:4" x14ac:dyDescent="0.25">
      <c r="A150" s="1">
        <f>功能掉落明细!AA148</f>
        <v>146</v>
      </c>
      <c r="B150" s="1">
        <f ca="1">功能掉落明细!AB148</f>
        <v>20056</v>
      </c>
      <c r="C150" s="1">
        <f ca="1">功能掉落明细!AC148</f>
        <v>4</v>
      </c>
      <c r="D150" s="1">
        <f ca="1">功能掉落明细!AD148</f>
        <v>9000</v>
      </c>
    </row>
    <row r="151" spans="1:4" x14ac:dyDescent="0.25">
      <c r="A151" s="1">
        <f>功能掉落明细!AA149</f>
        <v>147</v>
      </c>
      <c r="B151" s="1">
        <f ca="1">功能掉落明细!AB149</f>
        <v>20057</v>
      </c>
      <c r="C151" s="1">
        <f ca="1">功能掉落明细!AC149</f>
        <v>1</v>
      </c>
      <c r="D151" s="1">
        <f ca="1">功能掉落明细!AD149</f>
        <v>10000</v>
      </c>
    </row>
    <row r="152" spans="1:4" x14ac:dyDescent="0.25">
      <c r="A152" s="1">
        <f>功能掉落明细!AA150</f>
        <v>148</v>
      </c>
      <c r="B152" s="1">
        <f ca="1">功能掉落明细!AB150</f>
        <v>20057</v>
      </c>
      <c r="C152" s="1">
        <f ca="1">功能掉落明细!AC150</f>
        <v>8</v>
      </c>
      <c r="D152" s="1">
        <f ca="1">功能掉落明细!AD150</f>
        <v>7000</v>
      </c>
    </row>
    <row r="153" spans="1:4" x14ac:dyDescent="0.25">
      <c r="A153" s="1">
        <f>功能掉落明细!AA151</f>
        <v>149</v>
      </c>
      <c r="B153" s="1">
        <f ca="1">功能掉落明细!AB151</f>
        <v>20057</v>
      </c>
      <c r="C153" s="1">
        <f ca="1">功能掉落明细!AC151</f>
        <v>6</v>
      </c>
      <c r="D153" s="1">
        <f ca="1">功能掉落明细!AD151</f>
        <v>8000</v>
      </c>
    </row>
    <row r="154" spans="1:4" x14ac:dyDescent="0.25">
      <c r="A154" s="1">
        <f>功能掉落明细!AA152</f>
        <v>150</v>
      </c>
      <c r="B154" s="1">
        <f ca="1">功能掉落明细!AB152</f>
        <v>20057</v>
      </c>
      <c r="C154" s="1">
        <f ca="1">功能掉落明细!AC152</f>
        <v>4</v>
      </c>
      <c r="D154" s="1">
        <f ca="1">功能掉落明细!AD152</f>
        <v>9000</v>
      </c>
    </row>
    <row r="155" spans="1:4" x14ac:dyDescent="0.25">
      <c r="A155" s="1">
        <f>功能掉落明细!AA153</f>
        <v>151</v>
      </c>
      <c r="B155" s="1">
        <f ca="1">功能掉落明细!AB153</f>
        <v>20058</v>
      </c>
      <c r="C155" s="1">
        <f ca="1">功能掉落明细!AC153</f>
        <v>1</v>
      </c>
      <c r="D155" s="1">
        <f ca="1">功能掉落明细!AD153</f>
        <v>10000</v>
      </c>
    </row>
    <row r="156" spans="1:4" x14ac:dyDescent="0.25">
      <c r="A156" s="1">
        <f>功能掉落明细!AA154</f>
        <v>152</v>
      </c>
      <c r="B156" s="1">
        <f ca="1">功能掉落明细!AB154</f>
        <v>20058</v>
      </c>
      <c r="C156" s="1">
        <f ca="1">功能掉落明细!AC154</f>
        <v>8</v>
      </c>
      <c r="D156" s="1">
        <f ca="1">功能掉落明细!AD154</f>
        <v>7000</v>
      </c>
    </row>
    <row r="157" spans="1:4" x14ac:dyDescent="0.25">
      <c r="A157" s="1">
        <f>功能掉落明细!AA155</f>
        <v>153</v>
      </c>
      <c r="B157" s="1">
        <f ca="1">功能掉落明细!AB155</f>
        <v>20058</v>
      </c>
      <c r="C157" s="1">
        <f ca="1">功能掉落明细!AC155</f>
        <v>6</v>
      </c>
      <c r="D157" s="1">
        <f ca="1">功能掉落明细!AD155</f>
        <v>8000</v>
      </c>
    </row>
    <row r="158" spans="1:4" x14ac:dyDescent="0.25">
      <c r="A158" s="1">
        <f>功能掉落明细!AA156</f>
        <v>154</v>
      </c>
      <c r="B158" s="1">
        <f ca="1">功能掉落明细!AB156</f>
        <v>20058</v>
      </c>
      <c r="C158" s="1">
        <f ca="1">功能掉落明细!AC156</f>
        <v>4</v>
      </c>
      <c r="D158" s="1">
        <f ca="1">功能掉落明细!AD156</f>
        <v>9000</v>
      </c>
    </row>
    <row r="159" spans="1:4" x14ac:dyDescent="0.25">
      <c r="A159" s="1">
        <f>功能掉落明细!AA157</f>
        <v>155</v>
      </c>
      <c r="B159" s="1">
        <f ca="1">功能掉落明细!AB157</f>
        <v>20059</v>
      </c>
      <c r="C159" s="1">
        <f ca="1">功能掉落明细!AC157</f>
        <v>1</v>
      </c>
      <c r="D159" s="1">
        <f ca="1">功能掉落明细!AD157</f>
        <v>10000</v>
      </c>
    </row>
    <row r="160" spans="1:4" x14ac:dyDescent="0.25">
      <c r="A160" s="1">
        <f>功能掉落明细!AA158</f>
        <v>156</v>
      </c>
      <c r="B160" s="1">
        <f ca="1">功能掉落明细!AB158</f>
        <v>20059</v>
      </c>
      <c r="C160" s="1">
        <f ca="1">功能掉落明细!AC158</f>
        <v>9</v>
      </c>
      <c r="D160" s="1">
        <f ca="1">功能掉落明细!AD158</f>
        <v>7000</v>
      </c>
    </row>
    <row r="161" spans="1:4" x14ac:dyDescent="0.25">
      <c r="A161" s="1">
        <f>功能掉落明细!AA159</f>
        <v>157</v>
      </c>
      <c r="B161" s="1">
        <f ca="1">功能掉落明细!AB159</f>
        <v>20059</v>
      </c>
      <c r="C161" s="1">
        <f ca="1">功能掉落明细!AC159</f>
        <v>7</v>
      </c>
      <c r="D161" s="1">
        <f ca="1">功能掉落明细!AD159</f>
        <v>8000</v>
      </c>
    </row>
    <row r="162" spans="1:4" x14ac:dyDescent="0.25">
      <c r="A162" s="1">
        <f>功能掉落明细!AA160</f>
        <v>158</v>
      </c>
      <c r="B162" s="1">
        <f ca="1">功能掉落明细!AB160</f>
        <v>20059</v>
      </c>
      <c r="C162" s="1">
        <f ca="1">功能掉落明细!AC160</f>
        <v>3</v>
      </c>
      <c r="D162" s="1">
        <f ca="1">功能掉落明细!AD160</f>
        <v>9000</v>
      </c>
    </row>
    <row r="163" spans="1:4" x14ac:dyDescent="0.25">
      <c r="A163" s="1">
        <f>功能掉落明细!AA161</f>
        <v>159</v>
      </c>
      <c r="B163" s="1">
        <f ca="1">功能掉落明细!AB161</f>
        <v>20060</v>
      </c>
      <c r="C163" s="1">
        <f ca="1">功能掉落明细!AC161</f>
        <v>1</v>
      </c>
      <c r="D163" s="1">
        <f ca="1">功能掉落明细!AD161</f>
        <v>10000</v>
      </c>
    </row>
    <row r="164" spans="1:4" x14ac:dyDescent="0.25">
      <c r="A164" s="1">
        <f>功能掉落明细!AA162</f>
        <v>160</v>
      </c>
      <c r="B164" s="1">
        <f ca="1">功能掉落明细!AB162</f>
        <v>20060</v>
      </c>
      <c r="C164" s="1">
        <f ca="1">功能掉落明细!AC162</f>
        <v>9</v>
      </c>
      <c r="D164" s="1">
        <f ca="1">功能掉落明细!AD162</f>
        <v>7000</v>
      </c>
    </row>
    <row r="165" spans="1:4" x14ac:dyDescent="0.25">
      <c r="A165" s="1">
        <f>功能掉落明细!AA163</f>
        <v>161</v>
      </c>
      <c r="B165" s="1">
        <f ca="1">功能掉落明细!AB163</f>
        <v>20060</v>
      </c>
      <c r="C165" s="1">
        <f ca="1">功能掉落明细!AC163</f>
        <v>7</v>
      </c>
      <c r="D165" s="1">
        <f ca="1">功能掉落明细!AD163</f>
        <v>8000</v>
      </c>
    </row>
    <row r="166" spans="1:4" x14ac:dyDescent="0.25">
      <c r="A166" s="1">
        <f>功能掉落明细!AA164</f>
        <v>162</v>
      </c>
      <c r="B166" s="1">
        <f ca="1">功能掉落明细!AB164</f>
        <v>20060</v>
      </c>
      <c r="C166" s="1">
        <f ca="1">功能掉落明细!AC164</f>
        <v>3</v>
      </c>
      <c r="D166" s="1">
        <f ca="1">功能掉落明细!AD164</f>
        <v>9000</v>
      </c>
    </row>
    <row r="167" spans="1:4" x14ac:dyDescent="0.25">
      <c r="A167" s="1">
        <f>功能掉落明细!AA165</f>
        <v>163</v>
      </c>
      <c r="B167" s="1">
        <f ca="1">功能掉落明细!AB165</f>
        <v>20061</v>
      </c>
      <c r="C167" s="1">
        <f ca="1">功能掉落明细!AC165</f>
        <v>1</v>
      </c>
      <c r="D167" s="1">
        <f ca="1">功能掉落明细!AD165</f>
        <v>10000</v>
      </c>
    </row>
    <row r="168" spans="1:4" x14ac:dyDescent="0.25">
      <c r="A168" s="1">
        <f>功能掉落明细!AA166</f>
        <v>164</v>
      </c>
      <c r="B168" s="1">
        <f ca="1">功能掉落明细!AB166</f>
        <v>20061</v>
      </c>
      <c r="C168" s="1">
        <f ca="1">功能掉落明细!AC166</f>
        <v>9</v>
      </c>
      <c r="D168" s="1">
        <f ca="1">功能掉落明细!AD166</f>
        <v>7000</v>
      </c>
    </row>
    <row r="169" spans="1:4" x14ac:dyDescent="0.25">
      <c r="A169" s="1">
        <f>功能掉落明细!AA167</f>
        <v>165</v>
      </c>
      <c r="B169" s="1">
        <f ca="1">功能掉落明细!AB167</f>
        <v>20061</v>
      </c>
      <c r="C169" s="1">
        <f ca="1">功能掉落明细!AC167</f>
        <v>7</v>
      </c>
      <c r="D169" s="1">
        <f ca="1">功能掉落明细!AD167</f>
        <v>8000</v>
      </c>
    </row>
    <row r="170" spans="1:4" x14ac:dyDescent="0.25">
      <c r="A170" s="1">
        <f>功能掉落明细!AA168</f>
        <v>166</v>
      </c>
      <c r="B170" s="1">
        <f ca="1">功能掉落明细!AB168</f>
        <v>20061</v>
      </c>
      <c r="C170" s="1">
        <f ca="1">功能掉落明细!AC168</f>
        <v>3</v>
      </c>
      <c r="D170" s="1">
        <f ca="1">功能掉落明细!AD168</f>
        <v>9000</v>
      </c>
    </row>
    <row r="171" spans="1:4" x14ac:dyDescent="0.25">
      <c r="A171" s="1">
        <f>功能掉落明细!AA169</f>
        <v>167</v>
      </c>
      <c r="B171" s="1">
        <f ca="1">功能掉落明细!AB169</f>
        <v>20062</v>
      </c>
      <c r="C171" s="1">
        <f ca="1">功能掉落明细!AC169</f>
        <v>1</v>
      </c>
      <c r="D171" s="1">
        <f ca="1">功能掉落明细!AD169</f>
        <v>10000</v>
      </c>
    </row>
    <row r="172" spans="1:4" x14ac:dyDescent="0.25">
      <c r="A172" s="1">
        <f>功能掉落明细!AA170</f>
        <v>168</v>
      </c>
      <c r="B172" s="1">
        <f ca="1">功能掉落明细!AB170</f>
        <v>20062</v>
      </c>
      <c r="C172" s="1">
        <f ca="1">功能掉落明细!AC170</f>
        <v>10</v>
      </c>
      <c r="D172" s="1">
        <f ca="1">功能掉落明细!AD170</f>
        <v>7000</v>
      </c>
    </row>
    <row r="173" spans="1:4" x14ac:dyDescent="0.25">
      <c r="A173" s="1">
        <f>功能掉落明细!AA171</f>
        <v>169</v>
      </c>
      <c r="B173" s="1">
        <f ca="1">功能掉落明细!AB171</f>
        <v>20062</v>
      </c>
      <c r="C173" s="1">
        <f ca="1">功能掉落明细!AC171</f>
        <v>5</v>
      </c>
      <c r="D173" s="1">
        <f ca="1">功能掉落明细!AD171</f>
        <v>8000</v>
      </c>
    </row>
    <row r="174" spans="1:4" x14ac:dyDescent="0.25">
      <c r="A174" s="1">
        <f>功能掉落明细!AA172</f>
        <v>170</v>
      </c>
      <c r="B174" s="1">
        <f ca="1">功能掉落明细!AB172</f>
        <v>20062</v>
      </c>
      <c r="C174" s="1">
        <f ca="1">功能掉落明细!AC172</f>
        <v>2</v>
      </c>
      <c r="D174" s="1">
        <f ca="1">功能掉落明细!AD172</f>
        <v>9000</v>
      </c>
    </row>
    <row r="175" spans="1:4" x14ac:dyDescent="0.25">
      <c r="A175" s="1">
        <f>功能掉落明细!AA173</f>
        <v>171</v>
      </c>
      <c r="B175" s="1">
        <f ca="1">功能掉落明细!AB173</f>
        <v>20063</v>
      </c>
      <c r="C175" s="1">
        <f ca="1">功能掉落明细!AC173</f>
        <v>1</v>
      </c>
      <c r="D175" s="1">
        <f ca="1">功能掉落明细!AD173</f>
        <v>10000</v>
      </c>
    </row>
    <row r="176" spans="1:4" x14ac:dyDescent="0.25">
      <c r="A176" s="1">
        <f>功能掉落明细!AA174</f>
        <v>172</v>
      </c>
      <c r="B176" s="1">
        <f ca="1">功能掉落明细!AB174</f>
        <v>20063</v>
      </c>
      <c r="C176" s="1">
        <f ca="1">功能掉落明细!AC174</f>
        <v>10</v>
      </c>
      <c r="D176" s="1">
        <f ca="1">功能掉落明细!AD174</f>
        <v>7000</v>
      </c>
    </row>
    <row r="177" spans="1:4" x14ac:dyDescent="0.25">
      <c r="A177" s="1">
        <f>功能掉落明细!AA175</f>
        <v>173</v>
      </c>
      <c r="B177" s="1">
        <f ca="1">功能掉落明细!AB175</f>
        <v>20063</v>
      </c>
      <c r="C177" s="1">
        <f ca="1">功能掉落明细!AC175</f>
        <v>5</v>
      </c>
      <c r="D177" s="1">
        <f ca="1">功能掉落明细!AD175</f>
        <v>8000</v>
      </c>
    </row>
    <row r="178" spans="1:4" x14ac:dyDescent="0.25">
      <c r="A178" s="1">
        <f>功能掉落明细!AA176</f>
        <v>174</v>
      </c>
      <c r="B178" s="1">
        <f ca="1">功能掉落明细!AB176</f>
        <v>20063</v>
      </c>
      <c r="C178" s="1">
        <f ca="1">功能掉落明细!AC176</f>
        <v>2</v>
      </c>
      <c r="D178" s="1">
        <f ca="1">功能掉落明细!AD176</f>
        <v>9000</v>
      </c>
    </row>
    <row r="179" spans="1:4" x14ac:dyDescent="0.25">
      <c r="A179" s="1">
        <f>功能掉落明细!AA177</f>
        <v>175</v>
      </c>
      <c r="B179" s="1">
        <f ca="1">功能掉落明细!AB177</f>
        <v>20064</v>
      </c>
      <c r="C179" s="1">
        <f ca="1">功能掉落明细!AC177</f>
        <v>1</v>
      </c>
      <c r="D179" s="1">
        <f ca="1">功能掉落明细!AD177</f>
        <v>10000</v>
      </c>
    </row>
    <row r="180" spans="1:4" x14ac:dyDescent="0.25">
      <c r="A180" s="1">
        <f>功能掉落明细!AA178</f>
        <v>176</v>
      </c>
      <c r="B180" s="1">
        <f ca="1">功能掉落明细!AB178</f>
        <v>20064</v>
      </c>
      <c r="C180" s="1">
        <f ca="1">功能掉落明细!AC178</f>
        <v>10</v>
      </c>
      <c r="D180" s="1">
        <f ca="1">功能掉落明细!AD178</f>
        <v>7000</v>
      </c>
    </row>
    <row r="181" spans="1:4" x14ac:dyDescent="0.25">
      <c r="A181" s="1">
        <f>功能掉落明细!AA179</f>
        <v>177</v>
      </c>
      <c r="B181" s="1">
        <f ca="1">功能掉落明细!AB179</f>
        <v>20064</v>
      </c>
      <c r="C181" s="1">
        <f ca="1">功能掉落明细!AC179</f>
        <v>5</v>
      </c>
      <c r="D181" s="1">
        <f ca="1">功能掉落明细!AD179</f>
        <v>8000</v>
      </c>
    </row>
    <row r="182" spans="1:4" x14ac:dyDescent="0.25">
      <c r="A182" s="1">
        <f>功能掉落明细!AA180</f>
        <v>178</v>
      </c>
      <c r="B182" s="1">
        <f ca="1">功能掉落明细!AB180</f>
        <v>20064</v>
      </c>
      <c r="C182" s="1">
        <f ca="1">功能掉落明细!AC180</f>
        <v>2</v>
      </c>
      <c r="D182" s="1">
        <f ca="1">功能掉落明细!AD180</f>
        <v>9000</v>
      </c>
    </row>
    <row r="183" spans="1:4" x14ac:dyDescent="0.25">
      <c r="A183" s="1">
        <f>功能掉落明细!AA181</f>
        <v>179</v>
      </c>
      <c r="B183" s="1">
        <f ca="1">功能掉落明细!AB181</f>
        <v>20065</v>
      </c>
      <c r="C183" s="1">
        <f ca="1">功能掉落明细!AC181</f>
        <v>1</v>
      </c>
      <c r="D183" s="1">
        <f ca="1">功能掉落明细!AD181</f>
        <v>10000</v>
      </c>
    </row>
    <row r="184" spans="1:4" x14ac:dyDescent="0.25">
      <c r="A184" s="1">
        <f>功能掉落明细!AA182</f>
        <v>180</v>
      </c>
      <c r="B184" s="1">
        <f ca="1">功能掉落明细!AB182</f>
        <v>20066</v>
      </c>
      <c r="C184" s="1">
        <f ca="1">功能掉落明细!AC182</f>
        <v>1</v>
      </c>
      <c r="D184" s="1">
        <f ca="1">功能掉落明细!AD182</f>
        <v>10000</v>
      </c>
    </row>
    <row r="185" spans="1:4" x14ac:dyDescent="0.25">
      <c r="A185" s="1">
        <f>功能掉落明细!AA183</f>
        <v>181</v>
      </c>
      <c r="B185" s="1">
        <f ca="1">功能掉落明细!AB183</f>
        <v>20066</v>
      </c>
      <c r="C185" s="1">
        <f ca="1">功能掉落明细!AC183</f>
        <v>11</v>
      </c>
      <c r="D185" s="1">
        <f ca="1">功能掉落明细!AD183</f>
        <v>6000</v>
      </c>
    </row>
    <row r="186" spans="1:4" x14ac:dyDescent="0.25">
      <c r="A186" s="1">
        <f>功能掉落明细!AA184</f>
        <v>182</v>
      </c>
      <c r="B186" s="1">
        <f ca="1">功能掉落明细!AB184</f>
        <v>20066</v>
      </c>
      <c r="C186" s="1">
        <f ca="1">功能掉落明细!AC184</f>
        <v>6</v>
      </c>
      <c r="D186" s="1">
        <f ca="1">功能掉落明细!AD184</f>
        <v>8000</v>
      </c>
    </row>
    <row r="187" spans="1:4" x14ac:dyDescent="0.25">
      <c r="A187" s="1">
        <f>功能掉落明细!AA185</f>
        <v>183</v>
      </c>
      <c r="B187" s="1">
        <f ca="1">功能掉落明细!AB185</f>
        <v>20066</v>
      </c>
      <c r="C187" s="1">
        <f ca="1">功能掉落明细!AC185</f>
        <v>4</v>
      </c>
      <c r="D187" s="1">
        <f ca="1">功能掉落明细!AD185</f>
        <v>9000</v>
      </c>
    </row>
    <row r="188" spans="1:4" x14ac:dyDescent="0.25">
      <c r="A188" s="1">
        <f>功能掉落明细!AA186</f>
        <v>184</v>
      </c>
      <c r="B188" s="1">
        <f ca="1">功能掉落明细!AB186</f>
        <v>20067</v>
      </c>
      <c r="C188" s="1">
        <f ca="1">功能掉落明细!AC186</f>
        <v>1</v>
      </c>
      <c r="D188" s="1">
        <f ca="1">功能掉落明细!AD186</f>
        <v>10000</v>
      </c>
    </row>
    <row r="189" spans="1:4" x14ac:dyDescent="0.25">
      <c r="A189" s="1">
        <f>功能掉落明细!AA187</f>
        <v>185</v>
      </c>
      <c r="B189" s="1">
        <f ca="1">功能掉落明细!AB187</f>
        <v>20067</v>
      </c>
      <c r="C189" s="1">
        <f ca="1">功能掉落明细!AC187</f>
        <v>11</v>
      </c>
      <c r="D189" s="1">
        <f ca="1">功能掉落明细!AD187</f>
        <v>6000</v>
      </c>
    </row>
    <row r="190" spans="1:4" x14ac:dyDescent="0.25">
      <c r="A190" s="1">
        <f>功能掉落明细!AA188</f>
        <v>186</v>
      </c>
      <c r="B190" s="1">
        <f ca="1">功能掉落明细!AB188</f>
        <v>20067</v>
      </c>
      <c r="C190" s="1">
        <f ca="1">功能掉落明细!AC188</f>
        <v>6</v>
      </c>
      <c r="D190" s="1">
        <f ca="1">功能掉落明细!AD188</f>
        <v>8000</v>
      </c>
    </row>
    <row r="191" spans="1:4" x14ac:dyDescent="0.25">
      <c r="A191" s="1">
        <f>功能掉落明细!AA189</f>
        <v>187</v>
      </c>
      <c r="B191" s="1">
        <f ca="1">功能掉落明细!AB189</f>
        <v>20067</v>
      </c>
      <c r="C191" s="1">
        <f ca="1">功能掉落明细!AC189</f>
        <v>4</v>
      </c>
      <c r="D191" s="1">
        <f ca="1">功能掉落明细!AD189</f>
        <v>9000</v>
      </c>
    </row>
    <row r="192" spans="1:4" x14ac:dyDescent="0.25">
      <c r="A192" s="1">
        <f>功能掉落明细!AA190</f>
        <v>188</v>
      </c>
      <c r="B192" s="1">
        <f ca="1">功能掉落明细!AB190</f>
        <v>20068</v>
      </c>
      <c r="C192" s="1">
        <f ca="1">功能掉落明细!AC190</f>
        <v>1</v>
      </c>
      <c r="D192" s="1">
        <f ca="1">功能掉落明细!AD190</f>
        <v>10000</v>
      </c>
    </row>
    <row r="193" spans="1:4" x14ac:dyDescent="0.25">
      <c r="A193" s="1">
        <f>功能掉落明细!AA191</f>
        <v>189</v>
      </c>
      <c r="B193" s="1">
        <f ca="1">功能掉落明细!AB191</f>
        <v>20068</v>
      </c>
      <c r="C193" s="1">
        <f ca="1">功能掉落明细!AC191</f>
        <v>11</v>
      </c>
      <c r="D193" s="1">
        <f ca="1">功能掉落明细!AD191</f>
        <v>6000</v>
      </c>
    </row>
    <row r="194" spans="1:4" x14ac:dyDescent="0.25">
      <c r="A194" s="1">
        <f>功能掉落明细!AA192</f>
        <v>190</v>
      </c>
      <c r="B194" s="1">
        <f ca="1">功能掉落明细!AB192</f>
        <v>20068</v>
      </c>
      <c r="C194" s="1">
        <f ca="1">功能掉落明细!AC192</f>
        <v>6</v>
      </c>
      <c r="D194" s="1">
        <f ca="1">功能掉落明细!AD192</f>
        <v>8000</v>
      </c>
    </row>
    <row r="195" spans="1:4" x14ac:dyDescent="0.25">
      <c r="A195" s="1">
        <f>功能掉落明细!AA193</f>
        <v>191</v>
      </c>
      <c r="B195" s="1">
        <f ca="1">功能掉落明细!AB193</f>
        <v>20068</v>
      </c>
      <c r="C195" s="1">
        <f ca="1">功能掉落明细!AC193</f>
        <v>4</v>
      </c>
      <c r="D195" s="1">
        <f ca="1">功能掉落明细!AD193</f>
        <v>9000</v>
      </c>
    </row>
    <row r="196" spans="1:4" x14ac:dyDescent="0.25">
      <c r="A196" s="1">
        <f>功能掉落明细!AA194</f>
        <v>192</v>
      </c>
      <c r="B196" s="1">
        <f ca="1">功能掉落明细!AB194</f>
        <v>20069</v>
      </c>
      <c r="C196" s="1">
        <f ca="1">功能掉落明细!AC194</f>
        <v>1</v>
      </c>
      <c r="D196" s="1">
        <f ca="1">功能掉落明细!AD194</f>
        <v>10000</v>
      </c>
    </row>
    <row r="197" spans="1:4" x14ac:dyDescent="0.25">
      <c r="A197" s="1">
        <f>功能掉落明细!AA195</f>
        <v>193</v>
      </c>
      <c r="B197" s="1">
        <f ca="1">功能掉落明细!AB195</f>
        <v>20069</v>
      </c>
      <c r="C197" s="1">
        <f ca="1">功能掉落明细!AC195</f>
        <v>12</v>
      </c>
      <c r="D197" s="1">
        <f ca="1">功能掉落明细!AD195</f>
        <v>6000</v>
      </c>
    </row>
    <row r="198" spans="1:4" x14ac:dyDescent="0.25">
      <c r="A198" s="1">
        <f>功能掉落明细!AA196</f>
        <v>194</v>
      </c>
      <c r="B198" s="1">
        <f ca="1">功能掉落明细!AB196</f>
        <v>20069</v>
      </c>
      <c r="C198" s="1">
        <f ca="1">功能掉落明细!AC196</f>
        <v>5</v>
      </c>
      <c r="D198" s="1">
        <f ca="1">功能掉落明细!AD196</f>
        <v>8000</v>
      </c>
    </row>
    <row r="199" spans="1:4" x14ac:dyDescent="0.25">
      <c r="A199" s="1">
        <f>功能掉落明细!AA197</f>
        <v>195</v>
      </c>
      <c r="B199" s="1">
        <f ca="1">功能掉落明细!AB197</f>
        <v>20069</v>
      </c>
      <c r="C199" s="1">
        <f ca="1">功能掉落明细!AC197</f>
        <v>2</v>
      </c>
      <c r="D199" s="1">
        <f ca="1">功能掉落明细!AD197</f>
        <v>9000</v>
      </c>
    </row>
    <row r="200" spans="1:4" x14ac:dyDescent="0.25">
      <c r="A200" s="1">
        <f>功能掉落明细!AA198</f>
        <v>196</v>
      </c>
      <c r="B200" s="1">
        <f ca="1">功能掉落明细!AB198</f>
        <v>20070</v>
      </c>
      <c r="C200" s="1">
        <f ca="1">功能掉落明细!AC198</f>
        <v>1</v>
      </c>
      <c r="D200" s="1">
        <f ca="1">功能掉落明细!AD198</f>
        <v>10000</v>
      </c>
    </row>
    <row r="201" spans="1:4" x14ac:dyDescent="0.25">
      <c r="A201" s="1">
        <f>功能掉落明细!AA199</f>
        <v>197</v>
      </c>
      <c r="B201" s="1">
        <f ca="1">功能掉落明细!AB199</f>
        <v>20070</v>
      </c>
      <c r="C201" s="1">
        <f ca="1">功能掉落明细!AC199</f>
        <v>12</v>
      </c>
      <c r="D201" s="1">
        <f ca="1">功能掉落明细!AD199</f>
        <v>6000</v>
      </c>
    </row>
    <row r="202" spans="1:4" x14ac:dyDescent="0.25">
      <c r="A202" s="1">
        <f>功能掉落明细!AA200</f>
        <v>198</v>
      </c>
      <c r="B202" s="1">
        <f ca="1">功能掉落明细!AB200</f>
        <v>20070</v>
      </c>
      <c r="C202" s="1">
        <f ca="1">功能掉落明细!AC200</f>
        <v>5</v>
      </c>
      <c r="D202" s="1">
        <f ca="1">功能掉落明细!AD200</f>
        <v>8000</v>
      </c>
    </row>
    <row r="203" spans="1:4" x14ac:dyDescent="0.25">
      <c r="A203" s="1">
        <f>功能掉落明细!AA201</f>
        <v>199</v>
      </c>
      <c r="B203" s="1">
        <f ca="1">功能掉落明细!AB201</f>
        <v>20070</v>
      </c>
      <c r="C203" s="1">
        <f ca="1">功能掉落明细!AC201</f>
        <v>2</v>
      </c>
      <c r="D203" s="1">
        <f ca="1">功能掉落明细!AD201</f>
        <v>9000</v>
      </c>
    </row>
    <row r="204" spans="1:4" x14ac:dyDescent="0.25">
      <c r="A204" s="1">
        <f>功能掉落明细!AA202</f>
        <v>200</v>
      </c>
      <c r="B204" s="1">
        <f ca="1">功能掉落明细!AB202</f>
        <v>20071</v>
      </c>
      <c r="C204" s="1">
        <f ca="1">功能掉落明细!AC202</f>
        <v>1</v>
      </c>
      <c r="D204" s="1">
        <f ca="1">功能掉落明细!AD202</f>
        <v>10000</v>
      </c>
    </row>
    <row r="205" spans="1:4" x14ac:dyDescent="0.25">
      <c r="A205" s="1">
        <f>功能掉落明细!AA203</f>
        <v>201</v>
      </c>
      <c r="B205" s="1">
        <f ca="1">功能掉落明细!AB203</f>
        <v>20071</v>
      </c>
      <c r="C205" s="1">
        <f ca="1">功能掉落明细!AC203</f>
        <v>12</v>
      </c>
      <c r="D205" s="1">
        <f ca="1">功能掉落明细!AD203</f>
        <v>6000</v>
      </c>
    </row>
    <row r="206" spans="1:4" x14ac:dyDescent="0.25">
      <c r="A206" s="1">
        <f>功能掉落明细!AA204</f>
        <v>202</v>
      </c>
      <c r="B206" s="1">
        <f ca="1">功能掉落明细!AB204</f>
        <v>20071</v>
      </c>
      <c r="C206" s="1">
        <f ca="1">功能掉落明细!AC204</f>
        <v>5</v>
      </c>
      <c r="D206" s="1">
        <f ca="1">功能掉落明细!AD204</f>
        <v>8000</v>
      </c>
    </row>
    <row r="207" spans="1:4" x14ac:dyDescent="0.25">
      <c r="A207" s="1">
        <f>功能掉落明细!AA205</f>
        <v>203</v>
      </c>
      <c r="B207" s="1">
        <f ca="1">功能掉落明细!AB205</f>
        <v>20071</v>
      </c>
      <c r="C207" s="1">
        <f ca="1">功能掉落明细!AC205</f>
        <v>2</v>
      </c>
      <c r="D207" s="1">
        <f ca="1">功能掉落明细!AD205</f>
        <v>9000</v>
      </c>
    </row>
    <row r="208" spans="1:4" x14ac:dyDescent="0.25">
      <c r="A208" s="1">
        <f>功能掉落明细!AA206</f>
        <v>204</v>
      </c>
      <c r="B208" s="1">
        <f ca="1">功能掉落明细!AB206</f>
        <v>20072</v>
      </c>
      <c r="C208" s="1">
        <f ca="1">功能掉落明细!AC206</f>
        <v>1</v>
      </c>
      <c r="D208" s="1">
        <f ca="1">功能掉落明细!AD206</f>
        <v>10000</v>
      </c>
    </row>
    <row r="209" spans="1:4" x14ac:dyDescent="0.25">
      <c r="A209" s="1">
        <f>功能掉落明细!AA207</f>
        <v>205</v>
      </c>
      <c r="B209" s="1">
        <f ca="1">功能掉落明细!AB207</f>
        <v>20072</v>
      </c>
      <c r="C209" s="1">
        <f ca="1">功能掉落明细!AC207</f>
        <v>13</v>
      </c>
      <c r="D209" s="1">
        <f ca="1">功能掉落明细!AD207</f>
        <v>6000</v>
      </c>
    </row>
    <row r="210" spans="1:4" x14ac:dyDescent="0.25">
      <c r="A210" s="1">
        <f>功能掉落明细!AA208</f>
        <v>206</v>
      </c>
      <c r="B210" s="1">
        <f ca="1">功能掉落明细!AB208</f>
        <v>20072</v>
      </c>
      <c r="C210" s="1">
        <f ca="1">功能掉落明细!AC208</f>
        <v>7</v>
      </c>
      <c r="D210" s="1">
        <f ca="1">功能掉落明细!AD208</f>
        <v>8000</v>
      </c>
    </row>
    <row r="211" spans="1:4" x14ac:dyDescent="0.25">
      <c r="A211" s="1">
        <f>功能掉落明细!AA209</f>
        <v>207</v>
      </c>
      <c r="B211" s="1">
        <f ca="1">功能掉落明细!AB209</f>
        <v>20072</v>
      </c>
      <c r="C211" s="1">
        <f ca="1">功能掉落明细!AC209</f>
        <v>3</v>
      </c>
      <c r="D211" s="1">
        <f ca="1">功能掉落明细!AD209</f>
        <v>9000</v>
      </c>
    </row>
    <row r="212" spans="1:4" x14ac:dyDescent="0.25">
      <c r="A212" s="1">
        <f>功能掉落明细!AA210</f>
        <v>208</v>
      </c>
      <c r="B212" s="1">
        <f ca="1">功能掉落明细!AB210</f>
        <v>20073</v>
      </c>
      <c r="C212" s="1">
        <f ca="1">功能掉落明细!AC210</f>
        <v>1</v>
      </c>
      <c r="D212" s="1">
        <f ca="1">功能掉落明细!AD210</f>
        <v>10000</v>
      </c>
    </row>
    <row r="213" spans="1:4" x14ac:dyDescent="0.25">
      <c r="A213" s="1">
        <f>功能掉落明细!AA211</f>
        <v>209</v>
      </c>
      <c r="B213" s="1">
        <f ca="1">功能掉落明细!AB211</f>
        <v>20073</v>
      </c>
      <c r="C213" s="1">
        <f ca="1">功能掉落明细!AC211</f>
        <v>13</v>
      </c>
      <c r="D213" s="1">
        <f ca="1">功能掉落明细!AD211</f>
        <v>6000</v>
      </c>
    </row>
    <row r="214" spans="1:4" x14ac:dyDescent="0.25">
      <c r="A214" s="1">
        <f>功能掉落明细!AA212</f>
        <v>210</v>
      </c>
      <c r="B214" s="1">
        <f ca="1">功能掉落明细!AB212</f>
        <v>20073</v>
      </c>
      <c r="C214" s="1">
        <f ca="1">功能掉落明细!AC212</f>
        <v>7</v>
      </c>
      <c r="D214" s="1">
        <f ca="1">功能掉落明细!AD212</f>
        <v>8000</v>
      </c>
    </row>
    <row r="215" spans="1:4" x14ac:dyDescent="0.25">
      <c r="A215" s="1">
        <f>功能掉落明细!AA213</f>
        <v>211</v>
      </c>
      <c r="B215" s="1">
        <f ca="1">功能掉落明细!AB213</f>
        <v>20073</v>
      </c>
      <c r="C215" s="1">
        <f ca="1">功能掉落明细!AC213</f>
        <v>3</v>
      </c>
      <c r="D215" s="1">
        <f ca="1">功能掉落明细!AD213</f>
        <v>9000</v>
      </c>
    </row>
    <row r="216" spans="1:4" x14ac:dyDescent="0.25">
      <c r="A216" s="1">
        <f>功能掉落明细!AA214</f>
        <v>212</v>
      </c>
      <c r="B216" s="1">
        <f ca="1">功能掉落明细!AB214</f>
        <v>20074</v>
      </c>
      <c r="C216" s="1">
        <f ca="1">功能掉落明细!AC214</f>
        <v>1</v>
      </c>
      <c r="D216" s="1">
        <f ca="1">功能掉落明细!AD214</f>
        <v>10000</v>
      </c>
    </row>
    <row r="217" spans="1:4" x14ac:dyDescent="0.25">
      <c r="A217" s="1">
        <f>功能掉落明细!AA215</f>
        <v>213</v>
      </c>
      <c r="B217" s="1">
        <f ca="1">功能掉落明细!AB215</f>
        <v>20074</v>
      </c>
      <c r="C217" s="1">
        <f ca="1">功能掉落明细!AC215</f>
        <v>13</v>
      </c>
      <c r="D217" s="1">
        <f ca="1">功能掉落明细!AD215</f>
        <v>6000</v>
      </c>
    </row>
    <row r="218" spans="1:4" x14ac:dyDescent="0.25">
      <c r="A218" s="1">
        <f>功能掉落明细!AA216</f>
        <v>214</v>
      </c>
      <c r="B218" s="1">
        <f ca="1">功能掉落明细!AB216</f>
        <v>20074</v>
      </c>
      <c r="C218" s="1">
        <f ca="1">功能掉落明细!AC216</f>
        <v>7</v>
      </c>
      <c r="D218" s="1">
        <f ca="1">功能掉落明细!AD216</f>
        <v>8000</v>
      </c>
    </row>
    <row r="219" spans="1:4" x14ac:dyDescent="0.25">
      <c r="A219" s="1">
        <f>功能掉落明细!AA217</f>
        <v>215</v>
      </c>
      <c r="B219" s="1">
        <f ca="1">功能掉落明细!AB217</f>
        <v>20074</v>
      </c>
      <c r="C219" s="1">
        <f ca="1">功能掉落明细!AC217</f>
        <v>3</v>
      </c>
      <c r="D219" s="1">
        <f ca="1">功能掉落明细!AD217</f>
        <v>9000</v>
      </c>
    </row>
    <row r="220" spans="1:4" x14ac:dyDescent="0.25">
      <c r="A220" s="1">
        <f>功能掉落明细!AA218</f>
        <v>216</v>
      </c>
      <c r="B220" s="1">
        <f ca="1">功能掉落明细!AB218</f>
        <v>20075</v>
      </c>
      <c r="C220" s="1">
        <f ca="1">功能掉落明细!AC218</f>
        <v>1</v>
      </c>
      <c r="D220" s="1">
        <f ca="1">功能掉落明细!AD218</f>
        <v>10000</v>
      </c>
    </row>
    <row r="221" spans="1:4" x14ac:dyDescent="0.25">
      <c r="A221" s="1">
        <f>功能掉落明细!AA219</f>
        <v>217</v>
      </c>
      <c r="B221" s="1">
        <f ca="1">功能掉落明细!AB219</f>
        <v>20076</v>
      </c>
      <c r="C221" s="1">
        <f ca="1">功能掉落明细!AC219</f>
        <v>1</v>
      </c>
      <c r="D221" s="1">
        <f ca="1">功能掉落明细!AD219</f>
        <v>10000</v>
      </c>
    </row>
    <row r="222" spans="1:4" x14ac:dyDescent="0.25">
      <c r="A222" s="1">
        <f>功能掉落明细!AA220</f>
        <v>218</v>
      </c>
      <c r="B222" s="1">
        <f ca="1">功能掉落明细!AB220</f>
        <v>20076</v>
      </c>
      <c r="C222" s="1">
        <f ca="1">功能掉落明细!AC220</f>
        <v>11</v>
      </c>
      <c r="D222" s="1">
        <f ca="1">功能掉落明细!AD220</f>
        <v>6000</v>
      </c>
    </row>
    <row r="223" spans="1:4" x14ac:dyDescent="0.25">
      <c r="A223" s="1">
        <f>功能掉落明细!AA221</f>
        <v>219</v>
      </c>
      <c r="B223" s="1">
        <f ca="1">功能掉落明细!AB221</f>
        <v>20076</v>
      </c>
      <c r="C223" s="1">
        <f ca="1">功能掉落明细!AC221</f>
        <v>5</v>
      </c>
      <c r="D223" s="1">
        <f ca="1">功能掉落明细!AD221</f>
        <v>8000</v>
      </c>
    </row>
    <row r="224" spans="1:4" x14ac:dyDescent="0.25">
      <c r="A224" s="1">
        <f>功能掉落明细!AA222</f>
        <v>220</v>
      </c>
      <c r="B224" s="1">
        <f ca="1">功能掉落明细!AB222</f>
        <v>20076</v>
      </c>
      <c r="C224" s="1">
        <f ca="1">功能掉落明细!AC222</f>
        <v>4</v>
      </c>
      <c r="D224" s="1">
        <f ca="1">功能掉落明细!AD222</f>
        <v>9000</v>
      </c>
    </row>
    <row r="225" spans="1:4" x14ac:dyDescent="0.25">
      <c r="A225" s="1">
        <f>功能掉落明细!AA223</f>
        <v>221</v>
      </c>
      <c r="B225" s="1">
        <f ca="1">功能掉落明细!AB223</f>
        <v>20077</v>
      </c>
      <c r="C225" s="1">
        <f ca="1">功能掉落明细!AC223</f>
        <v>1</v>
      </c>
      <c r="D225" s="1">
        <f ca="1">功能掉落明细!AD223</f>
        <v>10000</v>
      </c>
    </row>
    <row r="226" spans="1:4" x14ac:dyDescent="0.25">
      <c r="A226" s="1">
        <f>功能掉落明细!AA224</f>
        <v>222</v>
      </c>
      <c r="B226" s="1">
        <f ca="1">功能掉落明细!AB224</f>
        <v>20077</v>
      </c>
      <c r="C226" s="1">
        <f ca="1">功能掉落明细!AC224</f>
        <v>11</v>
      </c>
      <c r="D226" s="1">
        <f ca="1">功能掉落明细!AD224</f>
        <v>6000</v>
      </c>
    </row>
    <row r="227" spans="1:4" x14ac:dyDescent="0.25">
      <c r="A227" s="1">
        <f>功能掉落明细!AA225</f>
        <v>223</v>
      </c>
      <c r="B227" s="1">
        <f ca="1">功能掉落明细!AB225</f>
        <v>20077</v>
      </c>
      <c r="C227" s="1">
        <f ca="1">功能掉落明细!AC225</f>
        <v>5</v>
      </c>
      <c r="D227" s="1">
        <f ca="1">功能掉落明细!AD225</f>
        <v>8000</v>
      </c>
    </row>
    <row r="228" spans="1:4" x14ac:dyDescent="0.25">
      <c r="A228" s="1">
        <f>功能掉落明细!AA226</f>
        <v>224</v>
      </c>
      <c r="B228" s="1">
        <f ca="1">功能掉落明细!AB226</f>
        <v>20077</v>
      </c>
      <c r="C228" s="1">
        <f ca="1">功能掉落明细!AC226</f>
        <v>4</v>
      </c>
      <c r="D228" s="1">
        <f ca="1">功能掉落明细!AD226</f>
        <v>9000</v>
      </c>
    </row>
    <row r="229" spans="1:4" x14ac:dyDescent="0.25">
      <c r="A229" s="1">
        <f>功能掉落明细!AA227</f>
        <v>225</v>
      </c>
      <c r="B229" s="1">
        <f ca="1">功能掉落明细!AB227</f>
        <v>20078</v>
      </c>
      <c r="C229" s="1">
        <f ca="1">功能掉落明细!AC227</f>
        <v>1</v>
      </c>
      <c r="D229" s="1">
        <f ca="1">功能掉落明细!AD227</f>
        <v>10000</v>
      </c>
    </row>
    <row r="230" spans="1:4" x14ac:dyDescent="0.25">
      <c r="A230" s="1">
        <f>功能掉落明细!AA228</f>
        <v>226</v>
      </c>
      <c r="B230" s="1">
        <f ca="1">功能掉落明细!AB228</f>
        <v>20078</v>
      </c>
      <c r="C230" s="1">
        <f ca="1">功能掉落明细!AC228</f>
        <v>11</v>
      </c>
      <c r="D230" s="1">
        <f ca="1">功能掉落明细!AD228</f>
        <v>6000</v>
      </c>
    </row>
    <row r="231" spans="1:4" x14ac:dyDescent="0.25">
      <c r="A231" s="1">
        <f>功能掉落明细!AA229</f>
        <v>227</v>
      </c>
      <c r="B231" s="1">
        <f ca="1">功能掉落明细!AB229</f>
        <v>20078</v>
      </c>
      <c r="C231" s="1">
        <f ca="1">功能掉落明细!AC229</f>
        <v>5</v>
      </c>
      <c r="D231" s="1">
        <f ca="1">功能掉落明细!AD229</f>
        <v>8000</v>
      </c>
    </row>
    <row r="232" spans="1:4" x14ac:dyDescent="0.25">
      <c r="A232" s="1">
        <f>功能掉落明细!AA230</f>
        <v>228</v>
      </c>
      <c r="B232" s="1">
        <f ca="1">功能掉落明细!AB230</f>
        <v>20078</v>
      </c>
      <c r="C232" s="1">
        <f ca="1">功能掉落明细!AC230</f>
        <v>4</v>
      </c>
      <c r="D232" s="1">
        <f ca="1">功能掉落明细!AD230</f>
        <v>9000</v>
      </c>
    </row>
    <row r="233" spans="1:4" x14ac:dyDescent="0.25">
      <c r="A233" s="1">
        <f>功能掉落明细!AA231</f>
        <v>229</v>
      </c>
      <c r="B233" s="1">
        <f ca="1">功能掉落明细!AB231</f>
        <v>20079</v>
      </c>
      <c r="C233" s="1">
        <f ca="1">功能掉落明细!AC231</f>
        <v>1</v>
      </c>
      <c r="D233" s="1">
        <f ca="1">功能掉落明细!AD231</f>
        <v>10000</v>
      </c>
    </row>
    <row r="234" spans="1:4" x14ac:dyDescent="0.25">
      <c r="A234" s="1">
        <f>功能掉落明细!AA232</f>
        <v>230</v>
      </c>
      <c r="B234" s="1">
        <f ca="1">功能掉落明细!AB232</f>
        <v>20079</v>
      </c>
      <c r="C234" s="1">
        <f ca="1">功能掉落明细!AC232</f>
        <v>12</v>
      </c>
      <c r="D234" s="1">
        <f ca="1">功能掉落明细!AD232</f>
        <v>6000</v>
      </c>
    </row>
    <row r="235" spans="1:4" x14ac:dyDescent="0.25">
      <c r="A235" s="1">
        <f>功能掉落明细!AA233</f>
        <v>231</v>
      </c>
      <c r="B235" s="1">
        <f ca="1">功能掉落明细!AB233</f>
        <v>20079</v>
      </c>
      <c r="C235" s="1">
        <f ca="1">功能掉落明细!AC233</f>
        <v>7</v>
      </c>
      <c r="D235" s="1">
        <f ca="1">功能掉落明细!AD233</f>
        <v>8000</v>
      </c>
    </row>
    <row r="236" spans="1:4" x14ac:dyDescent="0.25">
      <c r="A236" s="1">
        <f>功能掉落明细!AA234</f>
        <v>232</v>
      </c>
      <c r="B236" s="1">
        <f ca="1">功能掉落明细!AB234</f>
        <v>20079</v>
      </c>
      <c r="C236" s="1">
        <f ca="1">功能掉落明细!AC234</f>
        <v>2</v>
      </c>
      <c r="D236" s="1">
        <f ca="1">功能掉落明细!AD234</f>
        <v>9000</v>
      </c>
    </row>
    <row r="237" spans="1:4" x14ac:dyDescent="0.25">
      <c r="A237" s="1">
        <f>功能掉落明细!AA235</f>
        <v>233</v>
      </c>
      <c r="B237" s="1">
        <f ca="1">功能掉落明细!AB235</f>
        <v>20080</v>
      </c>
      <c r="C237" s="1">
        <f ca="1">功能掉落明细!AC235</f>
        <v>1</v>
      </c>
      <c r="D237" s="1">
        <f ca="1">功能掉落明细!AD235</f>
        <v>10000</v>
      </c>
    </row>
    <row r="238" spans="1:4" x14ac:dyDescent="0.25">
      <c r="A238" s="1">
        <f>功能掉落明细!AA236</f>
        <v>234</v>
      </c>
      <c r="B238" s="1">
        <f ca="1">功能掉落明细!AB236</f>
        <v>20080</v>
      </c>
      <c r="C238" s="1">
        <f ca="1">功能掉落明细!AC236</f>
        <v>12</v>
      </c>
      <c r="D238" s="1">
        <f ca="1">功能掉落明细!AD236</f>
        <v>6000</v>
      </c>
    </row>
    <row r="239" spans="1:4" x14ac:dyDescent="0.25">
      <c r="A239" s="1">
        <f>功能掉落明细!AA237</f>
        <v>235</v>
      </c>
      <c r="B239" s="1">
        <f ca="1">功能掉落明细!AB237</f>
        <v>20080</v>
      </c>
      <c r="C239" s="1">
        <f ca="1">功能掉落明细!AC237</f>
        <v>7</v>
      </c>
      <c r="D239" s="1">
        <f ca="1">功能掉落明细!AD237</f>
        <v>8000</v>
      </c>
    </row>
    <row r="240" spans="1:4" x14ac:dyDescent="0.25">
      <c r="A240" s="1">
        <f>功能掉落明细!AA238</f>
        <v>236</v>
      </c>
      <c r="B240" s="1">
        <f ca="1">功能掉落明细!AB238</f>
        <v>20080</v>
      </c>
      <c r="C240" s="1">
        <f ca="1">功能掉落明细!AC238</f>
        <v>2</v>
      </c>
      <c r="D240" s="1">
        <f ca="1">功能掉落明细!AD238</f>
        <v>9000</v>
      </c>
    </row>
    <row r="241" spans="1:4" x14ac:dyDescent="0.25">
      <c r="A241" s="1">
        <f>功能掉落明细!AA239</f>
        <v>237</v>
      </c>
      <c r="B241" s="1">
        <f ca="1">功能掉落明细!AB239</f>
        <v>20081</v>
      </c>
      <c r="C241" s="1">
        <f ca="1">功能掉落明细!AC239</f>
        <v>1</v>
      </c>
      <c r="D241" s="1">
        <f ca="1">功能掉落明细!AD239</f>
        <v>10000</v>
      </c>
    </row>
    <row r="242" spans="1:4" x14ac:dyDescent="0.25">
      <c r="A242" s="1">
        <f>功能掉落明细!AA240</f>
        <v>238</v>
      </c>
      <c r="B242" s="1">
        <f ca="1">功能掉落明细!AB240</f>
        <v>20081</v>
      </c>
      <c r="C242" s="1">
        <f ca="1">功能掉落明细!AC240</f>
        <v>12</v>
      </c>
      <c r="D242" s="1">
        <f ca="1">功能掉落明细!AD240</f>
        <v>6000</v>
      </c>
    </row>
    <row r="243" spans="1:4" x14ac:dyDescent="0.25">
      <c r="A243" s="1">
        <f>功能掉落明细!AA241</f>
        <v>239</v>
      </c>
      <c r="B243" s="1">
        <f ca="1">功能掉落明细!AB241</f>
        <v>20081</v>
      </c>
      <c r="C243" s="1">
        <f ca="1">功能掉落明细!AC241</f>
        <v>7</v>
      </c>
      <c r="D243" s="1">
        <f ca="1">功能掉落明细!AD241</f>
        <v>8000</v>
      </c>
    </row>
    <row r="244" spans="1:4" x14ac:dyDescent="0.25">
      <c r="A244" s="1">
        <f>功能掉落明细!AA242</f>
        <v>240</v>
      </c>
      <c r="B244" s="1">
        <f ca="1">功能掉落明细!AB242</f>
        <v>20081</v>
      </c>
      <c r="C244" s="1">
        <f ca="1">功能掉落明细!AC242</f>
        <v>2</v>
      </c>
      <c r="D244" s="1">
        <f ca="1">功能掉落明细!AD242</f>
        <v>9000</v>
      </c>
    </row>
    <row r="245" spans="1:4" x14ac:dyDescent="0.25">
      <c r="A245" s="1">
        <f>功能掉落明细!AA243</f>
        <v>241</v>
      </c>
      <c r="B245" s="1">
        <f ca="1">功能掉落明细!AB243</f>
        <v>20082</v>
      </c>
      <c r="C245" s="1">
        <f ca="1">功能掉落明细!AC243</f>
        <v>1</v>
      </c>
      <c r="D245" s="1">
        <f ca="1">功能掉落明细!AD243</f>
        <v>10000</v>
      </c>
    </row>
    <row r="246" spans="1:4" x14ac:dyDescent="0.25">
      <c r="A246" s="1">
        <f>功能掉落明细!AA244</f>
        <v>242</v>
      </c>
      <c r="B246" s="1">
        <f ca="1">功能掉落明细!AB244</f>
        <v>20082</v>
      </c>
      <c r="C246" s="1">
        <f ca="1">功能掉落明细!AC244</f>
        <v>13</v>
      </c>
      <c r="D246" s="1">
        <f ca="1">功能掉落明细!AD244</f>
        <v>6000</v>
      </c>
    </row>
    <row r="247" spans="1:4" x14ac:dyDescent="0.25">
      <c r="A247" s="1">
        <f>功能掉落明细!AA245</f>
        <v>243</v>
      </c>
      <c r="B247" s="1">
        <f ca="1">功能掉落明细!AB245</f>
        <v>20082</v>
      </c>
      <c r="C247" s="1">
        <f ca="1">功能掉落明细!AC245</f>
        <v>6</v>
      </c>
      <c r="D247" s="1">
        <f ca="1">功能掉落明细!AD245</f>
        <v>8000</v>
      </c>
    </row>
    <row r="248" spans="1:4" x14ac:dyDescent="0.25">
      <c r="A248" s="1">
        <f>功能掉落明细!AA246</f>
        <v>244</v>
      </c>
      <c r="B248" s="1">
        <f ca="1">功能掉落明细!AB246</f>
        <v>20082</v>
      </c>
      <c r="C248" s="1">
        <f ca="1">功能掉落明细!AC246</f>
        <v>3</v>
      </c>
      <c r="D248" s="1">
        <f ca="1">功能掉落明细!AD246</f>
        <v>9000</v>
      </c>
    </row>
    <row r="249" spans="1:4" x14ac:dyDescent="0.25">
      <c r="A249" s="1">
        <f>功能掉落明细!AA247</f>
        <v>245</v>
      </c>
      <c r="B249" s="1">
        <f ca="1">功能掉落明细!AB247</f>
        <v>20083</v>
      </c>
      <c r="C249" s="1">
        <f ca="1">功能掉落明细!AC247</f>
        <v>1</v>
      </c>
      <c r="D249" s="1">
        <f ca="1">功能掉落明细!AD247</f>
        <v>10000</v>
      </c>
    </row>
    <row r="250" spans="1:4" x14ac:dyDescent="0.25">
      <c r="A250" s="1">
        <f>功能掉落明细!AA248</f>
        <v>246</v>
      </c>
      <c r="B250" s="1">
        <f ca="1">功能掉落明细!AB248</f>
        <v>20083</v>
      </c>
      <c r="C250" s="1">
        <f ca="1">功能掉落明细!AC248</f>
        <v>13</v>
      </c>
      <c r="D250" s="1">
        <f ca="1">功能掉落明细!AD248</f>
        <v>6000</v>
      </c>
    </row>
    <row r="251" spans="1:4" x14ac:dyDescent="0.25">
      <c r="A251" s="1">
        <f>功能掉落明细!AA249</f>
        <v>247</v>
      </c>
      <c r="B251" s="1">
        <f ca="1">功能掉落明细!AB249</f>
        <v>20083</v>
      </c>
      <c r="C251" s="1">
        <f ca="1">功能掉落明细!AC249</f>
        <v>6</v>
      </c>
      <c r="D251" s="1">
        <f ca="1">功能掉落明细!AD249</f>
        <v>8000</v>
      </c>
    </row>
    <row r="252" spans="1:4" x14ac:dyDescent="0.25">
      <c r="A252" s="1">
        <f>功能掉落明细!AA250</f>
        <v>248</v>
      </c>
      <c r="B252" s="1">
        <f ca="1">功能掉落明细!AB250</f>
        <v>20083</v>
      </c>
      <c r="C252" s="1">
        <f ca="1">功能掉落明细!AC250</f>
        <v>3</v>
      </c>
      <c r="D252" s="1">
        <f ca="1">功能掉落明细!AD250</f>
        <v>9000</v>
      </c>
    </row>
    <row r="253" spans="1:4" x14ac:dyDescent="0.25">
      <c r="A253" s="1">
        <f>功能掉落明细!AA251</f>
        <v>249</v>
      </c>
      <c r="B253" s="1">
        <f ca="1">功能掉落明细!AB251</f>
        <v>20084</v>
      </c>
      <c r="C253" s="1">
        <f ca="1">功能掉落明细!AC251</f>
        <v>1</v>
      </c>
      <c r="D253" s="1">
        <f ca="1">功能掉落明细!AD251</f>
        <v>10000</v>
      </c>
    </row>
    <row r="254" spans="1:4" x14ac:dyDescent="0.25">
      <c r="A254" s="1">
        <f>功能掉落明细!AA252</f>
        <v>250</v>
      </c>
      <c r="B254" s="1">
        <f ca="1">功能掉落明细!AB252</f>
        <v>20084</v>
      </c>
      <c r="C254" s="1">
        <f ca="1">功能掉落明细!AC252</f>
        <v>13</v>
      </c>
      <c r="D254" s="1">
        <f ca="1">功能掉落明细!AD252</f>
        <v>6000</v>
      </c>
    </row>
    <row r="255" spans="1:4" x14ac:dyDescent="0.25">
      <c r="A255" s="1">
        <f>功能掉落明细!AA253</f>
        <v>251</v>
      </c>
      <c r="B255" s="1">
        <f ca="1">功能掉落明细!AB253</f>
        <v>20084</v>
      </c>
      <c r="C255" s="1">
        <f ca="1">功能掉落明细!AC253</f>
        <v>6</v>
      </c>
      <c r="D255" s="1">
        <f ca="1">功能掉落明细!AD253</f>
        <v>8000</v>
      </c>
    </row>
    <row r="256" spans="1:4" x14ac:dyDescent="0.25">
      <c r="A256" s="1">
        <f>功能掉落明细!AA254</f>
        <v>252</v>
      </c>
      <c r="B256" s="1">
        <f ca="1">功能掉落明细!AB254</f>
        <v>20084</v>
      </c>
      <c r="C256" s="1">
        <f ca="1">功能掉落明细!AC254</f>
        <v>3</v>
      </c>
      <c r="D256" s="1">
        <f ca="1">功能掉落明细!AD254</f>
        <v>9000</v>
      </c>
    </row>
    <row r="257" spans="1:4" x14ac:dyDescent="0.25">
      <c r="A257" s="1">
        <f>功能掉落明细!AA255</f>
        <v>253</v>
      </c>
      <c r="B257" s="1">
        <f ca="1">功能掉落明细!AB255</f>
        <v>20085</v>
      </c>
      <c r="C257" s="1">
        <f ca="1">功能掉落明细!AC255</f>
        <v>1</v>
      </c>
      <c r="D257" s="1">
        <f ca="1">功能掉落明细!AD255</f>
        <v>10000</v>
      </c>
    </row>
    <row r="258" spans="1:4" x14ac:dyDescent="0.25">
      <c r="A258" s="1">
        <f>功能掉落明细!AA256</f>
        <v>254</v>
      </c>
      <c r="B258" s="1">
        <f ca="1">功能掉落明细!AB256</f>
        <v>20086</v>
      </c>
      <c r="C258" s="1">
        <f ca="1">功能掉落明细!AC256</f>
        <v>1</v>
      </c>
      <c r="D258" s="1">
        <f ca="1">功能掉落明细!AD256</f>
        <v>10000</v>
      </c>
    </row>
    <row r="259" spans="1:4" x14ac:dyDescent="0.25">
      <c r="A259" s="1">
        <f>功能掉落明细!AA257</f>
        <v>255</v>
      </c>
      <c r="B259" s="1">
        <f ca="1">功能掉落明细!AB257</f>
        <v>20086</v>
      </c>
      <c r="C259" s="1">
        <f ca="1">功能掉落明细!AC257</f>
        <v>14</v>
      </c>
      <c r="D259" s="1">
        <f ca="1">功能掉落明细!AD257</f>
        <v>5000</v>
      </c>
    </row>
    <row r="260" spans="1:4" x14ac:dyDescent="0.25">
      <c r="A260" s="1">
        <f>功能掉落明细!AA258</f>
        <v>256</v>
      </c>
      <c r="B260" s="1">
        <f ca="1">功能掉落明细!AB258</f>
        <v>20086</v>
      </c>
      <c r="C260" s="1">
        <f ca="1">功能掉落明细!AC258</f>
        <v>10</v>
      </c>
      <c r="D260" s="1">
        <f ca="1">功能掉落明细!AD258</f>
        <v>7000</v>
      </c>
    </row>
    <row r="261" spans="1:4" x14ac:dyDescent="0.25">
      <c r="A261" s="1">
        <f>功能掉落明细!AA259</f>
        <v>257</v>
      </c>
      <c r="B261" s="1">
        <f ca="1">功能掉落明细!AB259</f>
        <v>20086</v>
      </c>
      <c r="C261" s="1">
        <f ca="1">功能掉落明细!AC259</f>
        <v>6</v>
      </c>
      <c r="D261" s="1">
        <f ca="1">功能掉落明细!AD259</f>
        <v>8000</v>
      </c>
    </row>
    <row r="262" spans="1:4" x14ac:dyDescent="0.25">
      <c r="A262" s="1">
        <f>功能掉落明细!AA260</f>
        <v>258</v>
      </c>
      <c r="B262" s="1">
        <f ca="1">功能掉落明细!AB260</f>
        <v>20087</v>
      </c>
      <c r="C262" s="1">
        <f ca="1">功能掉落明细!AC260</f>
        <v>1</v>
      </c>
      <c r="D262" s="1">
        <f ca="1">功能掉落明细!AD260</f>
        <v>10000</v>
      </c>
    </row>
    <row r="263" spans="1:4" x14ac:dyDescent="0.25">
      <c r="A263" s="1">
        <f>功能掉落明细!AA261</f>
        <v>259</v>
      </c>
      <c r="B263" s="1">
        <f ca="1">功能掉落明细!AB261</f>
        <v>20087</v>
      </c>
      <c r="C263" s="1">
        <f ca="1">功能掉落明细!AC261</f>
        <v>14</v>
      </c>
      <c r="D263" s="1">
        <f ca="1">功能掉落明细!AD261</f>
        <v>5000</v>
      </c>
    </row>
    <row r="264" spans="1:4" x14ac:dyDescent="0.25">
      <c r="A264" s="1">
        <f>功能掉落明细!AA262</f>
        <v>260</v>
      </c>
      <c r="B264" s="1">
        <f ca="1">功能掉落明细!AB262</f>
        <v>20087</v>
      </c>
      <c r="C264" s="1">
        <f ca="1">功能掉落明细!AC262</f>
        <v>10</v>
      </c>
      <c r="D264" s="1">
        <f ca="1">功能掉落明细!AD262</f>
        <v>7000</v>
      </c>
    </row>
    <row r="265" spans="1:4" x14ac:dyDescent="0.25">
      <c r="A265" s="1">
        <f>功能掉落明细!AA263</f>
        <v>261</v>
      </c>
      <c r="B265" s="1">
        <f ca="1">功能掉落明细!AB263</f>
        <v>20087</v>
      </c>
      <c r="C265" s="1">
        <f ca="1">功能掉落明细!AC263</f>
        <v>6</v>
      </c>
      <c r="D265" s="1">
        <f ca="1">功能掉落明细!AD263</f>
        <v>8000</v>
      </c>
    </row>
    <row r="266" spans="1:4" x14ac:dyDescent="0.25">
      <c r="A266" s="1">
        <f>功能掉落明细!AA264</f>
        <v>262</v>
      </c>
      <c r="B266" s="1">
        <f ca="1">功能掉落明细!AB264</f>
        <v>20088</v>
      </c>
      <c r="C266" s="1">
        <f ca="1">功能掉落明细!AC264</f>
        <v>1</v>
      </c>
      <c r="D266" s="1">
        <f ca="1">功能掉落明细!AD264</f>
        <v>10000</v>
      </c>
    </row>
    <row r="267" spans="1:4" x14ac:dyDescent="0.25">
      <c r="A267" s="1">
        <f>功能掉落明细!AA265</f>
        <v>263</v>
      </c>
      <c r="B267" s="1">
        <f ca="1">功能掉落明细!AB265</f>
        <v>20088</v>
      </c>
      <c r="C267" s="1">
        <f ca="1">功能掉落明细!AC265</f>
        <v>14</v>
      </c>
      <c r="D267" s="1">
        <f ca="1">功能掉落明细!AD265</f>
        <v>5000</v>
      </c>
    </row>
    <row r="268" spans="1:4" x14ac:dyDescent="0.25">
      <c r="A268" s="1">
        <f>功能掉落明细!AA266</f>
        <v>264</v>
      </c>
      <c r="B268" s="1">
        <f ca="1">功能掉落明细!AB266</f>
        <v>20088</v>
      </c>
      <c r="C268" s="1">
        <f ca="1">功能掉落明细!AC266</f>
        <v>10</v>
      </c>
      <c r="D268" s="1">
        <f ca="1">功能掉落明细!AD266</f>
        <v>7000</v>
      </c>
    </row>
    <row r="269" spans="1:4" x14ac:dyDescent="0.25">
      <c r="A269" s="1">
        <f>功能掉落明细!AA267</f>
        <v>265</v>
      </c>
      <c r="B269" s="1">
        <f ca="1">功能掉落明细!AB267</f>
        <v>20088</v>
      </c>
      <c r="C269" s="1">
        <f ca="1">功能掉落明细!AC267</f>
        <v>6</v>
      </c>
      <c r="D269" s="1">
        <f ca="1">功能掉落明细!AD267</f>
        <v>8000</v>
      </c>
    </row>
    <row r="270" spans="1:4" x14ac:dyDescent="0.25">
      <c r="A270" s="1">
        <f>功能掉落明细!AA268</f>
        <v>266</v>
      </c>
      <c r="B270" s="1">
        <f ca="1">功能掉落明细!AB268</f>
        <v>20089</v>
      </c>
      <c r="C270" s="1">
        <f ca="1">功能掉落明细!AC268</f>
        <v>1</v>
      </c>
      <c r="D270" s="1">
        <f ca="1">功能掉落明细!AD268</f>
        <v>10000</v>
      </c>
    </row>
    <row r="271" spans="1:4" x14ac:dyDescent="0.25">
      <c r="A271" s="1">
        <f>功能掉落明细!AA269</f>
        <v>267</v>
      </c>
      <c r="B271" s="1">
        <f ca="1">功能掉落明细!AB269</f>
        <v>20089</v>
      </c>
      <c r="C271" s="1">
        <f ca="1">功能掉落明细!AC269</f>
        <v>15</v>
      </c>
      <c r="D271" s="1">
        <f ca="1">功能掉落明细!AD269</f>
        <v>5000</v>
      </c>
    </row>
    <row r="272" spans="1:4" x14ac:dyDescent="0.25">
      <c r="A272" s="1">
        <f>功能掉落明细!AA270</f>
        <v>268</v>
      </c>
      <c r="B272" s="1">
        <f ca="1">功能掉落明细!AB270</f>
        <v>20089</v>
      </c>
      <c r="C272" s="1">
        <f ca="1">功能掉落明细!AC270</f>
        <v>9</v>
      </c>
      <c r="D272" s="1">
        <f ca="1">功能掉落明细!AD270</f>
        <v>7000</v>
      </c>
    </row>
    <row r="273" spans="1:4" x14ac:dyDescent="0.25">
      <c r="A273" s="1">
        <f>功能掉落明细!AA271</f>
        <v>269</v>
      </c>
      <c r="B273" s="1">
        <f ca="1">功能掉落明细!AB271</f>
        <v>20089</v>
      </c>
      <c r="C273" s="1">
        <f ca="1">功能掉落明细!AC271</f>
        <v>7</v>
      </c>
      <c r="D273" s="1">
        <f ca="1">功能掉落明细!AD271</f>
        <v>8000</v>
      </c>
    </row>
    <row r="274" spans="1:4" x14ac:dyDescent="0.25">
      <c r="A274" s="1">
        <f>功能掉落明细!AA272</f>
        <v>270</v>
      </c>
      <c r="B274" s="1">
        <f ca="1">功能掉落明细!AB272</f>
        <v>20090</v>
      </c>
      <c r="C274" s="1">
        <f ca="1">功能掉落明细!AC272</f>
        <v>1</v>
      </c>
      <c r="D274" s="1">
        <f ca="1">功能掉落明细!AD272</f>
        <v>10000</v>
      </c>
    </row>
    <row r="275" spans="1:4" x14ac:dyDescent="0.25">
      <c r="A275" s="1">
        <f>功能掉落明细!AA273</f>
        <v>271</v>
      </c>
      <c r="B275" s="1">
        <f ca="1">功能掉落明细!AB273</f>
        <v>20090</v>
      </c>
      <c r="C275" s="1">
        <f ca="1">功能掉落明细!AC273</f>
        <v>15</v>
      </c>
      <c r="D275" s="1">
        <f ca="1">功能掉落明细!AD273</f>
        <v>5000</v>
      </c>
    </row>
    <row r="276" spans="1:4" x14ac:dyDescent="0.25">
      <c r="A276" s="1">
        <f>功能掉落明细!AA274</f>
        <v>272</v>
      </c>
      <c r="B276" s="1">
        <f ca="1">功能掉落明细!AB274</f>
        <v>20090</v>
      </c>
      <c r="C276" s="1">
        <f ca="1">功能掉落明细!AC274</f>
        <v>9</v>
      </c>
      <c r="D276" s="1">
        <f ca="1">功能掉落明细!AD274</f>
        <v>7000</v>
      </c>
    </row>
    <row r="277" spans="1:4" x14ac:dyDescent="0.25">
      <c r="A277" s="1">
        <f>功能掉落明细!AA275</f>
        <v>273</v>
      </c>
      <c r="B277" s="1">
        <f ca="1">功能掉落明细!AB275</f>
        <v>20090</v>
      </c>
      <c r="C277" s="1">
        <f ca="1">功能掉落明细!AC275</f>
        <v>7</v>
      </c>
      <c r="D277" s="1">
        <f ca="1">功能掉落明细!AD275</f>
        <v>8000</v>
      </c>
    </row>
    <row r="278" spans="1:4" x14ac:dyDescent="0.25">
      <c r="A278" s="1">
        <f>功能掉落明细!AA276</f>
        <v>274</v>
      </c>
      <c r="B278" s="1">
        <f ca="1">功能掉落明细!AB276</f>
        <v>20091</v>
      </c>
      <c r="C278" s="1">
        <f ca="1">功能掉落明细!AC276</f>
        <v>1</v>
      </c>
      <c r="D278" s="1">
        <f ca="1">功能掉落明细!AD276</f>
        <v>10000</v>
      </c>
    </row>
    <row r="279" spans="1:4" x14ac:dyDescent="0.25">
      <c r="A279" s="1">
        <f>功能掉落明细!AA277</f>
        <v>275</v>
      </c>
      <c r="B279" s="1">
        <f ca="1">功能掉落明细!AB277</f>
        <v>20091</v>
      </c>
      <c r="C279" s="1">
        <f ca="1">功能掉落明细!AC277</f>
        <v>15</v>
      </c>
      <c r="D279" s="1">
        <f ca="1">功能掉落明细!AD277</f>
        <v>5000</v>
      </c>
    </row>
    <row r="280" spans="1:4" x14ac:dyDescent="0.25">
      <c r="A280" s="1">
        <f>功能掉落明细!AA278</f>
        <v>276</v>
      </c>
      <c r="B280" s="1">
        <f ca="1">功能掉落明细!AB278</f>
        <v>20091</v>
      </c>
      <c r="C280" s="1">
        <f ca="1">功能掉落明细!AC278</f>
        <v>9</v>
      </c>
      <c r="D280" s="1">
        <f ca="1">功能掉落明细!AD278</f>
        <v>7000</v>
      </c>
    </row>
    <row r="281" spans="1:4" x14ac:dyDescent="0.25">
      <c r="A281" s="1">
        <f>功能掉落明细!AA279</f>
        <v>277</v>
      </c>
      <c r="B281" s="1">
        <f ca="1">功能掉落明细!AB279</f>
        <v>20091</v>
      </c>
      <c r="C281" s="1">
        <f ca="1">功能掉落明细!AC279</f>
        <v>7</v>
      </c>
      <c r="D281" s="1">
        <f ca="1">功能掉落明细!AD279</f>
        <v>8000</v>
      </c>
    </row>
    <row r="282" spans="1:4" x14ac:dyDescent="0.25">
      <c r="A282" s="1">
        <f>功能掉落明细!AA280</f>
        <v>278</v>
      </c>
      <c r="B282" s="1">
        <f ca="1">功能掉落明细!AB280</f>
        <v>20092</v>
      </c>
      <c r="C282" s="1">
        <f ca="1">功能掉落明细!AC280</f>
        <v>1</v>
      </c>
      <c r="D282" s="1">
        <f ca="1">功能掉落明细!AD280</f>
        <v>10000</v>
      </c>
    </row>
    <row r="283" spans="1:4" x14ac:dyDescent="0.25">
      <c r="A283" s="1">
        <f>功能掉落明细!AA281</f>
        <v>279</v>
      </c>
      <c r="B283" s="1">
        <f ca="1">功能掉落明细!AB281</f>
        <v>20092</v>
      </c>
      <c r="C283" s="1">
        <f ca="1">功能掉落明细!AC281</f>
        <v>16</v>
      </c>
      <c r="D283" s="1">
        <f ca="1">功能掉落明细!AD281</f>
        <v>5000</v>
      </c>
    </row>
    <row r="284" spans="1:4" x14ac:dyDescent="0.25">
      <c r="A284" s="1">
        <f>功能掉落明细!AA282</f>
        <v>280</v>
      </c>
      <c r="B284" s="1">
        <f ca="1">功能掉落明细!AB282</f>
        <v>20092</v>
      </c>
      <c r="C284" s="1">
        <f ca="1">功能掉落明细!AC282</f>
        <v>8</v>
      </c>
      <c r="D284" s="1">
        <f ca="1">功能掉落明细!AD282</f>
        <v>7000</v>
      </c>
    </row>
    <row r="285" spans="1:4" x14ac:dyDescent="0.25">
      <c r="A285" s="1">
        <f>功能掉落明细!AA283</f>
        <v>281</v>
      </c>
      <c r="B285" s="1">
        <f ca="1">功能掉落明细!AB283</f>
        <v>20092</v>
      </c>
      <c r="C285" s="1">
        <f ca="1">功能掉落明细!AC283</f>
        <v>5</v>
      </c>
      <c r="D285" s="1">
        <f ca="1">功能掉落明细!AD283</f>
        <v>8000</v>
      </c>
    </row>
    <row r="286" spans="1:4" x14ac:dyDescent="0.25">
      <c r="A286" s="1">
        <f>功能掉落明细!AA284</f>
        <v>282</v>
      </c>
      <c r="B286" s="1">
        <f ca="1">功能掉落明细!AB284</f>
        <v>20093</v>
      </c>
      <c r="C286" s="1">
        <f ca="1">功能掉落明细!AC284</f>
        <v>1</v>
      </c>
      <c r="D286" s="1">
        <f ca="1">功能掉落明细!AD284</f>
        <v>10000</v>
      </c>
    </row>
    <row r="287" spans="1:4" x14ac:dyDescent="0.25">
      <c r="A287" s="1">
        <f>功能掉落明细!AA285</f>
        <v>283</v>
      </c>
      <c r="B287" s="1">
        <f ca="1">功能掉落明细!AB285</f>
        <v>20093</v>
      </c>
      <c r="C287" s="1">
        <f ca="1">功能掉落明细!AC285</f>
        <v>16</v>
      </c>
      <c r="D287" s="1">
        <f ca="1">功能掉落明细!AD285</f>
        <v>5000</v>
      </c>
    </row>
    <row r="288" spans="1:4" x14ac:dyDescent="0.25">
      <c r="A288" s="1">
        <f>功能掉落明细!AA286</f>
        <v>284</v>
      </c>
      <c r="B288" s="1">
        <f ca="1">功能掉落明细!AB286</f>
        <v>20093</v>
      </c>
      <c r="C288" s="1">
        <f ca="1">功能掉落明细!AC286</f>
        <v>8</v>
      </c>
      <c r="D288" s="1">
        <f ca="1">功能掉落明细!AD286</f>
        <v>7000</v>
      </c>
    </row>
    <row r="289" spans="1:4" x14ac:dyDescent="0.25">
      <c r="A289" s="1">
        <f>功能掉落明细!AA287</f>
        <v>285</v>
      </c>
      <c r="B289" s="1">
        <f ca="1">功能掉落明细!AB287</f>
        <v>20093</v>
      </c>
      <c r="C289" s="1">
        <f ca="1">功能掉落明细!AC287</f>
        <v>5</v>
      </c>
      <c r="D289" s="1">
        <f ca="1">功能掉落明细!AD287</f>
        <v>8000</v>
      </c>
    </row>
    <row r="290" spans="1:4" x14ac:dyDescent="0.25">
      <c r="A290" s="1">
        <f>功能掉落明细!AA288</f>
        <v>286</v>
      </c>
      <c r="B290" s="1">
        <f ca="1">功能掉落明细!AB288</f>
        <v>20094</v>
      </c>
      <c r="C290" s="1">
        <f ca="1">功能掉落明细!AC288</f>
        <v>1</v>
      </c>
      <c r="D290" s="1">
        <f ca="1">功能掉落明细!AD288</f>
        <v>10000</v>
      </c>
    </row>
    <row r="291" spans="1:4" x14ac:dyDescent="0.25">
      <c r="A291" s="1">
        <f>功能掉落明细!AA289</f>
        <v>287</v>
      </c>
      <c r="B291" s="1">
        <f ca="1">功能掉落明细!AB289</f>
        <v>20094</v>
      </c>
      <c r="C291" s="1">
        <f ca="1">功能掉落明细!AC289</f>
        <v>16</v>
      </c>
      <c r="D291" s="1">
        <f ca="1">功能掉落明细!AD289</f>
        <v>5000</v>
      </c>
    </row>
    <row r="292" spans="1:4" x14ac:dyDescent="0.25">
      <c r="A292" s="1">
        <f>功能掉落明细!AA290</f>
        <v>288</v>
      </c>
      <c r="B292" s="1">
        <f ca="1">功能掉落明细!AB290</f>
        <v>20094</v>
      </c>
      <c r="C292" s="1">
        <f ca="1">功能掉落明细!AC290</f>
        <v>8</v>
      </c>
      <c r="D292" s="1">
        <f ca="1">功能掉落明细!AD290</f>
        <v>7000</v>
      </c>
    </row>
    <row r="293" spans="1:4" x14ac:dyDescent="0.25">
      <c r="A293" s="1">
        <f>功能掉落明细!AA291</f>
        <v>289</v>
      </c>
      <c r="B293" s="1">
        <f ca="1">功能掉落明细!AB291</f>
        <v>20094</v>
      </c>
      <c r="C293" s="1">
        <f ca="1">功能掉落明细!AC291</f>
        <v>5</v>
      </c>
      <c r="D293" s="1">
        <f ca="1">功能掉落明细!AD291</f>
        <v>8000</v>
      </c>
    </row>
    <row r="294" spans="1:4" x14ac:dyDescent="0.25">
      <c r="A294" s="1">
        <f>功能掉落明细!AA292</f>
        <v>290</v>
      </c>
      <c r="B294" s="1">
        <f ca="1">功能掉落明细!AB292</f>
        <v>20095</v>
      </c>
      <c r="C294" s="1">
        <f ca="1">功能掉落明细!AC292</f>
        <v>1</v>
      </c>
      <c r="D294" s="1">
        <f ca="1">功能掉落明细!AD292</f>
        <v>10000</v>
      </c>
    </row>
    <row r="295" spans="1:4" x14ac:dyDescent="0.25">
      <c r="A295" s="1">
        <f>功能掉落明细!AA293</f>
        <v>291</v>
      </c>
      <c r="B295" s="1">
        <f ca="1">功能掉落明细!AB293</f>
        <v>20095</v>
      </c>
      <c r="C295" s="1">
        <f ca="1">功能掉落明细!AC293</f>
        <v>14</v>
      </c>
      <c r="D295" s="1">
        <f ca="1">功能掉落明细!AD293</f>
        <v>5000</v>
      </c>
    </row>
    <row r="296" spans="1:4" x14ac:dyDescent="0.25">
      <c r="A296" s="1">
        <f>功能掉落明细!AA294</f>
        <v>292</v>
      </c>
      <c r="B296" s="1">
        <f ca="1">功能掉落明细!AB294</f>
        <v>20095</v>
      </c>
      <c r="C296" s="1">
        <f ca="1">功能掉落明细!AC294</f>
        <v>9</v>
      </c>
      <c r="D296" s="1">
        <f ca="1">功能掉落明细!AD294</f>
        <v>7000</v>
      </c>
    </row>
    <row r="297" spans="1:4" x14ac:dyDescent="0.25">
      <c r="A297" s="1">
        <f>功能掉落明细!AA295</f>
        <v>293</v>
      </c>
      <c r="B297" s="1">
        <f ca="1">功能掉落明细!AB295</f>
        <v>20095</v>
      </c>
      <c r="C297" s="1">
        <f ca="1">功能掉落明细!AC295</f>
        <v>7</v>
      </c>
      <c r="D297" s="1">
        <f ca="1">功能掉落明细!AD295</f>
        <v>8000</v>
      </c>
    </row>
    <row r="298" spans="1:4" x14ac:dyDescent="0.25">
      <c r="A298" s="1">
        <f>功能掉落明细!AA296</f>
        <v>294</v>
      </c>
      <c r="B298" s="1">
        <f ca="1">功能掉落明细!AB296</f>
        <v>20096</v>
      </c>
      <c r="C298" s="1">
        <f ca="1">功能掉落明细!AC296</f>
        <v>1</v>
      </c>
      <c r="D298" s="1">
        <f ca="1">功能掉落明细!AD296</f>
        <v>10000</v>
      </c>
    </row>
    <row r="299" spans="1:4" x14ac:dyDescent="0.25">
      <c r="A299" s="1">
        <f>功能掉落明细!AA297</f>
        <v>295</v>
      </c>
      <c r="B299" s="1">
        <f ca="1">功能掉落明细!AB297</f>
        <v>20096</v>
      </c>
      <c r="C299" s="1">
        <f ca="1">功能掉落明细!AC297</f>
        <v>14</v>
      </c>
      <c r="D299" s="1">
        <f ca="1">功能掉落明细!AD297</f>
        <v>5000</v>
      </c>
    </row>
    <row r="300" spans="1:4" x14ac:dyDescent="0.25">
      <c r="A300" s="1">
        <f>功能掉落明细!AA298</f>
        <v>296</v>
      </c>
      <c r="B300" s="1">
        <f ca="1">功能掉落明细!AB298</f>
        <v>20096</v>
      </c>
      <c r="C300" s="1">
        <f ca="1">功能掉落明细!AC298</f>
        <v>9</v>
      </c>
      <c r="D300" s="1">
        <f ca="1">功能掉落明细!AD298</f>
        <v>7000</v>
      </c>
    </row>
    <row r="301" spans="1:4" x14ac:dyDescent="0.25">
      <c r="A301" s="1">
        <f>功能掉落明细!AA299</f>
        <v>297</v>
      </c>
      <c r="B301" s="1">
        <f ca="1">功能掉落明细!AB299</f>
        <v>20096</v>
      </c>
      <c r="C301" s="1">
        <f ca="1">功能掉落明细!AC299</f>
        <v>7</v>
      </c>
      <c r="D301" s="1">
        <f ca="1">功能掉落明细!AD299</f>
        <v>8000</v>
      </c>
    </row>
    <row r="302" spans="1:4" x14ac:dyDescent="0.25">
      <c r="A302" s="1">
        <f>功能掉落明细!AA300</f>
        <v>298</v>
      </c>
      <c r="B302" s="1">
        <f ca="1">功能掉落明细!AB300</f>
        <v>20097</v>
      </c>
      <c r="C302" s="1">
        <f ca="1">功能掉落明细!AC300</f>
        <v>1</v>
      </c>
      <c r="D302" s="1">
        <f ca="1">功能掉落明细!AD300</f>
        <v>10000</v>
      </c>
    </row>
    <row r="303" spans="1:4" x14ac:dyDescent="0.25">
      <c r="A303" s="1">
        <f>功能掉落明细!AA301</f>
        <v>299</v>
      </c>
      <c r="B303" s="1">
        <f ca="1">功能掉落明细!AB301</f>
        <v>20097</v>
      </c>
      <c r="C303" s="1">
        <f ca="1">功能掉落明细!AC301</f>
        <v>14</v>
      </c>
      <c r="D303" s="1">
        <f ca="1">功能掉落明细!AD301</f>
        <v>5000</v>
      </c>
    </row>
    <row r="304" spans="1:4" x14ac:dyDescent="0.25">
      <c r="A304" s="1">
        <f>功能掉落明细!AA302</f>
        <v>300</v>
      </c>
      <c r="B304" s="1">
        <f ca="1">功能掉落明细!AB302</f>
        <v>20097</v>
      </c>
      <c r="C304" s="1">
        <f ca="1">功能掉落明细!AC302</f>
        <v>9</v>
      </c>
      <c r="D304" s="1">
        <f ca="1">功能掉落明细!AD302</f>
        <v>7000</v>
      </c>
    </row>
    <row r="305" spans="1:4" x14ac:dyDescent="0.25">
      <c r="A305" s="1">
        <f>功能掉落明细!AA303</f>
        <v>301</v>
      </c>
      <c r="B305" s="1">
        <f ca="1">功能掉落明细!AB303</f>
        <v>20097</v>
      </c>
      <c r="C305" s="1">
        <f ca="1">功能掉落明细!AC303</f>
        <v>7</v>
      </c>
      <c r="D305" s="1">
        <f ca="1">功能掉落明细!AD303</f>
        <v>8000</v>
      </c>
    </row>
    <row r="306" spans="1:4" x14ac:dyDescent="0.25">
      <c r="A306" s="1">
        <f>功能掉落明细!AA304</f>
        <v>302</v>
      </c>
      <c r="B306" s="1">
        <f ca="1">功能掉落明细!AB304</f>
        <v>20098</v>
      </c>
      <c r="C306" s="1">
        <f ca="1">功能掉落明细!AC304</f>
        <v>1</v>
      </c>
      <c r="D306" s="1">
        <f ca="1">功能掉落明细!AD304</f>
        <v>10000</v>
      </c>
    </row>
    <row r="307" spans="1:4" x14ac:dyDescent="0.25">
      <c r="A307" s="1">
        <f>功能掉落明细!AA305</f>
        <v>303</v>
      </c>
      <c r="B307" s="1">
        <f ca="1">功能掉落明细!AB305</f>
        <v>20098</v>
      </c>
      <c r="C307" s="1">
        <f ca="1">功能掉落明细!AC305</f>
        <v>14</v>
      </c>
      <c r="D307" s="1">
        <f ca="1">功能掉落明细!AD305</f>
        <v>5000</v>
      </c>
    </row>
    <row r="308" spans="1:4" x14ac:dyDescent="0.25">
      <c r="A308" s="1">
        <f>功能掉落明细!AA306</f>
        <v>304</v>
      </c>
      <c r="B308" s="1">
        <f ca="1">功能掉落明细!AB306</f>
        <v>20098</v>
      </c>
      <c r="C308" s="1">
        <f ca="1">功能掉落明细!AC306</f>
        <v>9</v>
      </c>
      <c r="D308" s="1">
        <f ca="1">功能掉落明细!AD306</f>
        <v>7000</v>
      </c>
    </row>
    <row r="309" spans="1:4" x14ac:dyDescent="0.25">
      <c r="A309" s="1">
        <f>功能掉落明细!AA307</f>
        <v>305</v>
      </c>
      <c r="B309" s="1">
        <f ca="1">功能掉落明细!AB307</f>
        <v>20098</v>
      </c>
      <c r="C309" s="1">
        <f ca="1">功能掉落明细!AC307</f>
        <v>7</v>
      </c>
      <c r="D309" s="1">
        <f ca="1">功能掉落明细!AD307</f>
        <v>8000</v>
      </c>
    </row>
    <row r="310" spans="1:4" x14ac:dyDescent="0.25">
      <c r="A310" s="1">
        <f>功能掉落明细!AA308</f>
        <v>306</v>
      </c>
      <c r="B310" s="1">
        <f ca="1">功能掉落明细!AB308</f>
        <v>20099</v>
      </c>
      <c r="C310" s="1">
        <f ca="1">功能掉落明细!AC308</f>
        <v>1</v>
      </c>
      <c r="D310" s="1">
        <f ca="1">功能掉落明细!AD308</f>
        <v>10000</v>
      </c>
    </row>
    <row r="311" spans="1:4" x14ac:dyDescent="0.25">
      <c r="A311" s="1">
        <f>功能掉落明细!AA309</f>
        <v>307</v>
      </c>
      <c r="B311" s="1">
        <f ca="1">功能掉落明细!AB309</f>
        <v>20099</v>
      </c>
      <c r="C311" s="1">
        <f ca="1">功能掉落明细!AC309</f>
        <v>15</v>
      </c>
      <c r="D311" s="1">
        <f ca="1">功能掉落明细!AD309</f>
        <v>5000</v>
      </c>
    </row>
    <row r="312" spans="1:4" x14ac:dyDescent="0.25">
      <c r="A312" s="1">
        <f>功能掉落明细!AA310</f>
        <v>308</v>
      </c>
      <c r="B312" s="1">
        <f ca="1">功能掉落明细!AB310</f>
        <v>20099</v>
      </c>
      <c r="C312" s="1">
        <f ca="1">功能掉落明细!AC310</f>
        <v>8</v>
      </c>
      <c r="D312" s="1">
        <f ca="1">功能掉落明细!AD310</f>
        <v>7000</v>
      </c>
    </row>
    <row r="313" spans="1:4" x14ac:dyDescent="0.25">
      <c r="A313" s="1">
        <f>功能掉落明细!AA311</f>
        <v>309</v>
      </c>
      <c r="B313" s="1">
        <f ca="1">功能掉落明细!AB311</f>
        <v>20099</v>
      </c>
      <c r="C313" s="1">
        <f ca="1">功能掉落明细!AC311</f>
        <v>5</v>
      </c>
      <c r="D313" s="1">
        <f ca="1">功能掉落明细!AD311</f>
        <v>8000</v>
      </c>
    </row>
    <row r="314" spans="1:4" x14ac:dyDescent="0.25">
      <c r="A314" s="1">
        <f>功能掉落明细!AA312</f>
        <v>310</v>
      </c>
      <c r="B314" s="1">
        <f ca="1">功能掉落明细!AB312</f>
        <v>20100</v>
      </c>
      <c r="C314" s="1">
        <f ca="1">功能掉落明细!AC312</f>
        <v>1</v>
      </c>
      <c r="D314" s="1">
        <f ca="1">功能掉落明细!AD312</f>
        <v>10000</v>
      </c>
    </row>
    <row r="315" spans="1:4" x14ac:dyDescent="0.25">
      <c r="A315" s="1">
        <f>功能掉落明细!AA313</f>
        <v>311</v>
      </c>
      <c r="B315" s="1">
        <f ca="1">功能掉落明细!AB313</f>
        <v>20100</v>
      </c>
      <c r="C315" s="1">
        <f ca="1">功能掉落明细!AC313</f>
        <v>15</v>
      </c>
      <c r="D315" s="1">
        <f ca="1">功能掉落明细!AD313</f>
        <v>5000</v>
      </c>
    </row>
    <row r="316" spans="1:4" x14ac:dyDescent="0.25">
      <c r="A316" s="1">
        <f>功能掉落明细!AA314</f>
        <v>312</v>
      </c>
      <c r="B316" s="1">
        <f ca="1">功能掉落明细!AB314</f>
        <v>20100</v>
      </c>
      <c r="C316" s="1">
        <f ca="1">功能掉落明细!AC314</f>
        <v>8</v>
      </c>
      <c r="D316" s="1">
        <f ca="1">功能掉落明细!AD314</f>
        <v>7000</v>
      </c>
    </row>
    <row r="317" spans="1:4" x14ac:dyDescent="0.25">
      <c r="A317" s="1">
        <f>功能掉落明细!AA315</f>
        <v>313</v>
      </c>
      <c r="B317" s="1">
        <f ca="1">功能掉落明细!AB315</f>
        <v>20100</v>
      </c>
      <c r="C317" s="1">
        <f ca="1">功能掉落明细!AC315</f>
        <v>5</v>
      </c>
      <c r="D317" s="1">
        <f ca="1">功能掉落明细!AD315</f>
        <v>8000</v>
      </c>
    </row>
    <row r="318" spans="1:4" x14ac:dyDescent="0.25">
      <c r="A318" s="1">
        <f>功能掉落明细!AA316</f>
        <v>314</v>
      </c>
      <c r="B318" s="1">
        <f ca="1">功能掉落明细!AB316</f>
        <v>20101</v>
      </c>
      <c r="C318" s="1">
        <f ca="1">功能掉落明细!AC316</f>
        <v>1</v>
      </c>
      <c r="D318" s="1">
        <f ca="1">功能掉落明细!AD316</f>
        <v>10000</v>
      </c>
    </row>
    <row r="319" spans="1:4" x14ac:dyDescent="0.25">
      <c r="A319" s="1">
        <f>功能掉落明细!AA317</f>
        <v>315</v>
      </c>
      <c r="B319" s="1">
        <f ca="1">功能掉落明细!AB317</f>
        <v>20101</v>
      </c>
      <c r="C319" s="1">
        <f ca="1">功能掉落明细!AC317</f>
        <v>15</v>
      </c>
      <c r="D319" s="1">
        <f ca="1">功能掉落明细!AD317</f>
        <v>5000</v>
      </c>
    </row>
    <row r="320" spans="1:4" x14ac:dyDescent="0.25">
      <c r="A320" s="1">
        <f>功能掉落明细!AA318</f>
        <v>316</v>
      </c>
      <c r="B320" s="1">
        <f ca="1">功能掉落明细!AB318</f>
        <v>20101</v>
      </c>
      <c r="C320" s="1">
        <f ca="1">功能掉落明细!AC318</f>
        <v>8</v>
      </c>
      <c r="D320" s="1">
        <f ca="1">功能掉落明细!AD318</f>
        <v>7000</v>
      </c>
    </row>
    <row r="321" spans="1:4" x14ac:dyDescent="0.25">
      <c r="A321" s="1">
        <f>功能掉落明细!AA319</f>
        <v>317</v>
      </c>
      <c r="B321" s="1">
        <f ca="1">功能掉落明细!AB319</f>
        <v>20101</v>
      </c>
      <c r="C321" s="1">
        <f ca="1">功能掉落明细!AC319</f>
        <v>5</v>
      </c>
      <c r="D321" s="1">
        <f ca="1">功能掉落明细!AD319</f>
        <v>8000</v>
      </c>
    </row>
    <row r="322" spans="1:4" x14ac:dyDescent="0.25">
      <c r="A322" s="1">
        <f>功能掉落明细!AA320</f>
        <v>318</v>
      </c>
      <c r="B322" s="1">
        <f ca="1">功能掉落明细!AB320</f>
        <v>20102</v>
      </c>
      <c r="C322" s="1">
        <f ca="1">功能掉落明细!AC320</f>
        <v>1</v>
      </c>
      <c r="D322" s="1">
        <f ca="1">功能掉落明细!AD320</f>
        <v>10000</v>
      </c>
    </row>
    <row r="323" spans="1:4" x14ac:dyDescent="0.25">
      <c r="A323" s="1">
        <f>功能掉落明细!AA321</f>
        <v>319</v>
      </c>
      <c r="B323" s="1">
        <f ca="1">功能掉落明细!AB321</f>
        <v>20102</v>
      </c>
      <c r="C323" s="1">
        <f ca="1">功能掉落明细!AC321</f>
        <v>15</v>
      </c>
      <c r="D323" s="1">
        <f ca="1">功能掉落明细!AD321</f>
        <v>5000</v>
      </c>
    </row>
    <row r="324" spans="1:4" x14ac:dyDescent="0.25">
      <c r="A324" s="1">
        <f>功能掉落明细!AA322</f>
        <v>320</v>
      </c>
      <c r="B324" s="1">
        <f ca="1">功能掉落明细!AB322</f>
        <v>20102</v>
      </c>
      <c r="C324" s="1">
        <f ca="1">功能掉落明细!AC322</f>
        <v>8</v>
      </c>
      <c r="D324" s="1">
        <f ca="1">功能掉落明细!AD322</f>
        <v>7000</v>
      </c>
    </row>
    <row r="325" spans="1:4" x14ac:dyDescent="0.25">
      <c r="A325" s="1">
        <f>功能掉落明细!AA323</f>
        <v>321</v>
      </c>
      <c r="B325" s="1">
        <f ca="1">功能掉落明细!AB323</f>
        <v>20102</v>
      </c>
      <c r="C325" s="1">
        <f ca="1">功能掉落明细!AC323</f>
        <v>5</v>
      </c>
      <c r="D325" s="1">
        <f ca="1">功能掉落明细!AD323</f>
        <v>8000</v>
      </c>
    </row>
    <row r="326" spans="1:4" x14ac:dyDescent="0.25">
      <c r="A326" s="1">
        <f>功能掉落明细!AA324</f>
        <v>322</v>
      </c>
      <c r="B326" s="1">
        <f ca="1">功能掉落明细!AB324</f>
        <v>20103</v>
      </c>
      <c r="C326" s="1">
        <f ca="1">功能掉落明细!AC324</f>
        <v>1</v>
      </c>
      <c r="D326" s="1">
        <f ca="1">功能掉落明细!AD324</f>
        <v>10000</v>
      </c>
    </row>
    <row r="327" spans="1:4" x14ac:dyDescent="0.25">
      <c r="A327" s="1">
        <f>功能掉落明细!AA325</f>
        <v>323</v>
      </c>
      <c r="B327" s="1">
        <f ca="1">功能掉落明细!AB325</f>
        <v>20103</v>
      </c>
      <c r="C327" s="1">
        <f ca="1">功能掉落明细!AC325</f>
        <v>16</v>
      </c>
      <c r="D327" s="1">
        <f ca="1">功能掉落明细!AD325</f>
        <v>5000</v>
      </c>
    </row>
    <row r="328" spans="1:4" x14ac:dyDescent="0.25">
      <c r="A328" s="1">
        <f>功能掉落明细!AA326</f>
        <v>324</v>
      </c>
      <c r="B328" s="1">
        <f ca="1">功能掉落明细!AB326</f>
        <v>20103</v>
      </c>
      <c r="C328" s="1">
        <f ca="1">功能掉落明细!AC326</f>
        <v>10</v>
      </c>
      <c r="D328" s="1">
        <f ca="1">功能掉落明细!AD326</f>
        <v>7000</v>
      </c>
    </row>
    <row r="329" spans="1:4" x14ac:dyDescent="0.25">
      <c r="A329" s="1">
        <f>功能掉落明细!AA327</f>
        <v>325</v>
      </c>
      <c r="B329" s="1">
        <f ca="1">功能掉落明细!AB327</f>
        <v>20103</v>
      </c>
      <c r="C329" s="1">
        <f ca="1">功能掉落明细!AC327</f>
        <v>6</v>
      </c>
      <c r="D329" s="1">
        <f ca="1">功能掉落明细!AD327</f>
        <v>8000</v>
      </c>
    </row>
    <row r="330" spans="1:4" x14ac:dyDescent="0.25">
      <c r="A330" s="1">
        <f>功能掉落明细!AA328</f>
        <v>326</v>
      </c>
      <c r="B330" s="1">
        <f ca="1">功能掉落明细!AB328</f>
        <v>20104</v>
      </c>
      <c r="C330" s="1">
        <f ca="1">功能掉落明细!AC328</f>
        <v>1</v>
      </c>
      <c r="D330" s="1">
        <f ca="1">功能掉落明细!AD328</f>
        <v>10000</v>
      </c>
    </row>
    <row r="331" spans="1:4" x14ac:dyDescent="0.25">
      <c r="A331" s="1">
        <f>功能掉落明细!AA329</f>
        <v>327</v>
      </c>
      <c r="B331" s="1">
        <f ca="1">功能掉落明细!AB329</f>
        <v>20104</v>
      </c>
      <c r="C331" s="1">
        <f ca="1">功能掉落明细!AC329</f>
        <v>16</v>
      </c>
      <c r="D331" s="1">
        <f ca="1">功能掉落明细!AD329</f>
        <v>5000</v>
      </c>
    </row>
    <row r="332" spans="1:4" x14ac:dyDescent="0.25">
      <c r="A332" s="1">
        <f>功能掉落明细!AA330</f>
        <v>328</v>
      </c>
      <c r="B332" s="1">
        <f ca="1">功能掉落明细!AB330</f>
        <v>20104</v>
      </c>
      <c r="C332" s="1">
        <f ca="1">功能掉落明细!AC330</f>
        <v>10</v>
      </c>
      <c r="D332" s="1">
        <f ca="1">功能掉落明细!AD330</f>
        <v>7000</v>
      </c>
    </row>
    <row r="333" spans="1:4" x14ac:dyDescent="0.25">
      <c r="A333" s="1">
        <f>功能掉落明细!AA331</f>
        <v>329</v>
      </c>
      <c r="B333" s="1">
        <f ca="1">功能掉落明细!AB331</f>
        <v>20104</v>
      </c>
      <c r="C333" s="1">
        <f ca="1">功能掉落明细!AC331</f>
        <v>6</v>
      </c>
      <c r="D333" s="1">
        <f ca="1">功能掉落明细!AD331</f>
        <v>8000</v>
      </c>
    </row>
    <row r="334" spans="1:4" x14ac:dyDescent="0.25">
      <c r="A334" s="1">
        <f>功能掉落明细!AA332</f>
        <v>330</v>
      </c>
      <c r="B334" s="1">
        <f ca="1">功能掉落明细!AB332</f>
        <v>20105</v>
      </c>
      <c r="C334" s="1">
        <f ca="1">功能掉落明细!AC332</f>
        <v>1</v>
      </c>
      <c r="D334" s="1">
        <f ca="1">功能掉落明细!AD332</f>
        <v>10000</v>
      </c>
    </row>
    <row r="335" spans="1:4" x14ac:dyDescent="0.25">
      <c r="A335" s="1">
        <f>功能掉落明细!AA333</f>
        <v>331</v>
      </c>
      <c r="B335" s="1">
        <f ca="1">功能掉落明细!AB333</f>
        <v>20105</v>
      </c>
      <c r="C335" s="1">
        <f ca="1">功能掉落明细!AC333</f>
        <v>16</v>
      </c>
      <c r="D335" s="1">
        <f ca="1">功能掉落明细!AD333</f>
        <v>5000</v>
      </c>
    </row>
    <row r="336" spans="1:4" x14ac:dyDescent="0.25">
      <c r="A336" s="1">
        <f>功能掉落明细!AA334</f>
        <v>332</v>
      </c>
      <c r="B336" s="1">
        <f ca="1">功能掉落明细!AB334</f>
        <v>20105</v>
      </c>
      <c r="C336" s="1">
        <f ca="1">功能掉落明细!AC334</f>
        <v>10</v>
      </c>
      <c r="D336" s="1">
        <f ca="1">功能掉落明细!AD334</f>
        <v>7000</v>
      </c>
    </row>
    <row r="337" spans="1:4" x14ac:dyDescent="0.25">
      <c r="A337" s="1">
        <f>功能掉落明细!AA335</f>
        <v>333</v>
      </c>
      <c r="B337" s="1">
        <f ca="1">功能掉落明细!AB335</f>
        <v>20105</v>
      </c>
      <c r="C337" s="1">
        <f ca="1">功能掉落明细!AC335</f>
        <v>6</v>
      </c>
      <c r="D337" s="1">
        <f ca="1">功能掉落明细!AD335</f>
        <v>8000</v>
      </c>
    </row>
    <row r="338" spans="1:4" x14ac:dyDescent="0.25">
      <c r="A338" s="1">
        <f>功能掉落明细!AA336</f>
        <v>334</v>
      </c>
      <c r="B338" s="1">
        <f ca="1">功能掉落明细!AB336</f>
        <v>20106</v>
      </c>
      <c r="C338" s="1">
        <f ca="1">功能掉落明细!AC336</f>
        <v>1</v>
      </c>
      <c r="D338" s="1">
        <f ca="1">功能掉落明细!AD336</f>
        <v>10000</v>
      </c>
    </row>
    <row r="339" spans="1:4" x14ac:dyDescent="0.25">
      <c r="A339" s="1">
        <f>功能掉落明细!AA337</f>
        <v>335</v>
      </c>
      <c r="B339" s="1">
        <f ca="1">功能掉落明细!AB337</f>
        <v>20106</v>
      </c>
      <c r="C339" s="1">
        <f ca="1">功能掉落明细!AC337</f>
        <v>16</v>
      </c>
      <c r="D339" s="1">
        <f ca="1">功能掉落明细!AD337</f>
        <v>5000</v>
      </c>
    </row>
    <row r="340" spans="1:4" x14ac:dyDescent="0.25">
      <c r="A340" s="1">
        <f>功能掉落明细!AA338</f>
        <v>336</v>
      </c>
      <c r="B340" s="1">
        <f ca="1">功能掉落明细!AB338</f>
        <v>20106</v>
      </c>
      <c r="C340" s="1">
        <f ca="1">功能掉落明细!AC338</f>
        <v>10</v>
      </c>
      <c r="D340" s="1">
        <f ca="1">功能掉落明细!AD338</f>
        <v>7000</v>
      </c>
    </row>
    <row r="341" spans="1:4" x14ac:dyDescent="0.25">
      <c r="A341" s="1">
        <f>功能掉落明细!AA339</f>
        <v>337</v>
      </c>
      <c r="B341" s="1">
        <f ca="1">功能掉落明细!AB339</f>
        <v>20106</v>
      </c>
      <c r="C341" s="1">
        <f ca="1">功能掉落明细!AC339</f>
        <v>6</v>
      </c>
      <c r="D341" s="1">
        <f ca="1">功能掉落明细!AD339</f>
        <v>8000</v>
      </c>
    </row>
    <row r="342" spans="1:4" x14ac:dyDescent="0.25">
      <c r="A342" s="1">
        <f>功能掉落明细!AA340</f>
        <v>338</v>
      </c>
      <c r="B342" s="1">
        <f ca="1">功能掉落明细!AB340</f>
        <v>20107</v>
      </c>
      <c r="C342" s="1">
        <f ca="1">功能掉落明细!AC340</f>
        <v>1</v>
      </c>
      <c r="D342" s="1">
        <f ca="1">功能掉落明细!AD340</f>
        <v>10000</v>
      </c>
    </row>
    <row r="343" spans="1:4" x14ac:dyDescent="0.25">
      <c r="A343" s="1">
        <f>功能掉落明细!AA341</f>
        <v>339</v>
      </c>
      <c r="B343" s="1">
        <f ca="1">功能掉落明细!AB341</f>
        <v>20107</v>
      </c>
      <c r="C343" s="1">
        <f ca="1">功能掉落明细!AC341</f>
        <v>17</v>
      </c>
      <c r="D343" s="1">
        <f ca="1">功能掉落明细!AD341</f>
        <v>4500</v>
      </c>
    </row>
    <row r="344" spans="1:4" x14ac:dyDescent="0.25">
      <c r="A344" s="1">
        <f>功能掉落明细!AA342</f>
        <v>340</v>
      </c>
      <c r="B344" s="1">
        <f ca="1">功能掉落明细!AB342</f>
        <v>20107</v>
      </c>
      <c r="C344" s="1">
        <f ca="1">功能掉落明细!AC342</f>
        <v>13</v>
      </c>
      <c r="D344" s="1">
        <f ca="1">功能掉落明细!AD342</f>
        <v>6000</v>
      </c>
    </row>
    <row r="345" spans="1:4" x14ac:dyDescent="0.25">
      <c r="A345" s="1">
        <f>功能掉落明细!AA343</f>
        <v>341</v>
      </c>
      <c r="B345" s="1">
        <f ca="1">功能掉落明细!AB343</f>
        <v>20107</v>
      </c>
      <c r="C345" s="1">
        <f ca="1">功能掉落明细!AC343</f>
        <v>10</v>
      </c>
      <c r="D345" s="1">
        <f ca="1">功能掉落明细!AD343</f>
        <v>7000</v>
      </c>
    </row>
    <row r="346" spans="1:4" x14ac:dyDescent="0.25">
      <c r="A346" s="1">
        <f>功能掉落明细!AA344</f>
        <v>342</v>
      </c>
      <c r="B346" s="1">
        <f ca="1">功能掉落明细!AB344</f>
        <v>20108</v>
      </c>
      <c r="C346" s="1">
        <f ca="1">功能掉落明细!AC344</f>
        <v>1</v>
      </c>
      <c r="D346" s="1">
        <f ca="1">功能掉落明细!AD344</f>
        <v>10000</v>
      </c>
    </row>
    <row r="347" spans="1:4" x14ac:dyDescent="0.25">
      <c r="A347" s="1">
        <f>功能掉落明细!AA345</f>
        <v>343</v>
      </c>
      <c r="B347" s="1">
        <f ca="1">功能掉落明细!AB345</f>
        <v>20108</v>
      </c>
      <c r="C347" s="1">
        <f ca="1">功能掉落明细!AC345</f>
        <v>17</v>
      </c>
      <c r="D347" s="1">
        <f ca="1">功能掉落明细!AD345</f>
        <v>4500</v>
      </c>
    </row>
    <row r="348" spans="1:4" x14ac:dyDescent="0.25">
      <c r="A348" s="1">
        <f>功能掉落明细!AA346</f>
        <v>344</v>
      </c>
      <c r="B348" s="1">
        <f ca="1">功能掉落明细!AB346</f>
        <v>20108</v>
      </c>
      <c r="C348" s="1">
        <f ca="1">功能掉落明细!AC346</f>
        <v>13</v>
      </c>
      <c r="D348" s="1">
        <f ca="1">功能掉落明细!AD346</f>
        <v>6000</v>
      </c>
    </row>
    <row r="349" spans="1:4" x14ac:dyDescent="0.25">
      <c r="A349" s="1">
        <f>功能掉落明细!AA347</f>
        <v>345</v>
      </c>
      <c r="B349" s="1">
        <f ca="1">功能掉落明细!AB347</f>
        <v>20108</v>
      </c>
      <c r="C349" s="1">
        <f ca="1">功能掉落明细!AC347</f>
        <v>10</v>
      </c>
      <c r="D349" s="1">
        <f ca="1">功能掉落明细!AD347</f>
        <v>7000</v>
      </c>
    </row>
    <row r="350" spans="1:4" x14ac:dyDescent="0.25">
      <c r="A350" s="1">
        <f>功能掉落明细!AA348</f>
        <v>346</v>
      </c>
      <c r="B350" s="1">
        <f ca="1">功能掉落明细!AB348</f>
        <v>20109</v>
      </c>
      <c r="C350" s="1">
        <f ca="1">功能掉落明细!AC348</f>
        <v>1</v>
      </c>
      <c r="D350" s="1">
        <f ca="1">功能掉落明细!AD348</f>
        <v>10000</v>
      </c>
    </row>
    <row r="351" spans="1:4" x14ac:dyDescent="0.25">
      <c r="A351" s="1">
        <f>功能掉落明细!AA349</f>
        <v>347</v>
      </c>
      <c r="B351" s="1">
        <f ca="1">功能掉落明细!AB349</f>
        <v>20109</v>
      </c>
      <c r="C351" s="1">
        <f ca="1">功能掉落明细!AC349</f>
        <v>17</v>
      </c>
      <c r="D351" s="1">
        <f ca="1">功能掉落明细!AD349</f>
        <v>4500</v>
      </c>
    </row>
    <row r="352" spans="1:4" x14ac:dyDescent="0.25">
      <c r="A352" s="1">
        <f>功能掉落明细!AA350</f>
        <v>348</v>
      </c>
      <c r="B352" s="1">
        <f ca="1">功能掉落明细!AB350</f>
        <v>20109</v>
      </c>
      <c r="C352" s="1">
        <f ca="1">功能掉落明细!AC350</f>
        <v>13</v>
      </c>
      <c r="D352" s="1">
        <f ca="1">功能掉落明细!AD350</f>
        <v>6000</v>
      </c>
    </row>
    <row r="353" spans="1:4" x14ac:dyDescent="0.25">
      <c r="A353" s="1">
        <f>功能掉落明细!AA351</f>
        <v>349</v>
      </c>
      <c r="B353" s="1">
        <f ca="1">功能掉落明细!AB351</f>
        <v>20109</v>
      </c>
      <c r="C353" s="1">
        <f ca="1">功能掉落明细!AC351</f>
        <v>10</v>
      </c>
      <c r="D353" s="1">
        <f ca="1">功能掉落明细!AD351</f>
        <v>7000</v>
      </c>
    </row>
    <row r="354" spans="1:4" x14ac:dyDescent="0.25">
      <c r="A354" s="1">
        <f>功能掉落明细!AA352</f>
        <v>350</v>
      </c>
      <c r="B354" s="1">
        <f ca="1">功能掉落明细!AB352</f>
        <v>20110</v>
      </c>
      <c r="C354" s="1">
        <f ca="1">功能掉落明细!AC352</f>
        <v>1</v>
      </c>
      <c r="D354" s="1">
        <f ca="1">功能掉落明细!AD352</f>
        <v>10000</v>
      </c>
    </row>
    <row r="355" spans="1:4" x14ac:dyDescent="0.25">
      <c r="A355" s="1">
        <f>功能掉落明细!AA353</f>
        <v>351</v>
      </c>
      <c r="B355" s="1">
        <f ca="1">功能掉落明细!AB353</f>
        <v>20110</v>
      </c>
      <c r="C355" s="1">
        <f ca="1">功能掉落明细!AC353</f>
        <v>17</v>
      </c>
      <c r="D355" s="1">
        <f ca="1">功能掉落明细!AD353</f>
        <v>4500</v>
      </c>
    </row>
    <row r="356" spans="1:4" x14ac:dyDescent="0.25">
      <c r="A356" s="1">
        <f>功能掉落明细!AA354</f>
        <v>352</v>
      </c>
      <c r="B356" s="1">
        <f ca="1">功能掉落明细!AB354</f>
        <v>20110</v>
      </c>
      <c r="C356" s="1">
        <f ca="1">功能掉落明细!AC354</f>
        <v>13</v>
      </c>
      <c r="D356" s="1">
        <f ca="1">功能掉落明细!AD354</f>
        <v>6000</v>
      </c>
    </row>
    <row r="357" spans="1:4" x14ac:dyDescent="0.25">
      <c r="A357" s="1">
        <f>功能掉落明细!AA355</f>
        <v>353</v>
      </c>
      <c r="B357" s="1">
        <f ca="1">功能掉落明细!AB355</f>
        <v>20110</v>
      </c>
      <c r="C357" s="1">
        <f ca="1">功能掉落明细!AC355</f>
        <v>10</v>
      </c>
      <c r="D357" s="1">
        <f ca="1">功能掉落明细!AD355</f>
        <v>7000</v>
      </c>
    </row>
    <row r="358" spans="1:4" x14ac:dyDescent="0.25">
      <c r="A358" s="1">
        <f>功能掉落明细!AA356</f>
        <v>354</v>
      </c>
      <c r="B358" s="1">
        <f ca="1">功能掉落明细!AB356</f>
        <v>20111</v>
      </c>
      <c r="C358" s="1">
        <f ca="1">功能掉落明细!AC356</f>
        <v>1</v>
      </c>
      <c r="D358" s="1">
        <f ca="1">功能掉落明细!AD356</f>
        <v>10000</v>
      </c>
    </row>
    <row r="359" spans="1:4" x14ac:dyDescent="0.25">
      <c r="A359" s="1">
        <f>功能掉落明细!AA357</f>
        <v>355</v>
      </c>
      <c r="B359" s="1">
        <f ca="1">功能掉落明细!AB357</f>
        <v>20111</v>
      </c>
      <c r="C359" s="1">
        <f ca="1">功能掉落明细!AC357</f>
        <v>18</v>
      </c>
      <c r="D359" s="1">
        <f ca="1">功能掉落明细!AD357</f>
        <v>4500</v>
      </c>
    </row>
    <row r="360" spans="1:4" x14ac:dyDescent="0.25">
      <c r="A360" s="1">
        <f>功能掉落明细!AA358</f>
        <v>356</v>
      </c>
      <c r="B360" s="1">
        <f ca="1">功能掉落明细!AB358</f>
        <v>20111</v>
      </c>
      <c r="C360" s="1">
        <f ca="1">功能掉落明细!AC358</f>
        <v>12</v>
      </c>
      <c r="D360" s="1">
        <f ca="1">功能掉落明细!AD358</f>
        <v>6000</v>
      </c>
    </row>
    <row r="361" spans="1:4" x14ac:dyDescent="0.25">
      <c r="A361" s="1">
        <f>功能掉落明细!AA359</f>
        <v>357</v>
      </c>
      <c r="B361" s="1">
        <f ca="1">功能掉落明细!AB359</f>
        <v>20111</v>
      </c>
      <c r="C361" s="1">
        <f ca="1">功能掉落明细!AC359</f>
        <v>8</v>
      </c>
      <c r="D361" s="1">
        <f ca="1">功能掉落明细!AD359</f>
        <v>7000</v>
      </c>
    </row>
    <row r="362" spans="1:4" x14ac:dyDescent="0.25">
      <c r="A362" s="1">
        <f>功能掉落明细!AA360</f>
        <v>358</v>
      </c>
      <c r="B362" s="1">
        <f ca="1">功能掉落明细!AB360</f>
        <v>20112</v>
      </c>
      <c r="C362" s="1">
        <f ca="1">功能掉落明细!AC360</f>
        <v>1</v>
      </c>
      <c r="D362" s="1">
        <f ca="1">功能掉落明细!AD360</f>
        <v>10000</v>
      </c>
    </row>
    <row r="363" spans="1:4" x14ac:dyDescent="0.25">
      <c r="A363" s="1">
        <f>功能掉落明细!AA361</f>
        <v>359</v>
      </c>
      <c r="B363" s="1">
        <f ca="1">功能掉落明细!AB361</f>
        <v>20112</v>
      </c>
      <c r="C363" s="1">
        <f ca="1">功能掉落明细!AC361</f>
        <v>18</v>
      </c>
      <c r="D363" s="1">
        <f ca="1">功能掉落明细!AD361</f>
        <v>4500</v>
      </c>
    </row>
    <row r="364" spans="1:4" x14ac:dyDescent="0.25">
      <c r="A364" s="1">
        <f>功能掉落明细!AA362</f>
        <v>360</v>
      </c>
      <c r="B364" s="1">
        <f ca="1">功能掉落明细!AB362</f>
        <v>20112</v>
      </c>
      <c r="C364" s="1">
        <f ca="1">功能掉落明细!AC362</f>
        <v>12</v>
      </c>
      <c r="D364" s="1">
        <f ca="1">功能掉落明细!AD362</f>
        <v>6000</v>
      </c>
    </row>
    <row r="365" spans="1:4" x14ac:dyDescent="0.25">
      <c r="A365" s="1">
        <f>功能掉落明细!AA363</f>
        <v>361</v>
      </c>
      <c r="B365" s="1">
        <f ca="1">功能掉落明细!AB363</f>
        <v>20112</v>
      </c>
      <c r="C365" s="1">
        <f ca="1">功能掉落明细!AC363</f>
        <v>8</v>
      </c>
      <c r="D365" s="1">
        <f ca="1">功能掉落明细!AD363</f>
        <v>7000</v>
      </c>
    </row>
    <row r="366" spans="1:4" x14ac:dyDescent="0.25">
      <c r="A366" s="1">
        <f>功能掉落明细!AA364</f>
        <v>362</v>
      </c>
      <c r="B366" s="1">
        <f ca="1">功能掉落明细!AB364</f>
        <v>20113</v>
      </c>
      <c r="C366" s="1">
        <f ca="1">功能掉落明细!AC364</f>
        <v>1</v>
      </c>
      <c r="D366" s="1">
        <f ca="1">功能掉落明细!AD364</f>
        <v>10000</v>
      </c>
    </row>
    <row r="367" spans="1:4" x14ac:dyDescent="0.25">
      <c r="A367" s="1">
        <f>功能掉落明细!AA365</f>
        <v>363</v>
      </c>
      <c r="B367" s="1">
        <f ca="1">功能掉落明细!AB365</f>
        <v>20113</v>
      </c>
      <c r="C367" s="1">
        <f ca="1">功能掉落明细!AC365</f>
        <v>18</v>
      </c>
      <c r="D367" s="1">
        <f ca="1">功能掉落明细!AD365</f>
        <v>4500</v>
      </c>
    </row>
    <row r="368" spans="1:4" x14ac:dyDescent="0.25">
      <c r="A368" s="1">
        <f>功能掉落明细!AA366</f>
        <v>364</v>
      </c>
      <c r="B368" s="1">
        <f ca="1">功能掉落明细!AB366</f>
        <v>20113</v>
      </c>
      <c r="C368" s="1">
        <f ca="1">功能掉落明细!AC366</f>
        <v>12</v>
      </c>
      <c r="D368" s="1">
        <f ca="1">功能掉落明细!AD366</f>
        <v>6000</v>
      </c>
    </row>
    <row r="369" spans="1:4" x14ac:dyDescent="0.25">
      <c r="A369" s="1">
        <f>功能掉落明细!AA367</f>
        <v>365</v>
      </c>
      <c r="B369" s="1">
        <f ca="1">功能掉落明细!AB367</f>
        <v>20113</v>
      </c>
      <c r="C369" s="1">
        <f ca="1">功能掉落明细!AC367</f>
        <v>8</v>
      </c>
      <c r="D369" s="1">
        <f ca="1">功能掉落明细!AD367</f>
        <v>7000</v>
      </c>
    </row>
    <row r="370" spans="1:4" x14ac:dyDescent="0.25">
      <c r="A370" s="1">
        <f>功能掉落明细!AA368</f>
        <v>366</v>
      </c>
      <c r="B370" s="1">
        <f ca="1">功能掉落明细!AB368</f>
        <v>20114</v>
      </c>
      <c r="C370" s="1">
        <f ca="1">功能掉落明细!AC368</f>
        <v>1</v>
      </c>
      <c r="D370" s="1">
        <f ca="1">功能掉落明细!AD368</f>
        <v>10000</v>
      </c>
    </row>
    <row r="371" spans="1:4" x14ac:dyDescent="0.25">
      <c r="A371" s="1">
        <f>功能掉落明细!AA369</f>
        <v>367</v>
      </c>
      <c r="B371" s="1">
        <f ca="1">功能掉落明细!AB369</f>
        <v>20114</v>
      </c>
      <c r="C371" s="1">
        <f ca="1">功能掉落明细!AC369</f>
        <v>18</v>
      </c>
      <c r="D371" s="1">
        <f ca="1">功能掉落明细!AD369</f>
        <v>4500</v>
      </c>
    </row>
    <row r="372" spans="1:4" x14ac:dyDescent="0.25">
      <c r="A372" s="1">
        <f>功能掉落明细!AA370</f>
        <v>368</v>
      </c>
      <c r="B372" s="1">
        <f ca="1">功能掉落明细!AB370</f>
        <v>20114</v>
      </c>
      <c r="C372" s="1">
        <f ca="1">功能掉落明细!AC370</f>
        <v>12</v>
      </c>
      <c r="D372" s="1">
        <f ca="1">功能掉落明细!AD370</f>
        <v>6000</v>
      </c>
    </row>
    <row r="373" spans="1:4" x14ac:dyDescent="0.25">
      <c r="A373" s="1">
        <f>功能掉落明细!AA371</f>
        <v>369</v>
      </c>
      <c r="B373" s="1">
        <f ca="1">功能掉落明细!AB371</f>
        <v>20114</v>
      </c>
      <c r="C373" s="1">
        <f ca="1">功能掉落明细!AC371</f>
        <v>8</v>
      </c>
      <c r="D373" s="1">
        <f ca="1">功能掉落明细!AD371</f>
        <v>7000</v>
      </c>
    </row>
    <row r="374" spans="1:4" x14ac:dyDescent="0.25">
      <c r="A374" s="1">
        <f>功能掉落明细!AA372</f>
        <v>370</v>
      </c>
      <c r="B374" s="1">
        <f ca="1">功能掉落明细!AB372</f>
        <v>20115</v>
      </c>
      <c r="C374" s="1">
        <f ca="1">功能掉落明细!AC372</f>
        <v>1</v>
      </c>
      <c r="D374" s="1">
        <f ca="1">功能掉落明细!AD372</f>
        <v>10000</v>
      </c>
    </row>
    <row r="375" spans="1:4" x14ac:dyDescent="0.25">
      <c r="A375" s="1">
        <f>功能掉落明细!AA373</f>
        <v>371</v>
      </c>
      <c r="B375" s="1">
        <f ca="1">功能掉落明细!AB373</f>
        <v>20115</v>
      </c>
      <c r="C375" s="1">
        <f ca="1">功能掉落明细!AC373</f>
        <v>19</v>
      </c>
      <c r="D375" s="1">
        <f ca="1">功能掉落明细!AD373</f>
        <v>4500</v>
      </c>
    </row>
    <row r="376" spans="1:4" x14ac:dyDescent="0.25">
      <c r="A376" s="1">
        <f>功能掉落明细!AA374</f>
        <v>372</v>
      </c>
      <c r="B376" s="1">
        <f ca="1">功能掉落明细!AB374</f>
        <v>20115</v>
      </c>
      <c r="C376" s="1">
        <f ca="1">功能掉落明细!AC374</f>
        <v>11</v>
      </c>
      <c r="D376" s="1">
        <f ca="1">功能掉落明细!AD374</f>
        <v>6000</v>
      </c>
    </row>
    <row r="377" spans="1:4" x14ac:dyDescent="0.25">
      <c r="A377" s="1">
        <f>功能掉落明细!AA375</f>
        <v>373</v>
      </c>
      <c r="B377" s="1">
        <f ca="1">功能掉落明细!AB375</f>
        <v>20115</v>
      </c>
      <c r="C377" s="1">
        <f ca="1">功能掉落明细!AC375</f>
        <v>9</v>
      </c>
      <c r="D377" s="1">
        <f ca="1">功能掉落明细!AD375</f>
        <v>7000</v>
      </c>
    </row>
    <row r="378" spans="1:4" x14ac:dyDescent="0.25">
      <c r="A378" s="1">
        <f>功能掉落明细!AA376</f>
        <v>374</v>
      </c>
      <c r="B378" s="1">
        <f ca="1">功能掉落明细!AB376</f>
        <v>20116</v>
      </c>
      <c r="C378" s="1">
        <f ca="1">功能掉落明细!AC376</f>
        <v>1</v>
      </c>
      <c r="D378" s="1">
        <f ca="1">功能掉落明细!AD376</f>
        <v>10000</v>
      </c>
    </row>
    <row r="379" spans="1:4" x14ac:dyDescent="0.25">
      <c r="A379" s="1">
        <f>功能掉落明细!AA377</f>
        <v>375</v>
      </c>
      <c r="B379" s="1">
        <f ca="1">功能掉落明细!AB377</f>
        <v>20116</v>
      </c>
      <c r="C379" s="1">
        <f ca="1">功能掉落明细!AC377</f>
        <v>19</v>
      </c>
      <c r="D379" s="1">
        <f ca="1">功能掉落明细!AD377</f>
        <v>4500</v>
      </c>
    </row>
    <row r="380" spans="1:4" x14ac:dyDescent="0.25">
      <c r="A380" s="1">
        <f>功能掉落明细!AA378</f>
        <v>376</v>
      </c>
      <c r="B380" s="1">
        <f ca="1">功能掉落明细!AB378</f>
        <v>20116</v>
      </c>
      <c r="C380" s="1">
        <f ca="1">功能掉落明细!AC378</f>
        <v>11</v>
      </c>
      <c r="D380" s="1">
        <f ca="1">功能掉落明细!AD378</f>
        <v>6000</v>
      </c>
    </row>
    <row r="381" spans="1:4" x14ac:dyDescent="0.25">
      <c r="A381" s="1">
        <f>功能掉落明细!AA379</f>
        <v>377</v>
      </c>
      <c r="B381" s="1">
        <f ca="1">功能掉落明细!AB379</f>
        <v>20116</v>
      </c>
      <c r="C381" s="1">
        <f ca="1">功能掉落明细!AC379</f>
        <v>9</v>
      </c>
      <c r="D381" s="1">
        <f ca="1">功能掉落明细!AD379</f>
        <v>7000</v>
      </c>
    </row>
    <row r="382" spans="1:4" x14ac:dyDescent="0.25">
      <c r="A382" s="1">
        <f>功能掉落明细!AA380</f>
        <v>378</v>
      </c>
      <c r="B382" s="1">
        <f ca="1">功能掉落明细!AB380</f>
        <v>20117</v>
      </c>
      <c r="C382" s="1">
        <f ca="1">功能掉落明细!AC380</f>
        <v>1</v>
      </c>
      <c r="D382" s="1">
        <f ca="1">功能掉落明细!AD380</f>
        <v>10000</v>
      </c>
    </row>
    <row r="383" spans="1:4" x14ac:dyDescent="0.25">
      <c r="A383" s="1">
        <f>功能掉落明细!AA381</f>
        <v>379</v>
      </c>
      <c r="B383" s="1">
        <f ca="1">功能掉落明细!AB381</f>
        <v>20117</v>
      </c>
      <c r="C383" s="1">
        <f ca="1">功能掉落明细!AC381</f>
        <v>19</v>
      </c>
      <c r="D383" s="1">
        <f ca="1">功能掉落明细!AD381</f>
        <v>4500</v>
      </c>
    </row>
    <row r="384" spans="1:4" x14ac:dyDescent="0.25">
      <c r="A384" s="1">
        <f>功能掉落明细!AA382</f>
        <v>380</v>
      </c>
      <c r="B384" s="1">
        <f ca="1">功能掉落明细!AB382</f>
        <v>20117</v>
      </c>
      <c r="C384" s="1">
        <f ca="1">功能掉落明细!AC382</f>
        <v>11</v>
      </c>
      <c r="D384" s="1">
        <f ca="1">功能掉落明细!AD382</f>
        <v>6000</v>
      </c>
    </row>
    <row r="385" spans="1:4" x14ac:dyDescent="0.25">
      <c r="A385" s="1">
        <f>功能掉落明细!AA383</f>
        <v>381</v>
      </c>
      <c r="B385" s="1">
        <f ca="1">功能掉落明细!AB383</f>
        <v>20117</v>
      </c>
      <c r="C385" s="1">
        <f ca="1">功能掉落明细!AC383</f>
        <v>9</v>
      </c>
      <c r="D385" s="1">
        <f ca="1">功能掉落明细!AD383</f>
        <v>7000</v>
      </c>
    </row>
    <row r="386" spans="1:4" x14ac:dyDescent="0.25">
      <c r="A386" s="1">
        <f>功能掉落明细!AA384</f>
        <v>382</v>
      </c>
      <c r="B386" s="1">
        <f ca="1">功能掉落明细!AB384</f>
        <v>20118</v>
      </c>
      <c r="C386" s="1">
        <f ca="1">功能掉落明细!AC384</f>
        <v>1</v>
      </c>
      <c r="D386" s="1">
        <f ca="1">功能掉落明细!AD384</f>
        <v>10000</v>
      </c>
    </row>
    <row r="387" spans="1:4" x14ac:dyDescent="0.25">
      <c r="A387" s="1">
        <f>功能掉落明细!AA385</f>
        <v>383</v>
      </c>
      <c r="B387" s="1">
        <f ca="1">功能掉落明细!AB385</f>
        <v>20118</v>
      </c>
      <c r="C387" s="1">
        <f ca="1">功能掉落明细!AC385</f>
        <v>19</v>
      </c>
      <c r="D387" s="1">
        <f ca="1">功能掉落明细!AD385</f>
        <v>4500</v>
      </c>
    </row>
    <row r="388" spans="1:4" x14ac:dyDescent="0.25">
      <c r="A388" s="1">
        <f>功能掉落明细!AA386</f>
        <v>384</v>
      </c>
      <c r="B388" s="1">
        <f ca="1">功能掉落明细!AB386</f>
        <v>20118</v>
      </c>
      <c r="C388" s="1">
        <f ca="1">功能掉落明细!AC386</f>
        <v>11</v>
      </c>
      <c r="D388" s="1">
        <f ca="1">功能掉落明细!AD386</f>
        <v>6000</v>
      </c>
    </row>
    <row r="389" spans="1:4" x14ac:dyDescent="0.25">
      <c r="A389" s="1">
        <f>功能掉落明细!AA387</f>
        <v>385</v>
      </c>
      <c r="B389" s="1">
        <f ca="1">功能掉落明细!AB387</f>
        <v>20118</v>
      </c>
      <c r="C389" s="1">
        <f ca="1">功能掉落明细!AC387</f>
        <v>9</v>
      </c>
      <c r="D389" s="1">
        <f ca="1">功能掉落明细!AD387</f>
        <v>7000</v>
      </c>
    </row>
    <row r="390" spans="1:4" x14ac:dyDescent="0.25">
      <c r="A390" s="1">
        <f>功能掉落明细!AA388</f>
        <v>386</v>
      </c>
      <c r="B390" s="1">
        <f ca="1">功能掉落明细!AB388</f>
        <v>20119</v>
      </c>
      <c r="C390" s="1">
        <f ca="1">功能掉落明细!AC388</f>
        <v>1</v>
      </c>
      <c r="D390" s="1">
        <f ca="1">功能掉落明细!AD388</f>
        <v>10000</v>
      </c>
    </row>
    <row r="391" spans="1:4" x14ac:dyDescent="0.25">
      <c r="A391" s="1">
        <f>功能掉落明细!AA389</f>
        <v>387</v>
      </c>
      <c r="B391" s="1">
        <f ca="1">功能掉落明细!AB389</f>
        <v>20119</v>
      </c>
      <c r="C391" s="1">
        <f ca="1">功能掉落明细!AC389</f>
        <v>17</v>
      </c>
      <c r="D391" s="1">
        <f ca="1">功能掉落明细!AD389</f>
        <v>4500</v>
      </c>
    </row>
    <row r="392" spans="1:4" x14ac:dyDescent="0.25">
      <c r="A392" s="1">
        <f>功能掉落明细!AA390</f>
        <v>388</v>
      </c>
      <c r="B392" s="1">
        <f ca="1">功能掉落明细!AB390</f>
        <v>20119</v>
      </c>
      <c r="C392" s="1">
        <f ca="1">功能掉落明细!AC390</f>
        <v>11</v>
      </c>
      <c r="D392" s="1">
        <f ca="1">功能掉落明细!AD390</f>
        <v>6000</v>
      </c>
    </row>
    <row r="393" spans="1:4" x14ac:dyDescent="0.25">
      <c r="A393" s="1">
        <f>功能掉落明细!AA391</f>
        <v>389</v>
      </c>
      <c r="B393" s="1">
        <f ca="1">功能掉落明细!AB391</f>
        <v>20119</v>
      </c>
      <c r="C393" s="1">
        <f ca="1">功能掉落明细!AC391</f>
        <v>9</v>
      </c>
      <c r="D393" s="1">
        <f ca="1">功能掉落明细!AD391</f>
        <v>7000</v>
      </c>
    </row>
    <row r="394" spans="1:4" x14ac:dyDescent="0.25">
      <c r="A394" s="1">
        <f>功能掉落明细!AA392</f>
        <v>390</v>
      </c>
      <c r="B394" s="1">
        <f ca="1">功能掉落明细!AB392</f>
        <v>20120</v>
      </c>
      <c r="C394" s="1">
        <f ca="1">功能掉落明细!AC392</f>
        <v>1</v>
      </c>
      <c r="D394" s="1">
        <f ca="1">功能掉落明细!AD392</f>
        <v>10000</v>
      </c>
    </row>
    <row r="395" spans="1:4" x14ac:dyDescent="0.25">
      <c r="A395" s="1">
        <f>功能掉落明细!AA393</f>
        <v>391</v>
      </c>
      <c r="B395" s="1">
        <f ca="1">功能掉落明细!AB393</f>
        <v>20120</v>
      </c>
      <c r="C395" s="1">
        <f ca="1">功能掉落明细!AC393</f>
        <v>17</v>
      </c>
      <c r="D395" s="1">
        <f ca="1">功能掉落明细!AD393</f>
        <v>4500</v>
      </c>
    </row>
    <row r="396" spans="1:4" x14ac:dyDescent="0.25">
      <c r="A396" s="1">
        <f>功能掉落明细!AA394</f>
        <v>392</v>
      </c>
      <c r="B396" s="1">
        <f ca="1">功能掉落明细!AB394</f>
        <v>20120</v>
      </c>
      <c r="C396" s="1">
        <f ca="1">功能掉落明细!AC394</f>
        <v>11</v>
      </c>
      <c r="D396" s="1">
        <f ca="1">功能掉落明细!AD394</f>
        <v>6000</v>
      </c>
    </row>
    <row r="397" spans="1:4" x14ac:dyDescent="0.25">
      <c r="A397" s="1">
        <f>功能掉落明细!AA395</f>
        <v>393</v>
      </c>
      <c r="B397" s="1">
        <f ca="1">功能掉落明细!AB395</f>
        <v>20120</v>
      </c>
      <c r="C397" s="1">
        <f ca="1">功能掉落明细!AC395</f>
        <v>9</v>
      </c>
      <c r="D397" s="1">
        <f ca="1">功能掉落明细!AD395</f>
        <v>7000</v>
      </c>
    </row>
    <row r="398" spans="1:4" x14ac:dyDescent="0.25">
      <c r="A398" s="1">
        <f>功能掉落明细!AA396</f>
        <v>394</v>
      </c>
      <c r="B398" s="1">
        <f ca="1">功能掉落明细!AB396</f>
        <v>20121</v>
      </c>
      <c r="C398" s="1">
        <f ca="1">功能掉落明细!AC396</f>
        <v>1</v>
      </c>
      <c r="D398" s="1">
        <f ca="1">功能掉落明细!AD396</f>
        <v>10000</v>
      </c>
    </row>
    <row r="399" spans="1:4" x14ac:dyDescent="0.25">
      <c r="A399" s="1">
        <f>功能掉落明细!AA397</f>
        <v>395</v>
      </c>
      <c r="B399" s="1">
        <f ca="1">功能掉落明细!AB397</f>
        <v>20121</v>
      </c>
      <c r="C399" s="1">
        <f ca="1">功能掉落明细!AC397</f>
        <v>17</v>
      </c>
      <c r="D399" s="1">
        <f ca="1">功能掉落明细!AD397</f>
        <v>4500</v>
      </c>
    </row>
    <row r="400" spans="1:4" x14ac:dyDescent="0.25">
      <c r="A400" s="1">
        <f>功能掉落明细!AA398</f>
        <v>396</v>
      </c>
      <c r="B400" s="1">
        <f ca="1">功能掉落明细!AB398</f>
        <v>20121</v>
      </c>
      <c r="C400" s="1">
        <f ca="1">功能掉落明细!AC398</f>
        <v>11</v>
      </c>
      <c r="D400" s="1">
        <f ca="1">功能掉落明细!AD398</f>
        <v>6000</v>
      </c>
    </row>
    <row r="401" spans="1:4" x14ac:dyDescent="0.25">
      <c r="A401" s="1">
        <f>功能掉落明细!AA399</f>
        <v>397</v>
      </c>
      <c r="B401" s="1">
        <f ca="1">功能掉落明细!AB399</f>
        <v>20121</v>
      </c>
      <c r="C401" s="1">
        <f ca="1">功能掉落明细!AC399</f>
        <v>9</v>
      </c>
      <c r="D401" s="1">
        <f ca="1">功能掉落明细!AD399</f>
        <v>7000</v>
      </c>
    </row>
    <row r="402" spans="1:4" x14ac:dyDescent="0.25">
      <c r="A402" s="1">
        <f>功能掉落明细!AA400</f>
        <v>398</v>
      </c>
      <c r="B402" s="1">
        <f ca="1">功能掉落明细!AB400</f>
        <v>20122</v>
      </c>
      <c r="C402" s="1">
        <f ca="1">功能掉落明细!AC400</f>
        <v>1</v>
      </c>
      <c r="D402" s="1">
        <f ca="1">功能掉落明细!AD400</f>
        <v>10000</v>
      </c>
    </row>
    <row r="403" spans="1:4" x14ac:dyDescent="0.25">
      <c r="A403" s="1">
        <f>功能掉落明细!AA401</f>
        <v>399</v>
      </c>
      <c r="B403" s="1">
        <f ca="1">功能掉落明细!AB401</f>
        <v>20122</v>
      </c>
      <c r="C403" s="1">
        <f ca="1">功能掉落明细!AC401</f>
        <v>17</v>
      </c>
      <c r="D403" s="1">
        <f ca="1">功能掉落明细!AD401</f>
        <v>4500</v>
      </c>
    </row>
    <row r="404" spans="1:4" x14ac:dyDescent="0.25">
      <c r="A404" s="1">
        <f>功能掉落明细!AA402</f>
        <v>400</v>
      </c>
      <c r="B404" s="1">
        <f ca="1">功能掉落明细!AB402</f>
        <v>20122</v>
      </c>
      <c r="C404" s="1">
        <f ca="1">功能掉落明细!AC402</f>
        <v>11</v>
      </c>
      <c r="D404" s="1">
        <f ca="1">功能掉落明细!AD402</f>
        <v>6000</v>
      </c>
    </row>
    <row r="405" spans="1:4" x14ac:dyDescent="0.25">
      <c r="A405" s="1">
        <f>功能掉落明细!AA403</f>
        <v>401</v>
      </c>
      <c r="B405" s="1">
        <f ca="1">功能掉落明细!AB403</f>
        <v>20122</v>
      </c>
      <c r="C405" s="1">
        <f ca="1">功能掉落明细!AC403</f>
        <v>9</v>
      </c>
      <c r="D405" s="1">
        <f ca="1">功能掉落明细!AD403</f>
        <v>7000</v>
      </c>
    </row>
    <row r="406" spans="1:4" x14ac:dyDescent="0.25">
      <c r="A406" s="1">
        <f>功能掉落明细!AA404</f>
        <v>402</v>
      </c>
      <c r="B406" s="1">
        <f ca="1">功能掉落明细!AB404</f>
        <v>20123</v>
      </c>
      <c r="C406" s="1">
        <f ca="1">功能掉落明细!AC404</f>
        <v>1</v>
      </c>
      <c r="D406" s="1">
        <f ca="1">功能掉落明细!AD404</f>
        <v>10000</v>
      </c>
    </row>
    <row r="407" spans="1:4" x14ac:dyDescent="0.25">
      <c r="A407" s="1">
        <f>功能掉落明细!AA405</f>
        <v>403</v>
      </c>
      <c r="B407" s="1">
        <f ca="1">功能掉落明细!AB405</f>
        <v>20123</v>
      </c>
      <c r="C407" s="1">
        <f ca="1">功能掉落明细!AC405</f>
        <v>18</v>
      </c>
      <c r="D407" s="1">
        <f ca="1">功能掉落明细!AD405</f>
        <v>4500</v>
      </c>
    </row>
    <row r="408" spans="1:4" x14ac:dyDescent="0.25">
      <c r="A408" s="1">
        <f>功能掉落明细!AA406</f>
        <v>404</v>
      </c>
      <c r="B408" s="1">
        <f ca="1">功能掉落明细!AB406</f>
        <v>20123</v>
      </c>
      <c r="C408" s="1">
        <f ca="1">功能掉落明细!AC406</f>
        <v>12</v>
      </c>
      <c r="D408" s="1">
        <f ca="1">功能掉落明细!AD406</f>
        <v>6000</v>
      </c>
    </row>
    <row r="409" spans="1:4" x14ac:dyDescent="0.25">
      <c r="A409" s="1">
        <f>功能掉落明细!AA407</f>
        <v>405</v>
      </c>
      <c r="B409" s="1">
        <f ca="1">功能掉落明细!AB407</f>
        <v>20123</v>
      </c>
      <c r="C409" s="1">
        <f ca="1">功能掉落明细!AC407</f>
        <v>8</v>
      </c>
      <c r="D409" s="1">
        <f ca="1">功能掉落明细!AD407</f>
        <v>7000</v>
      </c>
    </row>
    <row r="410" spans="1:4" x14ac:dyDescent="0.25">
      <c r="A410" s="1">
        <f>功能掉落明细!AA408</f>
        <v>406</v>
      </c>
      <c r="B410" s="1">
        <f ca="1">功能掉落明细!AB408</f>
        <v>20124</v>
      </c>
      <c r="C410" s="1">
        <f ca="1">功能掉落明细!AC408</f>
        <v>1</v>
      </c>
      <c r="D410" s="1">
        <f ca="1">功能掉落明细!AD408</f>
        <v>10000</v>
      </c>
    </row>
    <row r="411" spans="1:4" x14ac:dyDescent="0.25">
      <c r="A411" s="1">
        <f>功能掉落明细!AA409</f>
        <v>407</v>
      </c>
      <c r="B411" s="1">
        <f ca="1">功能掉落明细!AB409</f>
        <v>20124</v>
      </c>
      <c r="C411" s="1">
        <f ca="1">功能掉落明细!AC409</f>
        <v>18</v>
      </c>
      <c r="D411" s="1">
        <f ca="1">功能掉落明细!AD409</f>
        <v>4500</v>
      </c>
    </row>
    <row r="412" spans="1:4" x14ac:dyDescent="0.25">
      <c r="A412" s="1">
        <f>功能掉落明细!AA410</f>
        <v>408</v>
      </c>
      <c r="B412" s="1">
        <f ca="1">功能掉落明细!AB410</f>
        <v>20124</v>
      </c>
      <c r="C412" s="1">
        <f ca="1">功能掉落明细!AC410</f>
        <v>12</v>
      </c>
      <c r="D412" s="1">
        <f ca="1">功能掉落明细!AD410</f>
        <v>6000</v>
      </c>
    </row>
    <row r="413" spans="1:4" x14ac:dyDescent="0.25">
      <c r="A413" s="1">
        <f>功能掉落明细!AA411</f>
        <v>409</v>
      </c>
      <c r="B413" s="1">
        <f ca="1">功能掉落明细!AB411</f>
        <v>20124</v>
      </c>
      <c r="C413" s="1">
        <f ca="1">功能掉落明细!AC411</f>
        <v>8</v>
      </c>
      <c r="D413" s="1">
        <f ca="1">功能掉落明细!AD411</f>
        <v>7000</v>
      </c>
    </row>
    <row r="414" spans="1:4" x14ac:dyDescent="0.25">
      <c r="A414" s="1">
        <f>功能掉落明细!AA412</f>
        <v>410</v>
      </c>
      <c r="B414" s="1">
        <f ca="1">功能掉落明细!AB412</f>
        <v>20125</v>
      </c>
      <c r="C414" s="1">
        <f ca="1">功能掉落明细!AC412</f>
        <v>1</v>
      </c>
      <c r="D414" s="1">
        <f ca="1">功能掉落明细!AD412</f>
        <v>10000</v>
      </c>
    </row>
    <row r="415" spans="1:4" x14ac:dyDescent="0.25">
      <c r="A415" s="1">
        <f>功能掉落明细!AA413</f>
        <v>411</v>
      </c>
      <c r="B415" s="1">
        <f ca="1">功能掉落明细!AB413</f>
        <v>20125</v>
      </c>
      <c r="C415" s="1">
        <f ca="1">功能掉落明细!AC413</f>
        <v>18</v>
      </c>
      <c r="D415" s="1">
        <f ca="1">功能掉落明细!AD413</f>
        <v>4500</v>
      </c>
    </row>
    <row r="416" spans="1:4" x14ac:dyDescent="0.25">
      <c r="A416" s="1">
        <f>功能掉落明细!AA414</f>
        <v>412</v>
      </c>
      <c r="B416" s="1">
        <f ca="1">功能掉落明细!AB414</f>
        <v>20125</v>
      </c>
      <c r="C416" s="1">
        <f ca="1">功能掉落明细!AC414</f>
        <v>12</v>
      </c>
      <c r="D416" s="1">
        <f ca="1">功能掉落明细!AD414</f>
        <v>6000</v>
      </c>
    </row>
    <row r="417" spans="1:4" x14ac:dyDescent="0.25">
      <c r="A417" s="1">
        <f>功能掉落明细!AA415</f>
        <v>413</v>
      </c>
      <c r="B417" s="1">
        <f ca="1">功能掉落明细!AB415</f>
        <v>20125</v>
      </c>
      <c r="C417" s="1">
        <f ca="1">功能掉落明细!AC415</f>
        <v>8</v>
      </c>
      <c r="D417" s="1">
        <f ca="1">功能掉落明细!AD415</f>
        <v>7000</v>
      </c>
    </row>
    <row r="418" spans="1:4" x14ac:dyDescent="0.25">
      <c r="A418" s="1">
        <f>功能掉落明细!AA416</f>
        <v>414</v>
      </c>
      <c r="B418" s="1">
        <f ca="1">功能掉落明细!AB416</f>
        <v>20126</v>
      </c>
      <c r="C418" s="1">
        <f ca="1">功能掉落明细!AC416</f>
        <v>1</v>
      </c>
      <c r="D418" s="1">
        <f ca="1">功能掉落明细!AD416</f>
        <v>10000</v>
      </c>
    </row>
    <row r="419" spans="1:4" x14ac:dyDescent="0.25">
      <c r="A419" s="1">
        <f>功能掉落明细!AA417</f>
        <v>415</v>
      </c>
      <c r="B419" s="1">
        <f ca="1">功能掉落明细!AB417</f>
        <v>20126</v>
      </c>
      <c r="C419" s="1">
        <f ca="1">功能掉落明细!AC417</f>
        <v>18</v>
      </c>
      <c r="D419" s="1">
        <f ca="1">功能掉落明细!AD417</f>
        <v>4500</v>
      </c>
    </row>
    <row r="420" spans="1:4" x14ac:dyDescent="0.25">
      <c r="A420" s="1">
        <f>功能掉落明细!AA418</f>
        <v>416</v>
      </c>
      <c r="B420" s="1">
        <f ca="1">功能掉落明细!AB418</f>
        <v>20126</v>
      </c>
      <c r="C420" s="1">
        <f ca="1">功能掉落明细!AC418</f>
        <v>12</v>
      </c>
      <c r="D420" s="1">
        <f ca="1">功能掉落明细!AD418</f>
        <v>6000</v>
      </c>
    </row>
    <row r="421" spans="1:4" x14ac:dyDescent="0.25">
      <c r="A421" s="1">
        <f>功能掉落明细!AA419</f>
        <v>417</v>
      </c>
      <c r="B421" s="1">
        <f ca="1">功能掉落明细!AB419</f>
        <v>20126</v>
      </c>
      <c r="C421" s="1">
        <f ca="1">功能掉落明细!AC419</f>
        <v>8</v>
      </c>
      <c r="D421" s="1">
        <f ca="1">功能掉落明细!AD419</f>
        <v>7000</v>
      </c>
    </row>
    <row r="422" spans="1:4" x14ac:dyDescent="0.25">
      <c r="A422" s="1">
        <f>功能掉落明细!AA420</f>
        <v>418</v>
      </c>
      <c r="B422" s="1">
        <f ca="1">功能掉落明细!AB420</f>
        <v>20127</v>
      </c>
      <c r="C422" s="1">
        <f ca="1">功能掉落明细!AC420</f>
        <v>1</v>
      </c>
      <c r="D422" s="1">
        <f ca="1">功能掉落明细!AD420</f>
        <v>10000</v>
      </c>
    </row>
    <row r="423" spans="1:4" x14ac:dyDescent="0.25">
      <c r="A423" s="1">
        <f>功能掉落明细!AA421</f>
        <v>419</v>
      </c>
      <c r="B423" s="1">
        <f ca="1">功能掉落明细!AB421</f>
        <v>20127</v>
      </c>
      <c r="C423" s="1">
        <f ca="1">功能掉落明细!AC421</f>
        <v>19</v>
      </c>
      <c r="D423" s="1">
        <f ca="1">功能掉落明细!AD421</f>
        <v>4500</v>
      </c>
    </row>
    <row r="424" spans="1:4" x14ac:dyDescent="0.25">
      <c r="A424" s="1">
        <f>功能掉落明细!AA422</f>
        <v>420</v>
      </c>
      <c r="B424" s="1">
        <f ca="1">功能掉落明细!AB422</f>
        <v>20127</v>
      </c>
      <c r="C424" s="1">
        <f ca="1">功能掉落明细!AC422</f>
        <v>13</v>
      </c>
      <c r="D424" s="1">
        <f ca="1">功能掉落明细!AD422</f>
        <v>6000</v>
      </c>
    </row>
    <row r="425" spans="1:4" x14ac:dyDescent="0.25">
      <c r="A425" s="1">
        <f>功能掉落明细!AA423</f>
        <v>421</v>
      </c>
      <c r="B425" s="1">
        <f ca="1">功能掉落明细!AB423</f>
        <v>20127</v>
      </c>
      <c r="C425" s="1">
        <f ca="1">功能掉落明细!AC423</f>
        <v>10</v>
      </c>
      <c r="D425" s="1">
        <f ca="1">功能掉落明细!AD423</f>
        <v>7000</v>
      </c>
    </row>
    <row r="426" spans="1:4" x14ac:dyDescent="0.25">
      <c r="A426" s="1">
        <f>功能掉落明细!AA424</f>
        <v>422</v>
      </c>
      <c r="B426" s="1">
        <f ca="1">功能掉落明细!AB424</f>
        <v>20128</v>
      </c>
      <c r="C426" s="1">
        <f ca="1">功能掉落明细!AC424</f>
        <v>1</v>
      </c>
      <c r="D426" s="1">
        <f ca="1">功能掉落明细!AD424</f>
        <v>10000</v>
      </c>
    </row>
    <row r="427" spans="1:4" x14ac:dyDescent="0.25">
      <c r="A427" s="1">
        <f>功能掉落明细!AA425</f>
        <v>423</v>
      </c>
      <c r="B427" s="1">
        <f ca="1">功能掉落明细!AB425</f>
        <v>20128</v>
      </c>
      <c r="C427" s="1">
        <f ca="1">功能掉落明细!AC425</f>
        <v>19</v>
      </c>
      <c r="D427" s="1">
        <f ca="1">功能掉落明细!AD425</f>
        <v>4500</v>
      </c>
    </row>
    <row r="428" spans="1:4" x14ac:dyDescent="0.25">
      <c r="A428" s="1">
        <f>功能掉落明细!AA426</f>
        <v>424</v>
      </c>
      <c r="B428" s="1">
        <f ca="1">功能掉落明细!AB426</f>
        <v>20128</v>
      </c>
      <c r="C428" s="1">
        <f ca="1">功能掉落明细!AC426</f>
        <v>13</v>
      </c>
      <c r="D428" s="1">
        <f ca="1">功能掉落明细!AD426</f>
        <v>6000</v>
      </c>
    </row>
    <row r="429" spans="1:4" x14ac:dyDescent="0.25">
      <c r="A429" s="1">
        <f>功能掉落明细!AA427</f>
        <v>425</v>
      </c>
      <c r="B429" s="1">
        <f ca="1">功能掉落明细!AB427</f>
        <v>20128</v>
      </c>
      <c r="C429" s="1">
        <f ca="1">功能掉落明细!AC427</f>
        <v>10</v>
      </c>
      <c r="D429" s="1">
        <f ca="1">功能掉落明细!AD427</f>
        <v>7000</v>
      </c>
    </row>
    <row r="430" spans="1:4" x14ac:dyDescent="0.25">
      <c r="A430" s="1">
        <f>功能掉落明细!AA428</f>
        <v>426</v>
      </c>
      <c r="B430" s="1">
        <f ca="1">功能掉落明细!AB428</f>
        <v>20129</v>
      </c>
      <c r="C430" s="1">
        <f ca="1">功能掉落明细!AC428</f>
        <v>1</v>
      </c>
      <c r="D430" s="1">
        <f ca="1">功能掉落明细!AD428</f>
        <v>10000</v>
      </c>
    </row>
    <row r="431" spans="1:4" x14ac:dyDescent="0.25">
      <c r="A431" s="1">
        <f>功能掉落明细!AA429</f>
        <v>427</v>
      </c>
      <c r="B431" s="1">
        <f ca="1">功能掉落明细!AB429</f>
        <v>20129</v>
      </c>
      <c r="C431" s="1">
        <f ca="1">功能掉落明细!AC429</f>
        <v>19</v>
      </c>
      <c r="D431" s="1">
        <f ca="1">功能掉落明细!AD429</f>
        <v>4500</v>
      </c>
    </row>
    <row r="432" spans="1:4" x14ac:dyDescent="0.25">
      <c r="A432" s="1">
        <f>功能掉落明细!AA430</f>
        <v>428</v>
      </c>
      <c r="B432" s="1">
        <f ca="1">功能掉落明细!AB430</f>
        <v>20129</v>
      </c>
      <c r="C432" s="1">
        <f ca="1">功能掉落明细!AC430</f>
        <v>13</v>
      </c>
      <c r="D432" s="1">
        <f ca="1">功能掉落明细!AD430</f>
        <v>6000</v>
      </c>
    </row>
    <row r="433" spans="1:4" x14ac:dyDescent="0.25">
      <c r="A433" s="1">
        <f>功能掉落明细!AA431</f>
        <v>429</v>
      </c>
      <c r="B433" s="1">
        <f ca="1">功能掉落明细!AB431</f>
        <v>20129</v>
      </c>
      <c r="C433" s="1">
        <f ca="1">功能掉落明细!AC431</f>
        <v>10</v>
      </c>
      <c r="D433" s="1">
        <f ca="1">功能掉落明细!AD431</f>
        <v>7000</v>
      </c>
    </row>
    <row r="434" spans="1:4" x14ac:dyDescent="0.25">
      <c r="A434" s="1">
        <f>功能掉落明细!AA432</f>
        <v>430</v>
      </c>
      <c r="B434" s="1">
        <f ca="1">功能掉落明细!AB432</f>
        <v>20130</v>
      </c>
      <c r="C434" s="1">
        <f ca="1">功能掉落明细!AC432</f>
        <v>1</v>
      </c>
      <c r="D434" s="1">
        <f ca="1">功能掉落明细!AD432</f>
        <v>10000</v>
      </c>
    </row>
    <row r="435" spans="1:4" x14ac:dyDescent="0.25">
      <c r="A435" s="1">
        <f>功能掉落明细!AA433</f>
        <v>431</v>
      </c>
      <c r="B435" s="1">
        <f ca="1">功能掉落明细!AB433</f>
        <v>20130</v>
      </c>
      <c r="C435" s="1">
        <f ca="1">功能掉落明细!AC433</f>
        <v>19</v>
      </c>
      <c r="D435" s="1">
        <f ca="1">功能掉落明细!AD433</f>
        <v>4500</v>
      </c>
    </row>
    <row r="436" spans="1:4" x14ac:dyDescent="0.25">
      <c r="A436" s="1">
        <f>功能掉落明细!AA434</f>
        <v>432</v>
      </c>
      <c r="B436" s="1">
        <f ca="1">功能掉落明细!AB434</f>
        <v>20130</v>
      </c>
      <c r="C436" s="1">
        <f ca="1">功能掉落明细!AC434</f>
        <v>13</v>
      </c>
      <c r="D436" s="1">
        <f ca="1">功能掉落明细!AD434</f>
        <v>6000</v>
      </c>
    </row>
    <row r="437" spans="1:4" x14ac:dyDescent="0.25">
      <c r="A437" s="1">
        <f>功能掉落明细!AA435</f>
        <v>433</v>
      </c>
      <c r="B437" s="1">
        <f ca="1">功能掉落明细!AB435</f>
        <v>20130</v>
      </c>
      <c r="C437" s="1">
        <f ca="1">功能掉落明细!AC435</f>
        <v>10</v>
      </c>
      <c r="D437" s="1">
        <f ca="1">功能掉落明细!AD435</f>
        <v>7000</v>
      </c>
    </row>
    <row r="438" spans="1:4" x14ac:dyDescent="0.25">
      <c r="A438" s="1">
        <f>功能掉落明细!AA436</f>
        <v>434</v>
      </c>
      <c r="B438" s="1">
        <f ca="1">功能掉落明细!AB436</f>
        <v>20131</v>
      </c>
      <c r="C438" s="1">
        <f ca="1">功能掉落明细!AC436</f>
        <v>1</v>
      </c>
      <c r="D438" s="1">
        <f ca="1">功能掉落明细!AD436</f>
        <v>10000</v>
      </c>
    </row>
    <row r="439" spans="1:4" x14ac:dyDescent="0.25">
      <c r="A439" s="1">
        <f>功能掉落明细!AA437</f>
        <v>435</v>
      </c>
      <c r="B439" s="1">
        <f ca="1">功能掉落明细!AB437</f>
        <v>20131</v>
      </c>
      <c r="C439" s="1">
        <f ca="1">功能掉落明细!AC437</f>
        <v>20</v>
      </c>
      <c r="D439" s="1">
        <f ca="1">功能掉落明细!AD437</f>
        <v>4000</v>
      </c>
    </row>
    <row r="440" spans="1:4" x14ac:dyDescent="0.25">
      <c r="A440" s="1">
        <f>功能掉落明细!AA438</f>
        <v>436</v>
      </c>
      <c r="B440" s="1">
        <f ca="1">功能掉落明细!AB438</f>
        <v>20131</v>
      </c>
      <c r="C440" s="1">
        <f ca="1">功能掉落明细!AC438</f>
        <v>16</v>
      </c>
      <c r="D440" s="1">
        <f ca="1">功能掉落明细!AD438</f>
        <v>5000</v>
      </c>
    </row>
    <row r="441" spans="1:4" x14ac:dyDescent="0.25">
      <c r="A441" s="1">
        <f>功能掉落明细!AA439</f>
        <v>437</v>
      </c>
      <c r="B441" s="1">
        <f ca="1">功能掉落明细!AB439</f>
        <v>20131</v>
      </c>
      <c r="C441" s="1">
        <f ca="1">功能掉落明细!AC439</f>
        <v>13</v>
      </c>
      <c r="D441" s="1">
        <f ca="1">功能掉落明细!AD439</f>
        <v>6000</v>
      </c>
    </row>
    <row r="442" spans="1:4" x14ac:dyDescent="0.25">
      <c r="A442" s="1">
        <f>功能掉落明细!AA440</f>
        <v>438</v>
      </c>
      <c r="B442" s="1">
        <f ca="1">功能掉落明细!AB440</f>
        <v>20132</v>
      </c>
      <c r="C442" s="1">
        <f ca="1">功能掉落明细!AC440</f>
        <v>1</v>
      </c>
      <c r="D442" s="1">
        <f ca="1">功能掉落明细!AD440</f>
        <v>10000</v>
      </c>
    </row>
    <row r="443" spans="1:4" x14ac:dyDescent="0.25">
      <c r="A443" s="1">
        <f>功能掉落明细!AA441</f>
        <v>439</v>
      </c>
      <c r="B443" s="1">
        <f ca="1">功能掉落明细!AB441</f>
        <v>20132</v>
      </c>
      <c r="C443" s="1">
        <f ca="1">功能掉落明细!AC441</f>
        <v>20</v>
      </c>
      <c r="D443" s="1">
        <f ca="1">功能掉落明细!AD441</f>
        <v>4000</v>
      </c>
    </row>
    <row r="444" spans="1:4" x14ac:dyDescent="0.25">
      <c r="A444" s="1">
        <f>功能掉落明细!AA442</f>
        <v>440</v>
      </c>
      <c r="B444" s="1">
        <f ca="1">功能掉落明细!AB442</f>
        <v>20132</v>
      </c>
      <c r="C444" s="1">
        <f ca="1">功能掉落明细!AC442</f>
        <v>16</v>
      </c>
      <c r="D444" s="1">
        <f ca="1">功能掉落明细!AD442</f>
        <v>5000</v>
      </c>
    </row>
    <row r="445" spans="1:4" x14ac:dyDescent="0.25">
      <c r="A445" s="1">
        <f>功能掉落明细!AA443</f>
        <v>441</v>
      </c>
      <c r="B445" s="1">
        <f ca="1">功能掉落明细!AB443</f>
        <v>20132</v>
      </c>
      <c r="C445" s="1">
        <f ca="1">功能掉落明细!AC443</f>
        <v>13</v>
      </c>
      <c r="D445" s="1">
        <f ca="1">功能掉落明细!AD443</f>
        <v>6000</v>
      </c>
    </row>
    <row r="446" spans="1:4" x14ac:dyDescent="0.25">
      <c r="A446" s="1">
        <f>功能掉落明细!AA444</f>
        <v>442</v>
      </c>
      <c r="B446" s="1">
        <f ca="1">功能掉落明细!AB444</f>
        <v>20133</v>
      </c>
      <c r="C446" s="1">
        <f ca="1">功能掉落明细!AC444</f>
        <v>1</v>
      </c>
      <c r="D446" s="1">
        <f ca="1">功能掉落明细!AD444</f>
        <v>10000</v>
      </c>
    </row>
    <row r="447" spans="1:4" x14ac:dyDescent="0.25">
      <c r="A447" s="1">
        <f>功能掉落明细!AA445</f>
        <v>443</v>
      </c>
      <c r="B447" s="1">
        <f ca="1">功能掉落明细!AB445</f>
        <v>20133</v>
      </c>
      <c r="C447" s="1">
        <f ca="1">功能掉落明细!AC445</f>
        <v>20</v>
      </c>
      <c r="D447" s="1">
        <f ca="1">功能掉落明细!AD445</f>
        <v>4000</v>
      </c>
    </row>
    <row r="448" spans="1:4" x14ac:dyDescent="0.25">
      <c r="A448" s="1">
        <f>功能掉落明细!AA446</f>
        <v>444</v>
      </c>
      <c r="B448" s="1">
        <f ca="1">功能掉落明细!AB446</f>
        <v>20133</v>
      </c>
      <c r="C448" s="1">
        <f ca="1">功能掉落明细!AC446</f>
        <v>16</v>
      </c>
      <c r="D448" s="1">
        <f ca="1">功能掉落明细!AD446</f>
        <v>5000</v>
      </c>
    </row>
    <row r="449" spans="1:4" x14ac:dyDescent="0.25">
      <c r="A449" s="1">
        <f>功能掉落明细!AA447</f>
        <v>445</v>
      </c>
      <c r="B449" s="1">
        <f ca="1">功能掉落明细!AB447</f>
        <v>20133</v>
      </c>
      <c r="C449" s="1">
        <f ca="1">功能掉落明细!AC447</f>
        <v>13</v>
      </c>
      <c r="D449" s="1">
        <f ca="1">功能掉落明细!AD447</f>
        <v>6000</v>
      </c>
    </row>
    <row r="450" spans="1:4" x14ac:dyDescent="0.25">
      <c r="A450" s="1">
        <f>功能掉落明细!AA448</f>
        <v>446</v>
      </c>
      <c r="B450" s="1">
        <f ca="1">功能掉落明细!AB448</f>
        <v>20134</v>
      </c>
      <c r="C450" s="1">
        <f ca="1">功能掉落明细!AC448</f>
        <v>1</v>
      </c>
      <c r="D450" s="1">
        <f ca="1">功能掉落明细!AD448</f>
        <v>10000</v>
      </c>
    </row>
    <row r="451" spans="1:4" x14ac:dyDescent="0.25">
      <c r="A451" s="1">
        <f>功能掉落明细!AA449</f>
        <v>447</v>
      </c>
      <c r="B451" s="1">
        <f ca="1">功能掉落明细!AB449</f>
        <v>20134</v>
      </c>
      <c r="C451" s="1">
        <f ca="1">功能掉落明细!AC449</f>
        <v>20</v>
      </c>
      <c r="D451" s="1">
        <f ca="1">功能掉落明细!AD449</f>
        <v>4000</v>
      </c>
    </row>
    <row r="452" spans="1:4" x14ac:dyDescent="0.25">
      <c r="A452" s="1">
        <f>功能掉落明细!AA450</f>
        <v>448</v>
      </c>
      <c r="B452" s="1">
        <f ca="1">功能掉落明细!AB450</f>
        <v>20134</v>
      </c>
      <c r="C452" s="1">
        <f ca="1">功能掉落明细!AC450</f>
        <v>16</v>
      </c>
      <c r="D452" s="1">
        <f ca="1">功能掉落明细!AD450</f>
        <v>5000</v>
      </c>
    </row>
    <row r="453" spans="1:4" x14ac:dyDescent="0.25">
      <c r="A453" s="1">
        <f>功能掉落明细!AA451</f>
        <v>449</v>
      </c>
      <c r="B453" s="1">
        <f ca="1">功能掉落明细!AB451</f>
        <v>20134</v>
      </c>
      <c r="C453" s="1">
        <f ca="1">功能掉落明细!AC451</f>
        <v>13</v>
      </c>
      <c r="D453" s="1">
        <f ca="1">功能掉落明细!AD451</f>
        <v>6000</v>
      </c>
    </row>
    <row r="454" spans="1:4" x14ac:dyDescent="0.25">
      <c r="A454" s="1">
        <f>功能掉落明细!AA452</f>
        <v>450</v>
      </c>
      <c r="B454" s="1">
        <f ca="1">功能掉落明细!AB452</f>
        <v>20135</v>
      </c>
      <c r="C454" s="1">
        <f ca="1">功能掉落明细!AC452</f>
        <v>1</v>
      </c>
      <c r="D454" s="1">
        <f ca="1">功能掉落明细!AD452</f>
        <v>10000</v>
      </c>
    </row>
    <row r="455" spans="1:4" x14ac:dyDescent="0.25">
      <c r="A455" s="1">
        <f>功能掉落明细!AA453</f>
        <v>451</v>
      </c>
      <c r="B455" s="1">
        <f ca="1">功能掉落明细!AB453</f>
        <v>20135</v>
      </c>
      <c r="C455" s="1">
        <f ca="1">功能掉落明细!AC453</f>
        <v>21</v>
      </c>
      <c r="D455" s="1">
        <f ca="1">功能掉落明细!AD453</f>
        <v>4000</v>
      </c>
    </row>
    <row r="456" spans="1:4" x14ac:dyDescent="0.25">
      <c r="A456" s="1">
        <f>功能掉落明细!AA454</f>
        <v>452</v>
      </c>
      <c r="B456" s="1">
        <f ca="1">功能掉落明细!AB454</f>
        <v>20135</v>
      </c>
      <c r="C456" s="1">
        <f ca="1">功能掉落明细!AC454</f>
        <v>15</v>
      </c>
      <c r="D456" s="1">
        <f ca="1">功能掉落明细!AD454</f>
        <v>5000</v>
      </c>
    </row>
    <row r="457" spans="1:4" x14ac:dyDescent="0.25">
      <c r="A457" s="1">
        <f>功能掉落明细!AA455</f>
        <v>453</v>
      </c>
      <c r="B457" s="1">
        <f ca="1">功能掉落明细!AB455</f>
        <v>20135</v>
      </c>
      <c r="C457" s="1">
        <f ca="1">功能掉落明细!AC455</f>
        <v>12</v>
      </c>
      <c r="D457" s="1">
        <f ca="1">功能掉落明细!AD455</f>
        <v>6000</v>
      </c>
    </row>
    <row r="458" spans="1:4" x14ac:dyDescent="0.25">
      <c r="A458" s="1">
        <f>功能掉落明细!AA456</f>
        <v>454</v>
      </c>
      <c r="B458" s="1">
        <f ca="1">功能掉落明细!AB456</f>
        <v>20136</v>
      </c>
      <c r="C458" s="1">
        <f ca="1">功能掉落明细!AC456</f>
        <v>1</v>
      </c>
      <c r="D458" s="1">
        <f ca="1">功能掉落明细!AD456</f>
        <v>10000</v>
      </c>
    </row>
    <row r="459" spans="1:4" x14ac:dyDescent="0.25">
      <c r="A459" s="1">
        <f>功能掉落明细!AA457</f>
        <v>455</v>
      </c>
      <c r="B459" s="1">
        <f ca="1">功能掉落明细!AB457</f>
        <v>20136</v>
      </c>
      <c r="C459" s="1">
        <f ca="1">功能掉落明细!AC457</f>
        <v>21</v>
      </c>
      <c r="D459" s="1">
        <f ca="1">功能掉落明细!AD457</f>
        <v>4000</v>
      </c>
    </row>
    <row r="460" spans="1:4" x14ac:dyDescent="0.25">
      <c r="A460" s="1">
        <f>功能掉落明细!AA458</f>
        <v>456</v>
      </c>
      <c r="B460" s="1">
        <f ca="1">功能掉落明细!AB458</f>
        <v>20136</v>
      </c>
      <c r="C460" s="1">
        <f ca="1">功能掉落明细!AC458</f>
        <v>15</v>
      </c>
      <c r="D460" s="1">
        <f ca="1">功能掉落明细!AD458</f>
        <v>5000</v>
      </c>
    </row>
    <row r="461" spans="1:4" x14ac:dyDescent="0.25">
      <c r="A461" s="1">
        <f>功能掉落明细!AA459</f>
        <v>457</v>
      </c>
      <c r="B461" s="1">
        <f ca="1">功能掉落明细!AB459</f>
        <v>20136</v>
      </c>
      <c r="C461" s="1">
        <f ca="1">功能掉落明细!AC459</f>
        <v>12</v>
      </c>
      <c r="D461" s="1">
        <f ca="1">功能掉落明细!AD459</f>
        <v>6000</v>
      </c>
    </row>
    <row r="462" spans="1:4" x14ac:dyDescent="0.25">
      <c r="A462" s="1">
        <f>功能掉落明细!AA460</f>
        <v>458</v>
      </c>
      <c r="B462" s="1">
        <f ca="1">功能掉落明细!AB460</f>
        <v>20137</v>
      </c>
      <c r="C462" s="1">
        <f ca="1">功能掉落明细!AC460</f>
        <v>1</v>
      </c>
      <c r="D462" s="1">
        <f ca="1">功能掉落明细!AD460</f>
        <v>10000</v>
      </c>
    </row>
    <row r="463" spans="1:4" x14ac:dyDescent="0.25">
      <c r="A463" s="1">
        <f>功能掉落明细!AA461</f>
        <v>459</v>
      </c>
      <c r="B463" s="1">
        <f ca="1">功能掉落明细!AB461</f>
        <v>20137</v>
      </c>
      <c r="C463" s="1">
        <f ca="1">功能掉落明细!AC461</f>
        <v>21</v>
      </c>
      <c r="D463" s="1">
        <f ca="1">功能掉落明细!AD461</f>
        <v>4000</v>
      </c>
    </row>
    <row r="464" spans="1:4" x14ac:dyDescent="0.25">
      <c r="A464" s="1">
        <f>功能掉落明细!AA462</f>
        <v>460</v>
      </c>
      <c r="B464" s="1">
        <f ca="1">功能掉落明细!AB462</f>
        <v>20137</v>
      </c>
      <c r="C464" s="1">
        <f ca="1">功能掉落明细!AC462</f>
        <v>15</v>
      </c>
      <c r="D464" s="1">
        <f ca="1">功能掉落明细!AD462</f>
        <v>5000</v>
      </c>
    </row>
    <row r="465" spans="1:4" x14ac:dyDescent="0.25">
      <c r="A465" s="1">
        <f>功能掉落明细!AA463</f>
        <v>461</v>
      </c>
      <c r="B465" s="1">
        <f ca="1">功能掉落明细!AB463</f>
        <v>20137</v>
      </c>
      <c r="C465" s="1">
        <f ca="1">功能掉落明细!AC463</f>
        <v>12</v>
      </c>
      <c r="D465" s="1">
        <f ca="1">功能掉落明细!AD463</f>
        <v>6000</v>
      </c>
    </row>
    <row r="466" spans="1:4" x14ac:dyDescent="0.25">
      <c r="A466" s="1">
        <f>功能掉落明细!AA464</f>
        <v>462</v>
      </c>
      <c r="B466" s="1">
        <f ca="1">功能掉落明细!AB464</f>
        <v>20138</v>
      </c>
      <c r="C466" s="1">
        <f ca="1">功能掉落明细!AC464</f>
        <v>1</v>
      </c>
      <c r="D466" s="1">
        <f ca="1">功能掉落明细!AD464</f>
        <v>10000</v>
      </c>
    </row>
    <row r="467" spans="1:4" x14ac:dyDescent="0.25">
      <c r="A467" s="1">
        <f>功能掉落明细!AA465</f>
        <v>463</v>
      </c>
      <c r="B467" s="1">
        <f ca="1">功能掉落明细!AB465</f>
        <v>20138</v>
      </c>
      <c r="C467" s="1">
        <f ca="1">功能掉落明细!AC465</f>
        <v>21</v>
      </c>
      <c r="D467" s="1">
        <f ca="1">功能掉落明细!AD465</f>
        <v>4000</v>
      </c>
    </row>
    <row r="468" spans="1:4" x14ac:dyDescent="0.25">
      <c r="A468" s="1">
        <f>功能掉落明细!AA466</f>
        <v>464</v>
      </c>
      <c r="B468" s="1">
        <f ca="1">功能掉落明细!AB466</f>
        <v>20138</v>
      </c>
      <c r="C468" s="1">
        <f ca="1">功能掉落明细!AC466</f>
        <v>15</v>
      </c>
      <c r="D468" s="1">
        <f ca="1">功能掉落明细!AD466</f>
        <v>5000</v>
      </c>
    </row>
    <row r="469" spans="1:4" x14ac:dyDescent="0.25">
      <c r="A469" s="1">
        <f>功能掉落明细!AA467</f>
        <v>465</v>
      </c>
      <c r="B469" s="1">
        <f ca="1">功能掉落明细!AB467</f>
        <v>20138</v>
      </c>
      <c r="C469" s="1">
        <f ca="1">功能掉落明细!AC467</f>
        <v>12</v>
      </c>
      <c r="D469" s="1">
        <f ca="1">功能掉落明细!AD467</f>
        <v>6000</v>
      </c>
    </row>
    <row r="470" spans="1:4" x14ac:dyDescent="0.25">
      <c r="A470" s="1">
        <f>功能掉落明细!AA468</f>
        <v>466</v>
      </c>
      <c r="B470" s="1">
        <f ca="1">功能掉落明细!AB468</f>
        <v>20139</v>
      </c>
      <c r="C470" s="1">
        <f ca="1">功能掉落明细!AC468</f>
        <v>1</v>
      </c>
      <c r="D470" s="1">
        <f ca="1">功能掉落明细!AD468</f>
        <v>10000</v>
      </c>
    </row>
    <row r="471" spans="1:4" x14ac:dyDescent="0.25">
      <c r="A471" s="1">
        <f>功能掉落明细!AA469</f>
        <v>467</v>
      </c>
      <c r="B471" s="1">
        <f ca="1">功能掉落明细!AB469</f>
        <v>20139</v>
      </c>
      <c r="C471" s="1">
        <f ca="1">功能掉落明细!AC469</f>
        <v>22</v>
      </c>
      <c r="D471" s="1">
        <f ca="1">功能掉落明细!AD469</f>
        <v>4000</v>
      </c>
    </row>
    <row r="472" spans="1:4" x14ac:dyDescent="0.25">
      <c r="A472" s="1">
        <f>功能掉落明细!AA470</f>
        <v>468</v>
      </c>
      <c r="B472" s="1">
        <f ca="1">功能掉落明细!AB470</f>
        <v>20139</v>
      </c>
      <c r="C472" s="1">
        <f ca="1">功能掉落明细!AC470</f>
        <v>14</v>
      </c>
      <c r="D472" s="1">
        <f ca="1">功能掉落明细!AD470</f>
        <v>5000</v>
      </c>
    </row>
    <row r="473" spans="1:4" x14ac:dyDescent="0.25">
      <c r="A473" s="1">
        <f>功能掉落明细!AA471</f>
        <v>469</v>
      </c>
      <c r="B473" s="1">
        <f ca="1">功能掉落明细!AB471</f>
        <v>20139</v>
      </c>
      <c r="C473" s="1">
        <f ca="1">功能掉落明细!AC471</f>
        <v>11</v>
      </c>
      <c r="D473" s="1">
        <f ca="1">功能掉落明细!AD471</f>
        <v>6000</v>
      </c>
    </row>
    <row r="474" spans="1:4" x14ac:dyDescent="0.25">
      <c r="A474" s="1">
        <f>功能掉落明细!AA472</f>
        <v>470</v>
      </c>
      <c r="B474" s="1">
        <f ca="1">功能掉落明细!AB472</f>
        <v>20140</v>
      </c>
      <c r="C474" s="1">
        <f ca="1">功能掉落明细!AC472</f>
        <v>1</v>
      </c>
      <c r="D474" s="1">
        <f ca="1">功能掉落明细!AD472</f>
        <v>10000</v>
      </c>
    </row>
    <row r="475" spans="1:4" x14ac:dyDescent="0.25">
      <c r="A475" s="1">
        <f>功能掉落明细!AA473</f>
        <v>471</v>
      </c>
      <c r="B475" s="1">
        <f ca="1">功能掉落明细!AB473</f>
        <v>20140</v>
      </c>
      <c r="C475" s="1">
        <f ca="1">功能掉落明细!AC473</f>
        <v>22</v>
      </c>
      <c r="D475" s="1">
        <f ca="1">功能掉落明细!AD473</f>
        <v>4000</v>
      </c>
    </row>
    <row r="476" spans="1:4" x14ac:dyDescent="0.25">
      <c r="A476" s="1">
        <f>功能掉落明细!AA474</f>
        <v>472</v>
      </c>
      <c r="B476" s="1">
        <f ca="1">功能掉落明细!AB474</f>
        <v>20140</v>
      </c>
      <c r="C476" s="1">
        <f ca="1">功能掉落明细!AC474</f>
        <v>14</v>
      </c>
      <c r="D476" s="1">
        <f ca="1">功能掉落明细!AD474</f>
        <v>5000</v>
      </c>
    </row>
    <row r="477" spans="1:4" x14ac:dyDescent="0.25">
      <c r="A477" s="1">
        <f>功能掉落明细!AA475</f>
        <v>473</v>
      </c>
      <c r="B477" s="1">
        <f ca="1">功能掉落明细!AB475</f>
        <v>20140</v>
      </c>
      <c r="C477" s="1">
        <f ca="1">功能掉落明细!AC475</f>
        <v>11</v>
      </c>
      <c r="D477" s="1">
        <f ca="1">功能掉落明细!AD475</f>
        <v>6000</v>
      </c>
    </row>
    <row r="478" spans="1:4" x14ac:dyDescent="0.25">
      <c r="A478" s="1">
        <f>功能掉落明细!AA476</f>
        <v>474</v>
      </c>
      <c r="B478" s="1">
        <f ca="1">功能掉落明细!AB476</f>
        <v>20141</v>
      </c>
      <c r="C478" s="1">
        <f ca="1">功能掉落明细!AC476</f>
        <v>1</v>
      </c>
      <c r="D478" s="1">
        <f ca="1">功能掉落明细!AD476</f>
        <v>10000</v>
      </c>
    </row>
    <row r="479" spans="1:4" x14ac:dyDescent="0.25">
      <c r="A479" s="1">
        <f>功能掉落明细!AA477</f>
        <v>475</v>
      </c>
      <c r="B479" s="1">
        <f ca="1">功能掉落明细!AB477</f>
        <v>20141</v>
      </c>
      <c r="C479" s="1">
        <f ca="1">功能掉落明细!AC477</f>
        <v>22</v>
      </c>
      <c r="D479" s="1">
        <f ca="1">功能掉落明细!AD477</f>
        <v>4000</v>
      </c>
    </row>
    <row r="480" spans="1:4" x14ac:dyDescent="0.25">
      <c r="A480" s="1">
        <f>功能掉落明细!AA478</f>
        <v>476</v>
      </c>
      <c r="B480" s="1">
        <f ca="1">功能掉落明细!AB478</f>
        <v>20141</v>
      </c>
      <c r="C480" s="1">
        <f ca="1">功能掉落明细!AC478</f>
        <v>14</v>
      </c>
      <c r="D480" s="1">
        <f ca="1">功能掉落明细!AD478</f>
        <v>5000</v>
      </c>
    </row>
    <row r="481" spans="1:4" x14ac:dyDescent="0.25">
      <c r="A481" s="1">
        <f>功能掉落明细!AA479</f>
        <v>477</v>
      </c>
      <c r="B481" s="1">
        <f ca="1">功能掉落明细!AB479</f>
        <v>20141</v>
      </c>
      <c r="C481" s="1">
        <f ca="1">功能掉落明细!AC479</f>
        <v>11</v>
      </c>
      <c r="D481" s="1">
        <f ca="1">功能掉落明细!AD479</f>
        <v>6000</v>
      </c>
    </row>
    <row r="482" spans="1:4" x14ac:dyDescent="0.25">
      <c r="A482" s="1">
        <f>功能掉落明细!AA480</f>
        <v>478</v>
      </c>
      <c r="B482" s="1">
        <f ca="1">功能掉落明细!AB480</f>
        <v>20142</v>
      </c>
      <c r="C482" s="1">
        <f ca="1">功能掉落明细!AC480</f>
        <v>1</v>
      </c>
      <c r="D482" s="1">
        <f ca="1">功能掉落明细!AD480</f>
        <v>10000</v>
      </c>
    </row>
    <row r="483" spans="1:4" x14ac:dyDescent="0.25">
      <c r="A483" s="1">
        <f>功能掉落明细!AA481</f>
        <v>479</v>
      </c>
      <c r="B483" s="1">
        <f ca="1">功能掉落明细!AB481</f>
        <v>20142</v>
      </c>
      <c r="C483" s="1">
        <f ca="1">功能掉落明细!AC481</f>
        <v>22</v>
      </c>
      <c r="D483" s="1">
        <f ca="1">功能掉落明细!AD481</f>
        <v>4000</v>
      </c>
    </row>
    <row r="484" spans="1:4" x14ac:dyDescent="0.25">
      <c r="A484" s="1">
        <f>功能掉落明细!AA482</f>
        <v>480</v>
      </c>
      <c r="B484" s="1">
        <f ca="1">功能掉落明细!AB482</f>
        <v>20142</v>
      </c>
      <c r="C484" s="1">
        <f ca="1">功能掉落明细!AC482</f>
        <v>14</v>
      </c>
      <c r="D484" s="1">
        <f ca="1">功能掉落明细!AD482</f>
        <v>5000</v>
      </c>
    </row>
    <row r="485" spans="1:4" x14ac:dyDescent="0.25">
      <c r="A485" s="1">
        <f>功能掉落明细!AA483</f>
        <v>481</v>
      </c>
      <c r="B485" s="1">
        <f ca="1">功能掉落明细!AB483</f>
        <v>20142</v>
      </c>
      <c r="C485" s="1">
        <f ca="1">功能掉落明细!AC483</f>
        <v>11</v>
      </c>
      <c r="D485" s="1">
        <f ca="1">功能掉落明细!AD483</f>
        <v>6000</v>
      </c>
    </row>
    <row r="486" spans="1:4" x14ac:dyDescent="0.25">
      <c r="A486" s="1">
        <f>功能掉落明细!AA484</f>
        <v>482</v>
      </c>
      <c r="B486" s="1">
        <f ca="1">功能掉落明细!AB484</f>
        <v>20143</v>
      </c>
      <c r="C486" s="1">
        <f ca="1">功能掉落明细!AC484</f>
        <v>1</v>
      </c>
      <c r="D486" s="1">
        <f ca="1">功能掉落明细!AD484</f>
        <v>10000</v>
      </c>
    </row>
    <row r="487" spans="1:4" x14ac:dyDescent="0.25">
      <c r="A487" s="1">
        <f>功能掉落明细!AA485</f>
        <v>483</v>
      </c>
      <c r="B487" s="1">
        <f ca="1">功能掉落明细!AB485</f>
        <v>20143</v>
      </c>
      <c r="C487" s="1">
        <f ca="1">功能掉落明细!AC485</f>
        <v>20</v>
      </c>
      <c r="D487" s="1">
        <f ca="1">功能掉落明细!AD485</f>
        <v>4000</v>
      </c>
    </row>
    <row r="488" spans="1:4" x14ac:dyDescent="0.25">
      <c r="A488" s="1">
        <f>功能掉落明细!AA486</f>
        <v>484</v>
      </c>
      <c r="B488" s="1">
        <f ca="1">功能掉落明细!AB486</f>
        <v>20143</v>
      </c>
      <c r="C488" s="1">
        <f ca="1">功能掉落明细!AC486</f>
        <v>14</v>
      </c>
      <c r="D488" s="1">
        <f ca="1">功能掉落明细!AD486</f>
        <v>5000</v>
      </c>
    </row>
    <row r="489" spans="1:4" x14ac:dyDescent="0.25">
      <c r="A489" s="1">
        <f>功能掉落明细!AA487</f>
        <v>485</v>
      </c>
      <c r="B489" s="1">
        <f ca="1">功能掉落明细!AB487</f>
        <v>20143</v>
      </c>
      <c r="C489" s="1">
        <f ca="1">功能掉落明细!AC487</f>
        <v>11</v>
      </c>
      <c r="D489" s="1">
        <f ca="1">功能掉落明细!AD487</f>
        <v>6000</v>
      </c>
    </row>
    <row r="490" spans="1:4" x14ac:dyDescent="0.25">
      <c r="A490" s="1">
        <f>功能掉落明细!AA488</f>
        <v>486</v>
      </c>
      <c r="B490" s="1">
        <f ca="1">功能掉落明细!AB488</f>
        <v>20144</v>
      </c>
      <c r="C490" s="1">
        <f ca="1">功能掉落明细!AC488</f>
        <v>1</v>
      </c>
      <c r="D490" s="1">
        <f ca="1">功能掉落明细!AD488</f>
        <v>10000</v>
      </c>
    </row>
    <row r="491" spans="1:4" x14ac:dyDescent="0.25">
      <c r="A491" s="1">
        <f>功能掉落明细!AA489</f>
        <v>487</v>
      </c>
      <c r="B491" s="1">
        <f ca="1">功能掉落明细!AB489</f>
        <v>20144</v>
      </c>
      <c r="C491" s="1">
        <f ca="1">功能掉落明细!AC489</f>
        <v>20</v>
      </c>
      <c r="D491" s="1">
        <f ca="1">功能掉落明细!AD489</f>
        <v>4000</v>
      </c>
    </row>
    <row r="492" spans="1:4" x14ac:dyDescent="0.25">
      <c r="A492" s="1">
        <f>功能掉落明细!AA490</f>
        <v>488</v>
      </c>
      <c r="B492" s="1">
        <f ca="1">功能掉落明细!AB490</f>
        <v>20144</v>
      </c>
      <c r="C492" s="1">
        <f ca="1">功能掉落明细!AC490</f>
        <v>14</v>
      </c>
      <c r="D492" s="1">
        <f ca="1">功能掉落明细!AD490</f>
        <v>5000</v>
      </c>
    </row>
    <row r="493" spans="1:4" x14ac:dyDescent="0.25">
      <c r="A493" s="1">
        <f>功能掉落明细!AA491</f>
        <v>489</v>
      </c>
      <c r="B493" s="1">
        <f ca="1">功能掉落明细!AB491</f>
        <v>20144</v>
      </c>
      <c r="C493" s="1">
        <f ca="1">功能掉落明细!AC491</f>
        <v>11</v>
      </c>
      <c r="D493" s="1">
        <f ca="1">功能掉落明细!AD491</f>
        <v>6000</v>
      </c>
    </row>
    <row r="494" spans="1:4" x14ac:dyDescent="0.25">
      <c r="A494" s="1">
        <f>功能掉落明细!AA492</f>
        <v>490</v>
      </c>
      <c r="B494" s="1">
        <f ca="1">功能掉落明细!AB492</f>
        <v>20145</v>
      </c>
      <c r="C494" s="1">
        <f ca="1">功能掉落明细!AC492</f>
        <v>1</v>
      </c>
      <c r="D494" s="1">
        <f ca="1">功能掉落明细!AD492</f>
        <v>10000</v>
      </c>
    </row>
    <row r="495" spans="1:4" x14ac:dyDescent="0.25">
      <c r="A495" s="1">
        <f>功能掉落明细!AA493</f>
        <v>491</v>
      </c>
      <c r="B495" s="1">
        <f ca="1">功能掉落明细!AB493</f>
        <v>20145</v>
      </c>
      <c r="C495" s="1">
        <f ca="1">功能掉落明细!AC493</f>
        <v>20</v>
      </c>
      <c r="D495" s="1">
        <f ca="1">功能掉落明细!AD493</f>
        <v>4000</v>
      </c>
    </row>
    <row r="496" spans="1:4" x14ac:dyDescent="0.25">
      <c r="A496" s="1">
        <f>功能掉落明细!AA494</f>
        <v>492</v>
      </c>
      <c r="B496" s="1">
        <f ca="1">功能掉落明细!AB494</f>
        <v>20145</v>
      </c>
      <c r="C496" s="1">
        <f ca="1">功能掉落明细!AC494</f>
        <v>14</v>
      </c>
      <c r="D496" s="1">
        <f ca="1">功能掉落明细!AD494</f>
        <v>5000</v>
      </c>
    </row>
    <row r="497" spans="1:4" x14ac:dyDescent="0.25">
      <c r="A497" s="1">
        <f>功能掉落明细!AA495</f>
        <v>493</v>
      </c>
      <c r="B497" s="1">
        <f ca="1">功能掉落明细!AB495</f>
        <v>20145</v>
      </c>
      <c r="C497" s="1">
        <f ca="1">功能掉落明细!AC495</f>
        <v>11</v>
      </c>
      <c r="D497" s="1">
        <f ca="1">功能掉落明细!AD495</f>
        <v>6000</v>
      </c>
    </row>
    <row r="498" spans="1:4" x14ac:dyDescent="0.25">
      <c r="A498" s="1">
        <f>功能掉落明细!AA496</f>
        <v>494</v>
      </c>
      <c r="B498" s="1">
        <f ca="1">功能掉落明细!AB496</f>
        <v>20146</v>
      </c>
      <c r="C498" s="1">
        <f ca="1">功能掉落明细!AC496</f>
        <v>1</v>
      </c>
      <c r="D498" s="1">
        <f ca="1">功能掉落明细!AD496</f>
        <v>10000</v>
      </c>
    </row>
    <row r="499" spans="1:4" x14ac:dyDescent="0.25">
      <c r="A499" s="1">
        <f>功能掉落明细!AA497</f>
        <v>495</v>
      </c>
      <c r="B499" s="1">
        <f ca="1">功能掉落明细!AB497</f>
        <v>20146</v>
      </c>
      <c r="C499" s="1">
        <f ca="1">功能掉落明细!AC497</f>
        <v>20</v>
      </c>
      <c r="D499" s="1">
        <f ca="1">功能掉落明细!AD497</f>
        <v>4000</v>
      </c>
    </row>
    <row r="500" spans="1:4" x14ac:dyDescent="0.25">
      <c r="A500" s="1">
        <f>功能掉落明细!AA498</f>
        <v>496</v>
      </c>
      <c r="B500" s="1">
        <f ca="1">功能掉落明细!AB498</f>
        <v>20146</v>
      </c>
      <c r="C500" s="1">
        <f ca="1">功能掉落明细!AC498</f>
        <v>14</v>
      </c>
      <c r="D500" s="1">
        <f ca="1">功能掉落明细!AD498</f>
        <v>5000</v>
      </c>
    </row>
    <row r="501" spans="1:4" x14ac:dyDescent="0.25">
      <c r="A501" s="1">
        <f>功能掉落明细!AA499</f>
        <v>497</v>
      </c>
      <c r="B501" s="1">
        <f ca="1">功能掉落明细!AB499</f>
        <v>20146</v>
      </c>
      <c r="C501" s="1">
        <f ca="1">功能掉落明细!AC499</f>
        <v>11</v>
      </c>
      <c r="D501" s="1">
        <f ca="1">功能掉落明细!AD499</f>
        <v>6000</v>
      </c>
    </row>
    <row r="502" spans="1:4" x14ac:dyDescent="0.25">
      <c r="A502" s="1">
        <f>功能掉落明细!AA500</f>
        <v>498</v>
      </c>
      <c r="B502" s="1">
        <f ca="1">功能掉落明细!AB500</f>
        <v>20147</v>
      </c>
      <c r="C502" s="1">
        <f ca="1">功能掉落明细!AC500</f>
        <v>1</v>
      </c>
      <c r="D502" s="1">
        <f ca="1">功能掉落明细!AD500</f>
        <v>10000</v>
      </c>
    </row>
    <row r="503" spans="1:4" x14ac:dyDescent="0.25">
      <c r="A503" s="1">
        <f>功能掉落明细!AA501</f>
        <v>499</v>
      </c>
      <c r="B503" s="1">
        <f ca="1">功能掉落明细!AB501</f>
        <v>20147</v>
      </c>
      <c r="C503" s="1">
        <f ca="1">功能掉落明细!AC501</f>
        <v>21</v>
      </c>
      <c r="D503" s="1">
        <f ca="1">功能掉落明细!AD501</f>
        <v>4000</v>
      </c>
    </row>
    <row r="504" spans="1:4" x14ac:dyDescent="0.25">
      <c r="A504" s="1">
        <f>功能掉落明细!AA502</f>
        <v>500</v>
      </c>
      <c r="B504" s="1">
        <f ca="1">功能掉落明细!AB502</f>
        <v>20147</v>
      </c>
      <c r="C504" s="1">
        <f ca="1">功能掉落明细!AC502</f>
        <v>15</v>
      </c>
      <c r="D504" s="1">
        <f ca="1">功能掉落明细!AD502</f>
        <v>5000</v>
      </c>
    </row>
    <row r="505" spans="1:4" x14ac:dyDescent="0.25">
      <c r="A505" s="1">
        <f>功能掉落明细!AA503</f>
        <v>501</v>
      </c>
      <c r="B505" s="1">
        <f ca="1">功能掉落明细!AB503</f>
        <v>20147</v>
      </c>
      <c r="C505" s="1">
        <f ca="1">功能掉落明细!AC503</f>
        <v>12</v>
      </c>
      <c r="D505" s="1">
        <f ca="1">功能掉落明细!AD503</f>
        <v>6000</v>
      </c>
    </row>
    <row r="506" spans="1:4" x14ac:dyDescent="0.25">
      <c r="A506" s="1">
        <f>功能掉落明细!AA504</f>
        <v>502</v>
      </c>
      <c r="B506" s="1">
        <f ca="1">功能掉落明细!AB504</f>
        <v>20148</v>
      </c>
      <c r="C506" s="1">
        <f ca="1">功能掉落明细!AC504</f>
        <v>1</v>
      </c>
      <c r="D506" s="1">
        <f ca="1">功能掉落明细!AD504</f>
        <v>10000</v>
      </c>
    </row>
    <row r="507" spans="1:4" x14ac:dyDescent="0.25">
      <c r="A507" s="1">
        <f>功能掉落明细!AA505</f>
        <v>503</v>
      </c>
      <c r="B507" s="1">
        <f ca="1">功能掉落明细!AB505</f>
        <v>20148</v>
      </c>
      <c r="C507" s="1">
        <f ca="1">功能掉落明细!AC505</f>
        <v>21</v>
      </c>
      <c r="D507" s="1">
        <f ca="1">功能掉落明细!AD505</f>
        <v>4000</v>
      </c>
    </row>
    <row r="508" spans="1:4" x14ac:dyDescent="0.25">
      <c r="A508" s="1">
        <f>功能掉落明细!AA506</f>
        <v>504</v>
      </c>
      <c r="B508" s="1">
        <f ca="1">功能掉落明细!AB506</f>
        <v>20148</v>
      </c>
      <c r="C508" s="1">
        <f ca="1">功能掉落明细!AC506</f>
        <v>15</v>
      </c>
      <c r="D508" s="1">
        <f ca="1">功能掉落明细!AD506</f>
        <v>5000</v>
      </c>
    </row>
    <row r="509" spans="1:4" x14ac:dyDescent="0.25">
      <c r="A509" s="1">
        <f>功能掉落明细!AA507</f>
        <v>505</v>
      </c>
      <c r="B509" s="1">
        <f ca="1">功能掉落明细!AB507</f>
        <v>20148</v>
      </c>
      <c r="C509" s="1">
        <f ca="1">功能掉落明细!AC507</f>
        <v>12</v>
      </c>
      <c r="D509" s="1">
        <f ca="1">功能掉落明细!AD507</f>
        <v>6000</v>
      </c>
    </row>
    <row r="510" spans="1:4" x14ac:dyDescent="0.25">
      <c r="A510" s="1">
        <f>功能掉落明细!AA508</f>
        <v>506</v>
      </c>
      <c r="B510" s="1">
        <f ca="1">功能掉落明细!AB508</f>
        <v>20149</v>
      </c>
      <c r="C510" s="1">
        <f ca="1">功能掉落明细!AC508</f>
        <v>1</v>
      </c>
      <c r="D510" s="1">
        <f ca="1">功能掉落明细!AD508</f>
        <v>10000</v>
      </c>
    </row>
    <row r="511" spans="1:4" x14ac:dyDescent="0.25">
      <c r="A511" s="1">
        <f>功能掉落明细!AA509</f>
        <v>507</v>
      </c>
      <c r="B511" s="1">
        <f ca="1">功能掉落明细!AB509</f>
        <v>20149</v>
      </c>
      <c r="C511" s="1">
        <f ca="1">功能掉落明细!AC509</f>
        <v>21</v>
      </c>
      <c r="D511" s="1">
        <f ca="1">功能掉落明细!AD509</f>
        <v>4000</v>
      </c>
    </row>
    <row r="512" spans="1:4" x14ac:dyDescent="0.25">
      <c r="A512" s="1">
        <f>功能掉落明细!AA510</f>
        <v>508</v>
      </c>
      <c r="B512" s="1">
        <f ca="1">功能掉落明细!AB510</f>
        <v>20149</v>
      </c>
      <c r="C512" s="1">
        <f ca="1">功能掉落明细!AC510</f>
        <v>15</v>
      </c>
      <c r="D512" s="1">
        <f ca="1">功能掉落明细!AD510</f>
        <v>5000</v>
      </c>
    </row>
    <row r="513" spans="1:4" x14ac:dyDescent="0.25">
      <c r="A513" s="1">
        <f>功能掉落明细!AA511</f>
        <v>509</v>
      </c>
      <c r="B513" s="1">
        <f ca="1">功能掉落明细!AB511</f>
        <v>20149</v>
      </c>
      <c r="C513" s="1">
        <f ca="1">功能掉落明细!AC511</f>
        <v>12</v>
      </c>
      <c r="D513" s="1">
        <f ca="1">功能掉落明细!AD511</f>
        <v>6000</v>
      </c>
    </row>
    <row r="514" spans="1:4" x14ac:dyDescent="0.25">
      <c r="A514" s="1">
        <f>功能掉落明细!AA512</f>
        <v>510</v>
      </c>
      <c r="B514" s="1">
        <f ca="1">功能掉落明细!AB512</f>
        <v>20150</v>
      </c>
      <c r="C514" s="1">
        <f ca="1">功能掉落明细!AC512</f>
        <v>1</v>
      </c>
      <c r="D514" s="1">
        <f ca="1">功能掉落明细!AD512</f>
        <v>10000</v>
      </c>
    </row>
    <row r="515" spans="1:4" x14ac:dyDescent="0.25">
      <c r="A515" s="1">
        <f>功能掉落明细!AA513</f>
        <v>511</v>
      </c>
      <c r="B515" s="1">
        <f ca="1">功能掉落明细!AB513</f>
        <v>20150</v>
      </c>
      <c r="C515" s="1">
        <f ca="1">功能掉落明细!AC513</f>
        <v>21</v>
      </c>
      <c r="D515" s="1">
        <f ca="1">功能掉落明细!AD513</f>
        <v>4000</v>
      </c>
    </row>
    <row r="516" spans="1:4" x14ac:dyDescent="0.25">
      <c r="A516" s="1">
        <f>功能掉落明细!AA514</f>
        <v>512</v>
      </c>
      <c r="B516" s="1">
        <f ca="1">功能掉落明细!AB514</f>
        <v>20150</v>
      </c>
      <c r="C516" s="1">
        <f ca="1">功能掉落明细!AC514</f>
        <v>15</v>
      </c>
      <c r="D516" s="1">
        <f ca="1">功能掉落明细!AD514</f>
        <v>5000</v>
      </c>
    </row>
    <row r="517" spans="1:4" x14ac:dyDescent="0.25">
      <c r="A517" s="1">
        <f>功能掉落明细!AA515</f>
        <v>513</v>
      </c>
      <c r="B517" s="1">
        <f ca="1">功能掉落明细!AB515</f>
        <v>20150</v>
      </c>
      <c r="C517" s="1">
        <f ca="1">功能掉落明细!AC515</f>
        <v>12</v>
      </c>
      <c r="D517" s="1">
        <f ca="1">功能掉落明细!AD515</f>
        <v>6000</v>
      </c>
    </row>
    <row r="518" spans="1:4" x14ac:dyDescent="0.25">
      <c r="A518" s="1">
        <f>功能掉落明细!AA516</f>
        <v>514</v>
      </c>
      <c r="B518" s="1">
        <f ca="1">功能掉落明细!AB516</f>
        <v>20151</v>
      </c>
      <c r="C518" s="1">
        <f ca="1">功能掉落明细!AC516</f>
        <v>1</v>
      </c>
      <c r="D518" s="1">
        <f ca="1">功能掉落明细!AD516</f>
        <v>10000</v>
      </c>
    </row>
    <row r="519" spans="1:4" x14ac:dyDescent="0.25">
      <c r="A519" s="1">
        <f>功能掉落明细!AA517</f>
        <v>515</v>
      </c>
      <c r="B519" s="1">
        <f ca="1">功能掉落明细!AB517</f>
        <v>20151</v>
      </c>
      <c r="C519" s="1">
        <f ca="1">功能掉落明细!AC517</f>
        <v>22</v>
      </c>
      <c r="D519" s="1">
        <f ca="1">功能掉落明细!AD517</f>
        <v>4000</v>
      </c>
    </row>
    <row r="520" spans="1:4" x14ac:dyDescent="0.25">
      <c r="A520" s="1">
        <f>功能掉落明细!AA518</f>
        <v>516</v>
      </c>
      <c r="B520" s="1">
        <f ca="1">功能掉落明细!AB518</f>
        <v>20151</v>
      </c>
      <c r="C520" s="1">
        <f ca="1">功能掉落明细!AC518</f>
        <v>16</v>
      </c>
      <c r="D520" s="1">
        <f ca="1">功能掉落明细!AD518</f>
        <v>5000</v>
      </c>
    </row>
    <row r="521" spans="1:4" x14ac:dyDescent="0.25">
      <c r="A521" s="1">
        <f>功能掉落明细!AA519</f>
        <v>517</v>
      </c>
      <c r="B521" s="1">
        <f ca="1">功能掉落明细!AB519</f>
        <v>20151</v>
      </c>
      <c r="C521" s="1">
        <f ca="1">功能掉落明细!AC519</f>
        <v>13</v>
      </c>
      <c r="D521" s="1">
        <f ca="1">功能掉落明细!AD519</f>
        <v>6000</v>
      </c>
    </row>
    <row r="522" spans="1:4" x14ac:dyDescent="0.25">
      <c r="A522" s="1">
        <f>功能掉落明细!AA520</f>
        <v>518</v>
      </c>
      <c r="B522" s="1">
        <f ca="1">功能掉落明细!AB520</f>
        <v>20152</v>
      </c>
      <c r="C522" s="1">
        <f ca="1">功能掉落明细!AC520</f>
        <v>1</v>
      </c>
      <c r="D522" s="1">
        <f ca="1">功能掉落明细!AD520</f>
        <v>10000</v>
      </c>
    </row>
    <row r="523" spans="1:4" x14ac:dyDescent="0.25">
      <c r="A523" s="1">
        <f>功能掉落明细!AA521</f>
        <v>519</v>
      </c>
      <c r="B523" s="1">
        <f ca="1">功能掉落明细!AB521</f>
        <v>20152</v>
      </c>
      <c r="C523" s="1">
        <f ca="1">功能掉落明细!AC521</f>
        <v>22</v>
      </c>
      <c r="D523" s="1">
        <f ca="1">功能掉落明细!AD521</f>
        <v>4000</v>
      </c>
    </row>
    <row r="524" spans="1:4" x14ac:dyDescent="0.25">
      <c r="A524" s="1">
        <f>功能掉落明细!AA522</f>
        <v>520</v>
      </c>
      <c r="B524" s="1">
        <f ca="1">功能掉落明细!AB522</f>
        <v>20152</v>
      </c>
      <c r="C524" s="1">
        <f ca="1">功能掉落明细!AC522</f>
        <v>16</v>
      </c>
      <c r="D524" s="1">
        <f ca="1">功能掉落明细!AD522</f>
        <v>5000</v>
      </c>
    </row>
    <row r="525" spans="1:4" x14ac:dyDescent="0.25">
      <c r="A525" s="1">
        <f>功能掉落明细!AA523</f>
        <v>521</v>
      </c>
      <c r="B525" s="1">
        <f ca="1">功能掉落明细!AB523</f>
        <v>20152</v>
      </c>
      <c r="C525" s="1">
        <f ca="1">功能掉落明细!AC523</f>
        <v>13</v>
      </c>
      <c r="D525" s="1">
        <f ca="1">功能掉落明细!AD523</f>
        <v>6000</v>
      </c>
    </row>
    <row r="526" spans="1:4" x14ac:dyDescent="0.25">
      <c r="A526" s="1">
        <f>功能掉落明细!AA524</f>
        <v>522</v>
      </c>
      <c r="B526" s="1">
        <f ca="1">功能掉落明细!AB524</f>
        <v>20153</v>
      </c>
      <c r="C526" s="1">
        <f ca="1">功能掉落明细!AC524</f>
        <v>1</v>
      </c>
      <c r="D526" s="1">
        <f ca="1">功能掉落明细!AD524</f>
        <v>10000</v>
      </c>
    </row>
    <row r="527" spans="1:4" x14ac:dyDescent="0.25">
      <c r="A527" s="1">
        <f>功能掉落明细!AA525</f>
        <v>523</v>
      </c>
      <c r="B527" s="1">
        <f ca="1">功能掉落明细!AB525</f>
        <v>20153</v>
      </c>
      <c r="C527" s="1">
        <f ca="1">功能掉落明细!AC525</f>
        <v>22</v>
      </c>
      <c r="D527" s="1">
        <f ca="1">功能掉落明细!AD525</f>
        <v>4000</v>
      </c>
    </row>
    <row r="528" spans="1:4" x14ac:dyDescent="0.25">
      <c r="A528" s="1">
        <f>功能掉落明细!AA526</f>
        <v>524</v>
      </c>
      <c r="B528" s="1">
        <f ca="1">功能掉落明细!AB526</f>
        <v>20153</v>
      </c>
      <c r="C528" s="1">
        <f ca="1">功能掉落明细!AC526</f>
        <v>16</v>
      </c>
      <c r="D528" s="1">
        <f ca="1">功能掉落明细!AD526</f>
        <v>5000</v>
      </c>
    </row>
    <row r="529" spans="1:4" x14ac:dyDescent="0.25">
      <c r="A529" s="1">
        <f>功能掉落明细!AA527</f>
        <v>525</v>
      </c>
      <c r="B529" s="1">
        <f ca="1">功能掉落明细!AB527</f>
        <v>20153</v>
      </c>
      <c r="C529" s="1">
        <f ca="1">功能掉落明细!AC527</f>
        <v>13</v>
      </c>
      <c r="D529" s="1">
        <f ca="1">功能掉落明细!AD527</f>
        <v>6000</v>
      </c>
    </row>
    <row r="530" spans="1:4" x14ac:dyDescent="0.25">
      <c r="A530" s="1">
        <f>功能掉落明细!AA528</f>
        <v>526</v>
      </c>
      <c r="B530" s="1">
        <f ca="1">功能掉落明细!AB528</f>
        <v>20154</v>
      </c>
      <c r="C530" s="1">
        <f ca="1">功能掉落明细!AC528</f>
        <v>1</v>
      </c>
      <c r="D530" s="1">
        <f ca="1">功能掉落明细!AD528</f>
        <v>10000</v>
      </c>
    </row>
    <row r="531" spans="1:4" x14ac:dyDescent="0.25">
      <c r="A531" s="1">
        <f>功能掉落明细!AA529</f>
        <v>527</v>
      </c>
      <c r="B531" s="1">
        <f ca="1">功能掉落明细!AB529</f>
        <v>20154</v>
      </c>
      <c r="C531" s="1">
        <f ca="1">功能掉落明细!AC529</f>
        <v>22</v>
      </c>
      <c r="D531" s="1">
        <f ca="1">功能掉落明细!AD529</f>
        <v>4000</v>
      </c>
    </row>
    <row r="532" spans="1:4" x14ac:dyDescent="0.25">
      <c r="A532" s="1">
        <f>功能掉落明细!AA530</f>
        <v>528</v>
      </c>
      <c r="B532" s="1">
        <f ca="1">功能掉落明细!AB530</f>
        <v>20154</v>
      </c>
      <c r="C532" s="1">
        <f ca="1">功能掉落明细!AC530</f>
        <v>16</v>
      </c>
      <c r="D532" s="1">
        <f ca="1">功能掉落明细!AD530</f>
        <v>5000</v>
      </c>
    </row>
    <row r="533" spans="1:4" x14ac:dyDescent="0.25">
      <c r="A533" s="1">
        <f>功能掉落明细!AA531</f>
        <v>529</v>
      </c>
      <c r="B533" s="1">
        <f ca="1">功能掉落明细!AB531</f>
        <v>20154</v>
      </c>
      <c r="C533" s="1">
        <f ca="1">功能掉落明细!AC531</f>
        <v>13</v>
      </c>
      <c r="D533" s="1">
        <f ca="1">功能掉落明细!AD531</f>
        <v>6000</v>
      </c>
    </row>
    <row r="534" spans="1:4" x14ac:dyDescent="0.25">
      <c r="A534" s="1">
        <f>功能掉落明细!AA532</f>
        <v>530</v>
      </c>
      <c r="B534" s="1">
        <f ca="1">功能掉落明细!AB532</f>
        <v>30001</v>
      </c>
      <c r="C534" s="1">
        <f ca="1">功能掉落明细!AC532</f>
        <v>23</v>
      </c>
      <c r="D534" s="1">
        <f ca="1">功能掉落明细!AD532</f>
        <v>5000</v>
      </c>
    </row>
    <row r="535" spans="1:4" x14ac:dyDescent="0.25">
      <c r="A535" s="1">
        <f>功能掉落明细!AA533</f>
        <v>531</v>
      </c>
      <c r="B535" s="1">
        <f ca="1">功能掉落明细!AB533</f>
        <v>70001</v>
      </c>
      <c r="C535" s="1">
        <f ca="1">功能掉落明细!AC533</f>
        <v>24</v>
      </c>
      <c r="D535" s="1">
        <f ca="1">功能掉落明细!AD533</f>
        <v>10000</v>
      </c>
    </row>
    <row r="536" spans="1:4" x14ac:dyDescent="0.25">
      <c r="A536" s="1">
        <f>功能掉落明细!AA534</f>
        <v>532</v>
      </c>
      <c r="B536" s="1">
        <f ca="1">功能掉落明细!AB534</f>
        <v>70002</v>
      </c>
      <c r="C536" s="1">
        <f ca="1">功能掉落明细!AC534</f>
        <v>25</v>
      </c>
      <c r="D536" s="1">
        <f ca="1">功能掉落明细!AD534</f>
        <v>10000</v>
      </c>
    </row>
    <row r="537" spans="1:4" x14ac:dyDescent="0.25">
      <c r="A537" s="1">
        <f>功能掉落明细!AA535</f>
        <v>533</v>
      </c>
      <c r="B537" s="1">
        <f ca="1">功能掉落明细!AB535</f>
        <v>70003</v>
      </c>
      <c r="C537" s="1">
        <f ca="1">功能掉落明细!AC535</f>
        <v>26</v>
      </c>
      <c r="D537" s="1">
        <f ca="1">功能掉落明细!AD535</f>
        <v>10000</v>
      </c>
    </row>
    <row r="538" spans="1:4" x14ac:dyDescent="0.25">
      <c r="A538" s="1">
        <f>功能掉落明细!AA536</f>
        <v>534</v>
      </c>
      <c r="B538" s="1">
        <f ca="1">功能掉落明细!AB536</f>
        <v>70004</v>
      </c>
      <c r="C538" s="1">
        <f ca="1">功能掉落明细!AC536</f>
        <v>27</v>
      </c>
      <c r="D538" s="1">
        <f ca="1">功能掉落明细!AD536</f>
        <v>10000</v>
      </c>
    </row>
    <row r="539" spans="1:4" x14ac:dyDescent="0.25">
      <c r="A539" s="1">
        <f>功能掉落明细!AA537</f>
        <v>535</v>
      </c>
      <c r="B539" s="1">
        <f ca="1">功能掉落明细!AB537</f>
        <v>70005</v>
      </c>
      <c r="C539" s="1">
        <f ca="1">功能掉落明细!AC537</f>
        <v>28</v>
      </c>
      <c r="D539" s="1">
        <f ca="1">功能掉落明细!AD537</f>
        <v>10000</v>
      </c>
    </row>
    <row r="540" spans="1:4" x14ac:dyDescent="0.25">
      <c r="A540" s="1">
        <f>功能掉落明细!AA538</f>
        <v>536</v>
      </c>
      <c r="B540" s="1">
        <f ca="1">功能掉落明细!AB538</f>
        <v>70006</v>
      </c>
      <c r="C540" s="1">
        <f ca="1">功能掉落明细!AC538</f>
        <v>29</v>
      </c>
      <c r="D540" s="1">
        <f ca="1">功能掉落明细!AD538</f>
        <v>10000</v>
      </c>
    </row>
    <row r="541" spans="1:4" x14ac:dyDescent="0.25">
      <c r="A541" s="1">
        <f>功能掉落明细!AA539</f>
        <v>537</v>
      </c>
      <c r="B541" s="1">
        <f ca="1">功能掉落明细!AB539</f>
        <v>70007</v>
      </c>
      <c r="C541" s="1">
        <f ca="1">功能掉落明细!AC539</f>
        <v>30</v>
      </c>
      <c r="D541" s="1">
        <f ca="1">功能掉落明细!AD539</f>
        <v>10000</v>
      </c>
    </row>
    <row r="542" spans="1:4" x14ac:dyDescent="0.25">
      <c r="A542" s="1">
        <f>功能掉落明细!AA540</f>
        <v>538</v>
      </c>
      <c r="B542" s="1">
        <f ca="1">功能掉落明细!AB540</f>
        <v>10001</v>
      </c>
      <c r="C542" s="1">
        <f ca="1">功能掉落明细!AC540</f>
        <v>31</v>
      </c>
      <c r="D542" s="1">
        <f ca="1">功能掉落明细!AD540</f>
        <v>10000</v>
      </c>
    </row>
    <row r="543" spans="1:4" x14ac:dyDescent="0.25">
      <c r="A543" s="1">
        <f>功能掉落明细!AA541</f>
        <v>539</v>
      </c>
      <c r="B543" s="1">
        <f ca="1">功能掉落明细!AB541</f>
        <v>80001</v>
      </c>
      <c r="C543" s="1">
        <f ca="1">功能掉落明细!AC541</f>
        <v>54</v>
      </c>
      <c r="D543" s="1">
        <f ca="1">功能掉落明细!AD541</f>
        <v>10000</v>
      </c>
    </row>
    <row r="544" spans="1:4" x14ac:dyDescent="0.25">
      <c r="A544" s="1">
        <f>功能掉落明细!AA542</f>
        <v>540</v>
      </c>
      <c r="B544" s="1">
        <f ca="1">功能掉落明细!AB542</f>
        <v>80001</v>
      </c>
      <c r="C544" s="1">
        <f ca="1">功能掉落明细!AC542</f>
        <v>55</v>
      </c>
      <c r="D544" s="1">
        <f ca="1">功能掉落明细!AD542</f>
        <v>10000</v>
      </c>
    </row>
    <row r="545" spans="1:4" x14ac:dyDescent="0.25">
      <c r="A545" s="1">
        <f>功能掉落明细!AA543</f>
        <v>541</v>
      </c>
      <c r="B545" s="1">
        <f ca="1">功能掉落明细!AB543</f>
        <v>80002</v>
      </c>
      <c r="C545" s="1">
        <f ca="1">功能掉落明细!AC543</f>
        <v>54</v>
      </c>
      <c r="D545" s="1">
        <f ca="1">功能掉落明细!AD543</f>
        <v>10000</v>
      </c>
    </row>
    <row r="546" spans="1:4" x14ac:dyDescent="0.25">
      <c r="A546" s="1">
        <f>功能掉落明细!AA544</f>
        <v>542</v>
      </c>
      <c r="B546" s="1">
        <f ca="1">功能掉落明细!AB544</f>
        <v>80002</v>
      </c>
      <c r="C546" s="1">
        <f ca="1">功能掉落明细!AC544</f>
        <v>56</v>
      </c>
      <c r="D546" s="1">
        <f ca="1">功能掉落明细!AD544</f>
        <v>10000</v>
      </c>
    </row>
    <row r="547" spans="1:4" x14ac:dyDescent="0.25">
      <c r="A547" s="1">
        <f>功能掉落明细!AA545</f>
        <v>543</v>
      </c>
      <c r="B547" s="1">
        <f ca="1">功能掉落明细!AB545</f>
        <v>80003</v>
      </c>
      <c r="C547" s="1">
        <f ca="1">功能掉落明细!AC545</f>
        <v>54</v>
      </c>
      <c r="D547" s="1">
        <f ca="1">功能掉落明细!AD545</f>
        <v>10000</v>
      </c>
    </row>
    <row r="548" spans="1:4" x14ac:dyDescent="0.25">
      <c r="A548" s="1">
        <f>功能掉落明细!AA546</f>
        <v>544</v>
      </c>
      <c r="B548" s="1">
        <f ca="1">功能掉落明细!AB546</f>
        <v>80003</v>
      </c>
      <c r="C548" s="1">
        <f ca="1">功能掉落明细!AC546</f>
        <v>57</v>
      </c>
      <c r="D548" s="1">
        <f ca="1">功能掉落明细!AD546</f>
        <v>10000</v>
      </c>
    </row>
    <row r="549" spans="1:4" x14ac:dyDescent="0.25">
      <c r="A549" s="1">
        <f>功能掉落明细!AA547</f>
        <v>545</v>
      </c>
      <c r="B549" s="1">
        <f ca="1">功能掉落明细!AB547</f>
        <v>80004</v>
      </c>
      <c r="C549" s="1">
        <f ca="1">功能掉落明细!AC547</f>
        <v>54</v>
      </c>
      <c r="D549" s="1">
        <f ca="1">功能掉落明细!AD547</f>
        <v>10000</v>
      </c>
    </row>
    <row r="550" spans="1:4" x14ac:dyDescent="0.25">
      <c r="A550" s="1">
        <f>功能掉落明细!AA548</f>
        <v>546</v>
      </c>
      <c r="B550" s="1">
        <f ca="1">功能掉落明细!AB548</f>
        <v>80004</v>
      </c>
      <c r="C550" s="1">
        <f ca="1">功能掉落明细!AC548</f>
        <v>58</v>
      </c>
      <c r="D550" s="1">
        <f ca="1">功能掉落明细!AD548</f>
        <v>10000</v>
      </c>
    </row>
    <row r="551" spans="1:4" x14ac:dyDescent="0.25">
      <c r="A551" s="1">
        <f>功能掉落明细!AA549</f>
        <v>547</v>
      </c>
      <c r="B551" s="1">
        <f ca="1">功能掉落明细!AB549</f>
        <v>80005</v>
      </c>
      <c r="C551" s="1">
        <f ca="1">功能掉落明细!AC549</f>
        <v>54</v>
      </c>
      <c r="D551" s="1">
        <f ca="1">功能掉落明细!AD549</f>
        <v>10000</v>
      </c>
    </row>
    <row r="552" spans="1:4" x14ac:dyDescent="0.25">
      <c r="A552" s="1">
        <f>功能掉落明细!AA550</f>
        <v>548</v>
      </c>
      <c r="B552" s="1">
        <f ca="1">功能掉落明细!AB550</f>
        <v>80005</v>
      </c>
      <c r="C552" s="1">
        <f ca="1">功能掉落明细!AC550</f>
        <v>59</v>
      </c>
      <c r="D552" s="1">
        <f ca="1">功能掉落明细!AD550</f>
        <v>10000</v>
      </c>
    </row>
    <row r="553" spans="1:4" x14ac:dyDescent="0.25">
      <c r="A553" s="1">
        <f>功能掉落明细!AA551</f>
        <v>549</v>
      </c>
      <c r="B553" s="1">
        <f ca="1">功能掉落明细!AB551</f>
        <v>80006</v>
      </c>
      <c r="C553" s="1">
        <f ca="1">功能掉落明细!AC551</f>
        <v>54</v>
      </c>
      <c r="D553" s="1">
        <f ca="1">功能掉落明细!AD551</f>
        <v>10000</v>
      </c>
    </row>
    <row r="554" spans="1:4" x14ac:dyDescent="0.25">
      <c r="A554" s="1">
        <f>功能掉落明细!AA552</f>
        <v>550</v>
      </c>
      <c r="B554" s="1">
        <f ca="1">功能掉落明细!AB552</f>
        <v>80006</v>
      </c>
      <c r="C554" s="1">
        <f ca="1">功能掉落明细!AC552</f>
        <v>60</v>
      </c>
      <c r="D554" s="1">
        <f ca="1">功能掉落明细!AD552</f>
        <v>10000</v>
      </c>
    </row>
    <row r="555" spans="1:4" x14ac:dyDescent="0.25">
      <c r="A555" s="1">
        <f>功能掉落明细!AA553</f>
        <v>551</v>
      </c>
      <c r="B555" s="1">
        <f ca="1">功能掉落明细!AB553</f>
        <v>60001</v>
      </c>
      <c r="C555" s="1">
        <f ca="1">功能掉落明细!AC553</f>
        <v>32</v>
      </c>
      <c r="D555" s="1">
        <f ca="1">功能掉落明细!AD553</f>
        <v>10000</v>
      </c>
    </row>
    <row r="556" spans="1:4" x14ac:dyDescent="0.25">
      <c r="A556" s="1">
        <f>功能掉落明细!AA554</f>
        <v>552</v>
      </c>
      <c r="B556" s="1">
        <f ca="1">功能掉落明细!AB554</f>
        <v>60001</v>
      </c>
      <c r="C556" s="1">
        <f ca="1">功能掉落明细!AC554</f>
        <v>33</v>
      </c>
      <c r="D556" s="1">
        <f ca="1">功能掉落明细!AD554</f>
        <v>9000</v>
      </c>
    </row>
    <row r="557" spans="1:4" x14ac:dyDescent="0.25">
      <c r="A557" s="1">
        <f>功能掉落明细!AA555</f>
        <v>553</v>
      </c>
      <c r="B557" s="1">
        <f ca="1">功能掉落明细!AB555</f>
        <v>60001</v>
      </c>
      <c r="C557" s="1">
        <f ca="1">功能掉落明细!AC555</f>
        <v>34</v>
      </c>
      <c r="D557" s="1">
        <f ca="1">功能掉落明细!AD555</f>
        <v>9000</v>
      </c>
    </row>
    <row r="558" spans="1:4" x14ac:dyDescent="0.25">
      <c r="A558" s="1">
        <f>功能掉落明细!AA556</f>
        <v>554</v>
      </c>
      <c r="B558" s="1">
        <f ca="1">功能掉落明细!AB556</f>
        <v>60001</v>
      </c>
      <c r="C558" s="1">
        <f ca="1">功能掉落明细!AC556</f>
        <v>35</v>
      </c>
      <c r="D558" s="1">
        <f ca="1">功能掉落明细!AD556</f>
        <v>9000</v>
      </c>
    </row>
    <row r="559" spans="1:4" x14ac:dyDescent="0.25">
      <c r="A559" s="1">
        <f>功能掉落明细!AA557</f>
        <v>555</v>
      </c>
      <c r="B559" s="1">
        <f ca="1">功能掉落明细!AB557</f>
        <v>60002</v>
      </c>
      <c r="C559" s="1">
        <f ca="1">功能掉落明细!AC557</f>
        <v>32</v>
      </c>
      <c r="D559" s="1">
        <f ca="1">功能掉落明细!AD557</f>
        <v>10000</v>
      </c>
    </row>
    <row r="560" spans="1:4" x14ac:dyDescent="0.25">
      <c r="A560" s="1">
        <f>功能掉落明细!AA558</f>
        <v>556</v>
      </c>
      <c r="B560" s="1">
        <f ca="1">功能掉落明细!AB558</f>
        <v>60002</v>
      </c>
      <c r="C560" s="1">
        <f ca="1">功能掉落明细!AC558</f>
        <v>36</v>
      </c>
      <c r="D560" s="1">
        <f ca="1">功能掉落明细!AD558</f>
        <v>8000</v>
      </c>
    </row>
    <row r="561" spans="1:4" x14ac:dyDescent="0.25">
      <c r="A561" s="1">
        <f>功能掉落明细!AA559</f>
        <v>557</v>
      </c>
      <c r="B561" s="1">
        <f ca="1">功能掉落明细!AB559</f>
        <v>60002</v>
      </c>
      <c r="C561" s="1">
        <f ca="1">功能掉落明细!AC559</f>
        <v>37</v>
      </c>
      <c r="D561" s="1">
        <f ca="1">功能掉落明细!AD559</f>
        <v>8000</v>
      </c>
    </row>
    <row r="562" spans="1:4" x14ac:dyDescent="0.25">
      <c r="A562" s="1">
        <f>功能掉落明细!AA560</f>
        <v>558</v>
      </c>
      <c r="B562" s="1">
        <f ca="1">功能掉落明细!AB560</f>
        <v>60002</v>
      </c>
      <c r="C562" s="1">
        <f ca="1">功能掉落明细!AC560</f>
        <v>38</v>
      </c>
      <c r="D562" s="1">
        <f ca="1">功能掉落明细!AD560</f>
        <v>8000</v>
      </c>
    </row>
    <row r="563" spans="1:4" x14ac:dyDescent="0.25">
      <c r="A563" s="1">
        <f>功能掉落明细!AA561</f>
        <v>559</v>
      </c>
      <c r="B563" s="1">
        <f ca="1">功能掉落明细!AB561</f>
        <v>60003</v>
      </c>
      <c r="C563" s="1">
        <f ca="1">功能掉落明细!AC561</f>
        <v>32</v>
      </c>
      <c r="D563" s="1">
        <f ca="1">功能掉落明细!AD561</f>
        <v>10000</v>
      </c>
    </row>
    <row r="564" spans="1:4" x14ac:dyDescent="0.25">
      <c r="A564" s="1">
        <f>功能掉落明细!AA562</f>
        <v>560</v>
      </c>
      <c r="B564" s="1">
        <f ca="1">功能掉落明细!AB562</f>
        <v>60003</v>
      </c>
      <c r="C564" s="1">
        <f ca="1">功能掉落明细!AC562</f>
        <v>39</v>
      </c>
      <c r="D564" s="1">
        <f ca="1">功能掉落明细!AD562</f>
        <v>7000</v>
      </c>
    </row>
    <row r="565" spans="1:4" x14ac:dyDescent="0.25">
      <c r="A565" s="1">
        <f>功能掉落明细!AA563</f>
        <v>561</v>
      </c>
      <c r="B565" s="1">
        <f ca="1">功能掉落明细!AB563</f>
        <v>60003</v>
      </c>
      <c r="C565" s="1">
        <f ca="1">功能掉落明细!AC563</f>
        <v>40</v>
      </c>
      <c r="D565" s="1">
        <f ca="1">功能掉落明细!AD563</f>
        <v>7000</v>
      </c>
    </row>
    <row r="566" spans="1:4" x14ac:dyDescent="0.25">
      <c r="A566" s="1">
        <f>功能掉落明细!AA564</f>
        <v>562</v>
      </c>
      <c r="B566" s="1">
        <f ca="1">功能掉落明细!AB564</f>
        <v>60003</v>
      </c>
      <c r="C566" s="1">
        <f ca="1">功能掉落明细!AC564</f>
        <v>41</v>
      </c>
      <c r="D566" s="1">
        <f ca="1">功能掉落明细!AD564</f>
        <v>7000</v>
      </c>
    </row>
    <row r="567" spans="1:4" x14ac:dyDescent="0.25">
      <c r="A567" s="1">
        <f>功能掉落明细!AA565</f>
        <v>563</v>
      </c>
      <c r="B567" s="1">
        <f ca="1">功能掉落明细!AB565</f>
        <v>60004</v>
      </c>
      <c r="C567" s="1">
        <f ca="1">功能掉落明细!AC565</f>
        <v>32</v>
      </c>
      <c r="D567" s="1">
        <f ca="1">功能掉落明细!AD565</f>
        <v>10000</v>
      </c>
    </row>
    <row r="568" spans="1:4" x14ac:dyDescent="0.25">
      <c r="A568" s="1">
        <f>功能掉落明细!AA566</f>
        <v>564</v>
      </c>
      <c r="B568" s="1">
        <f ca="1">功能掉落明细!AB566</f>
        <v>60004</v>
      </c>
      <c r="C568" s="1">
        <f ca="1">功能掉落明细!AC566</f>
        <v>42</v>
      </c>
      <c r="D568" s="1">
        <f ca="1">功能掉落明细!AD566</f>
        <v>6000</v>
      </c>
    </row>
    <row r="569" spans="1:4" x14ac:dyDescent="0.25">
      <c r="A569" s="1">
        <f>功能掉落明细!AA567</f>
        <v>565</v>
      </c>
      <c r="B569" s="1">
        <f ca="1">功能掉落明细!AB567</f>
        <v>60004</v>
      </c>
      <c r="C569" s="1">
        <f ca="1">功能掉落明细!AC567</f>
        <v>43</v>
      </c>
      <c r="D569" s="1">
        <f ca="1">功能掉落明细!AD567</f>
        <v>6000</v>
      </c>
    </row>
    <row r="570" spans="1:4" x14ac:dyDescent="0.25">
      <c r="A570" s="1">
        <f>功能掉落明细!AA568</f>
        <v>566</v>
      </c>
      <c r="B570" s="1">
        <f ca="1">功能掉落明细!AB568</f>
        <v>60004</v>
      </c>
      <c r="C570" s="1">
        <f ca="1">功能掉落明细!AC568</f>
        <v>44</v>
      </c>
      <c r="D570" s="1">
        <f ca="1">功能掉落明细!AD568</f>
        <v>6000</v>
      </c>
    </row>
    <row r="571" spans="1:4" x14ac:dyDescent="0.25">
      <c r="A571" s="1">
        <f>功能掉落明细!AA569</f>
        <v>567</v>
      </c>
      <c r="B571" s="1">
        <f ca="1">功能掉落明细!AB569</f>
        <v>60005</v>
      </c>
      <c r="C571" s="1">
        <f ca="1">功能掉落明细!AC569</f>
        <v>32</v>
      </c>
      <c r="D571" s="1">
        <f ca="1">功能掉落明细!AD569</f>
        <v>10000</v>
      </c>
    </row>
    <row r="572" spans="1:4" x14ac:dyDescent="0.25">
      <c r="A572" s="1">
        <f>功能掉落明细!AA570</f>
        <v>568</v>
      </c>
      <c r="B572" s="1">
        <f ca="1">功能掉落明细!AB570</f>
        <v>60005</v>
      </c>
      <c r="C572" s="1">
        <f ca="1">功能掉落明细!AC570</f>
        <v>45</v>
      </c>
      <c r="D572" s="1">
        <f ca="1">功能掉落明细!AD570</f>
        <v>5000</v>
      </c>
    </row>
    <row r="573" spans="1:4" x14ac:dyDescent="0.25">
      <c r="A573" s="1">
        <f>功能掉落明细!AA571</f>
        <v>569</v>
      </c>
      <c r="B573" s="1">
        <f ca="1">功能掉落明细!AB571</f>
        <v>60005</v>
      </c>
      <c r="C573" s="1">
        <f ca="1">功能掉落明细!AC571</f>
        <v>46</v>
      </c>
      <c r="D573" s="1">
        <f ca="1">功能掉落明细!AD571</f>
        <v>5000</v>
      </c>
    </row>
    <row r="574" spans="1:4" x14ac:dyDescent="0.25">
      <c r="A574" s="1">
        <f>功能掉落明细!AA572</f>
        <v>570</v>
      </c>
      <c r="B574" s="1">
        <f ca="1">功能掉落明细!AB572</f>
        <v>60005</v>
      </c>
      <c r="C574" s="1">
        <f ca="1">功能掉落明细!AC572</f>
        <v>47</v>
      </c>
      <c r="D574" s="1">
        <f ca="1">功能掉落明细!AD572</f>
        <v>5000</v>
      </c>
    </row>
    <row r="575" spans="1:4" x14ac:dyDescent="0.25">
      <c r="A575" s="1">
        <f>功能掉落明细!AA573</f>
        <v>571</v>
      </c>
      <c r="B575" s="1">
        <f ca="1">功能掉落明细!AB573</f>
        <v>60006</v>
      </c>
      <c r="C575" s="1">
        <f ca="1">功能掉落明细!AC573</f>
        <v>32</v>
      </c>
      <c r="D575" s="1">
        <f ca="1">功能掉落明细!AD573</f>
        <v>10000</v>
      </c>
    </row>
    <row r="576" spans="1:4" x14ac:dyDescent="0.25">
      <c r="A576" s="1">
        <f>功能掉落明细!AA574</f>
        <v>572</v>
      </c>
      <c r="B576" s="1">
        <f ca="1">功能掉落明细!AB574</f>
        <v>60006</v>
      </c>
      <c r="C576" s="1">
        <f ca="1">功能掉落明细!AC574</f>
        <v>48</v>
      </c>
      <c r="D576" s="1">
        <f ca="1">功能掉落明细!AD574</f>
        <v>4500</v>
      </c>
    </row>
    <row r="577" spans="1:4" x14ac:dyDescent="0.25">
      <c r="A577" s="1">
        <f>功能掉落明细!AA575</f>
        <v>573</v>
      </c>
      <c r="B577" s="1">
        <f ca="1">功能掉落明细!AB575</f>
        <v>60006</v>
      </c>
      <c r="C577" s="1">
        <f ca="1">功能掉落明细!AC575</f>
        <v>49</v>
      </c>
      <c r="D577" s="1">
        <f ca="1">功能掉落明细!AD575</f>
        <v>4500</v>
      </c>
    </row>
    <row r="578" spans="1:4" x14ac:dyDescent="0.25">
      <c r="A578" s="1">
        <f>功能掉落明细!AA576</f>
        <v>574</v>
      </c>
      <c r="B578" s="1">
        <f ca="1">功能掉落明细!AB576</f>
        <v>60006</v>
      </c>
      <c r="C578" s="1">
        <f ca="1">功能掉落明细!AC576</f>
        <v>50</v>
      </c>
      <c r="D578" s="1">
        <f ca="1">功能掉落明细!AD576</f>
        <v>4500</v>
      </c>
    </row>
    <row r="579" spans="1:4" x14ac:dyDescent="0.25">
      <c r="A579" s="1">
        <f>功能掉落明细!AA577</f>
        <v>575</v>
      </c>
      <c r="B579" s="1">
        <f ca="1">功能掉落明细!AB577</f>
        <v>60007</v>
      </c>
      <c r="C579" s="1">
        <f ca="1">功能掉落明细!AC577</f>
        <v>32</v>
      </c>
      <c r="D579" s="1">
        <f ca="1">功能掉落明细!AD577</f>
        <v>10000</v>
      </c>
    </row>
    <row r="580" spans="1:4" x14ac:dyDescent="0.25">
      <c r="A580" s="1">
        <f>功能掉落明细!AA578</f>
        <v>576</v>
      </c>
      <c r="B580" s="1">
        <f ca="1">功能掉落明细!AB578</f>
        <v>60007</v>
      </c>
      <c r="C580" s="1">
        <f ca="1">功能掉落明细!AC578</f>
        <v>51</v>
      </c>
      <c r="D580" s="1">
        <f ca="1">功能掉落明细!AD578</f>
        <v>4000</v>
      </c>
    </row>
    <row r="581" spans="1:4" x14ac:dyDescent="0.25">
      <c r="A581" s="1">
        <f>功能掉落明细!AA579</f>
        <v>577</v>
      </c>
      <c r="B581" s="1">
        <f ca="1">功能掉落明细!AB579</f>
        <v>60007</v>
      </c>
      <c r="C581" s="1">
        <f ca="1">功能掉落明细!AC579</f>
        <v>52</v>
      </c>
      <c r="D581" s="1">
        <f ca="1">功能掉落明细!AD579</f>
        <v>4000</v>
      </c>
    </row>
    <row r="582" spans="1:4" x14ac:dyDescent="0.25">
      <c r="A582" s="1">
        <f>功能掉落明细!AA580</f>
        <v>578</v>
      </c>
      <c r="B582" s="1">
        <f ca="1">功能掉落明细!AB580</f>
        <v>60007</v>
      </c>
      <c r="C582" s="1">
        <f ca="1">功能掉落明细!AC580</f>
        <v>53</v>
      </c>
      <c r="D582" s="1">
        <f ca="1">功能掉落明细!AD580</f>
        <v>4000</v>
      </c>
    </row>
    <row r="583" spans="1:4" x14ac:dyDescent="0.25">
      <c r="A583" s="1">
        <f>功能掉落明细!AA581</f>
        <v>579</v>
      </c>
      <c r="B583" s="1">
        <f ca="1">功能掉落明细!AB581</f>
        <v>90001</v>
      </c>
      <c r="C583" s="1">
        <f ca="1">功能掉落明细!AC581</f>
        <v>61</v>
      </c>
      <c r="D583" s="1">
        <f ca="1">功能掉落明细!AD581</f>
        <v>10000</v>
      </c>
    </row>
    <row r="584" spans="1:4" x14ac:dyDescent="0.25">
      <c r="A584" s="1">
        <f>功能掉落明细!AA582</f>
        <v>580</v>
      </c>
      <c r="B584" s="1">
        <f ca="1">功能掉落明细!AB582</f>
        <v>90002</v>
      </c>
      <c r="C584" s="1">
        <f ca="1">功能掉落明细!AC582</f>
        <v>62</v>
      </c>
      <c r="D584" s="1">
        <f ca="1">功能掉落明细!AD582</f>
        <v>10000</v>
      </c>
    </row>
    <row r="585" spans="1:4" x14ac:dyDescent="0.25">
      <c r="A585" s="1">
        <f>功能掉落明细!AA583</f>
        <v>581</v>
      </c>
      <c r="B585" s="1">
        <f ca="1">功能掉落明细!AB583</f>
        <v>90003</v>
      </c>
      <c r="C585" s="1">
        <f ca="1">功能掉落明细!AC583</f>
        <v>63</v>
      </c>
      <c r="D585" s="1">
        <f ca="1">功能掉落明细!AD583</f>
        <v>10000</v>
      </c>
    </row>
    <row r="586" spans="1:4" x14ac:dyDescent="0.25">
      <c r="A586" s="1">
        <f>功能掉落明细!AA584</f>
        <v>582</v>
      </c>
      <c r="B586" s="1">
        <f ca="1">功能掉落明细!AB584</f>
        <v>90004</v>
      </c>
      <c r="C586" s="1">
        <f ca="1">功能掉落明细!AC584</f>
        <v>64</v>
      </c>
      <c r="D586" s="1">
        <f ca="1">功能掉落明细!AD584</f>
        <v>10000</v>
      </c>
    </row>
    <row r="587" spans="1:4" x14ac:dyDescent="0.25">
      <c r="A587" s="1">
        <f>功能掉落明细!AA585</f>
        <v>583</v>
      </c>
      <c r="B587" s="1">
        <f ca="1">功能掉落明细!AB585</f>
        <v>90005</v>
      </c>
      <c r="C587" s="1">
        <f ca="1">功能掉落明细!AC585</f>
        <v>65</v>
      </c>
      <c r="D587" s="1">
        <f ca="1">功能掉落明细!AD585</f>
        <v>10000</v>
      </c>
    </row>
    <row r="588" spans="1:4" x14ac:dyDescent="0.25">
      <c r="A588" s="1">
        <f>功能掉落明细!AA586</f>
        <v>584</v>
      </c>
      <c r="B588" s="1">
        <f ca="1">功能掉落明细!AB586</f>
        <v>90006</v>
      </c>
      <c r="C588" s="1">
        <f ca="1">功能掉落明细!AC586</f>
        <v>66</v>
      </c>
      <c r="D588" s="1">
        <f ca="1">功能掉落明细!AD586</f>
        <v>10000</v>
      </c>
    </row>
    <row r="589" spans="1:4" x14ac:dyDescent="0.25">
      <c r="A589" s="1">
        <f>功能掉落明细!AA587</f>
        <v>585</v>
      </c>
      <c r="B589" s="1">
        <f ca="1">功能掉落明细!AB587</f>
        <v>90007</v>
      </c>
      <c r="C589" s="1">
        <f ca="1">功能掉落明细!AC587</f>
        <v>67</v>
      </c>
      <c r="D589" s="1">
        <f ca="1">功能掉落明细!AD587</f>
        <v>10000</v>
      </c>
    </row>
    <row r="590" spans="1:4" x14ac:dyDescent="0.25">
      <c r="A590" s="1">
        <f>功能掉落明细!AA588</f>
        <v>586</v>
      </c>
      <c r="B590" s="1">
        <f ca="1">功能掉落明细!AB588</f>
        <v>90008</v>
      </c>
      <c r="C590" s="1">
        <f ca="1">功能掉落明细!AC588</f>
        <v>68</v>
      </c>
      <c r="D590" s="1">
        <f ca="1">功能掉落明细!AD588</f>
        <v>10000</v>
      </c>
    </row>
    <row r="591" spans="1:4" x14ac:dyDescent="0.25">
      <c r="A591" s="1">
        <f>功能掉落明细!AA589</f>
        <v>587</v>
      </c>
      <c r="B591" s="1">
        <f ca="1">功能掉落明细!AB589</f>
        <v>90009</v>
      </c>
      <c r="C591" s="1">
        <f ca="1">功能掉落明细!AC589</f>
        <v>69</v>
      </c>
      <c r="D591" s="1">
        <f ca="1">功能掉落明细!AD589</f>
        <v>10000</v>
      </c>
    </row>
    <row r="592" spans="1:4" x14ac:dyDescent="0.25">
      <c r="A592" s="1">
        <f>功能掉落明细!AA590</f>
        <v>588</v>
      </c>
      <c r="B592" s="1">
        <f ca="1">功能掉落明细!AB590</f>
        <v>90010</v>
      </c>
      <c r="C592" s="1">
        <f ca="1">功能掉落明细!AC590</f>
        <v>70</v>
      </c>
      <c r="D592" s="1">
        <f ca="1">功能掉落明细!AD590</f>
        <v>10000</v>
      </c>
    </row>
    <row r="593" spans="1:4" x14ac:dyDescent="0.25">
      <c r="A593" s="1">
        <f>功能掉落明细!AA591</f>
        <v>589</v>
      </c>
      <c r="B593" s="1">
        <f ca="1">功能掉落明细!AB591</f>
        <v>90011</v>
      </c>
      <c r="C593" s="1">
        <f ca="1">功能掉落明细!AC591</f>
        <v>71</v>
      </c>
      <c r="D593" s="1">
        <f ca="1">功能掉落明细!AD591</f>
        <v>10000</v>
      </c>
    </row>
    <row r="594" spans="1:4" x14ac:dyDescent="0.25">
      <c r="A594" s="1">
        <f>功能掉落明细!AA592</f>
        <v>590</v>
      </c>
      <c r="B594" s="1">
        <f ca="1">功能掉落明细!AB592</f>
        <v>90012</v>
      </c>
      <c r="C594" s="1">
        <f ca="1">功能掉落明细!AC592</f>
        <v>84</v>
      </c>
      <c r="D594" s="1">
        <f ca="1">功能掉落明细!AD592</f>
        <v>10000</v>
      </c>
    </row>
    <row r="595" spans="1:4" x14ac:dyDescent="0.25">
      <c r="A595" s="1">
        <f>功能掉落明细!AA593</f>
        <v>591</v>
      </c>
      <c r="B595" s="1">
        <f ca="1">功能掉落明细!AB593</f>
        <v>100001</v>
      </c>
      <c r="C595" s="1">
        <f ca="1">功能掉落明细!AC593</f>
        <v>61</v>
      </c>
      <c r="D595" s="1">
        <f ca="1">功能掉落明细!AD593</f>
        <v>10000</v>
      </c>
    </row>
    <row r="596" spans="1:4" x14ac:dyDescent="0.25">
      <c r="A596" s="1">
        <f>功能掉落明细!AA594</f>
        <v>592</v>
      </c>
      <c r="B596" s="1">
        <f ca="1">功能掉落明细!AB594</f>
        <v>100002</v>
      </c>
      <c r="C596" s="1">
        <f ca="1">功能掉落明细!AC594</f>
        <v>62</v>
      </c>
      <c r="D596" s="1">
        <f ca="1">功能掉落明细!AD594</f>
        <v>10000</v>
      </c>
    </row>
    <row r="597" spans="1:4" x14ac:dyDescent="0.25">
      <c r="A597" s="1">
        <f>功能掉落明细!AA595</f>
        <v>593</v>
      </c>
      <c r="B597" s="1">
        <f ca="1">功能掉落明细!AB595</f>
        <v>100003</v>
      </c>
      <c r="C597" s="1">
        <f ca="1">功能掉落明细!AC595</f>
        <v>63</v>
      </c>
      <c r="D597" s="1">
        <f ca="1">功能掉落明细!AD595</f>
        <v>10000</v>
      </c>
    </row>
    <row r="598" spans="1:4" x14ac:dyDescent="0.25">
      <c r="A598" s="1">
        <f>功能掉落明细!AA596</f>
        <v>594</v>
      </c>
      <c r="B598" s="1">
        <f ca="1">功能掉落明细!AB596</f>
        <v>100004</v>
      </c>
      <c r="C598" s="1">
        <f ca="1">功能掉落明细!AC596</f>
        <v>64</v>
      </c>
      <c r="D598" s="1">
        <f ca="1">功能掉落明细!AD596</f>
        <v>10000</v>
      </c>
    </row>
    <row r="599" spans="1:4" x14ac:dyDescent="0.25">
      <c r="A599" s="1">
        <f>功能掉落明细!AA597</f>
        <v>595</v>
      </c>
      <c r="B599" s="1">
        <f ca="1">功能掉落明细!AB597</f>
        <v>100005</v>
      </c>
      <c r="C599" s="1">
        <f ca="1">功能掉落明细!AC597</f>
        <v>65</v>
      </c>
      <c r="D599" s="1">
        <f ca="1">功能掉落明细!AD597</f>
        <v>10000</v>
      </c>
    </row>
    <row r="600" spans="1:4" x14ac:dyDescent="0.25">
      <c r="A600" s="1">
        <f>功能掉落明细!AA598</f>
        <v>596</v>
      </c>
      <c r="B600" s="1">
        <f ca="1">功能掉落明细!AB598</f>
        <v>100006</v>
      </c>
      <c r="C600" s="1">
        <f ca="1">功能掉落明细!AC598</f>
        <v>66</v>
      </c>
      <c r="D600" s="1">
        <f ca="1">功能掉落明细!AD598</f>
        <v>10000</v>
      </c>
    </row>
    <row r="601" spans="1:4" x14ac:dyDescent="0.25">
      <c r="A601" s="1">
        <f>功能掉落明细!AA599</f>
        <v>597</v>
      </c>
      <c r="B601" s="1">
        <f ca="1">功能掉落明细!AB599</f>
        <v>100007</v>
      </c>
      <c r="C601" s="1">
        <f ca="1">功能掉落明细!AC599</f>
        <v>67</v>
      </c>
      <c r="D601" s="1">
        <f ca="1">功能掉落明细!AD599</f>
        <v>10000</v>
      </c>
    </row>
    <row r="602" spans="1:4" x14ac:dyDescent="0.25">
      <c r="A602" s="1">
        <f>功能掉落明细!AA600</f>
        <v>598</v>
      </c>
      <c r="B602" s="1">
        <f ca="1">功能掉落明细!AB600</f>
        <v>100008</v>
      </c>
      <c r="C602" s="1">
        <f ca="1">功能掉落明细!AC600</f>
        <v>68</v>
      </c>
      <c r="D602" s="1">
        <f ca="1">功能掉落明细!AD600</f>
        <v>10000</v>
      </c>
    </row>
    <row r="603" spans="1:4" x14ac:dyDescent="0.25">
      <c r="A603" s="1">
        <f>功能掉落明细!AA601</f>
        <v>599</v>
      </c>
      <c r="B603" s="1">
        <f ca="1">功能掉落明细!AB601</f>
        <v>100009</v>
      </c>
      <c r="C603" s="1">
        <f ca="1">功能掉落明细!AC601</f>
        <v>69</v>
      </c>
      <c r="D603" s="1">
        <f ca="1">功能掉落明细!AD601</f>
        <v>10000</v>
      </c>
    </row>
    <row r="604" spans="1:4" x14ac:dyDescent="0.25">
      <c r="A604" s="1">
        <f>功能掉落明细!AA602</f>
        <v>600</v>
      </c>
      <c r="B604" s="1">
        <f ca="1">功能掉落明细!AB602</f>
        <v>100010</v>
      </c>
      <c r="C604" s="1">
        <f ca="1">功能掉落明细!AC602</f>
        <v>70</v>
      </c>
      <c r="D604" s="1">
        <f ca="1">功能掉落明细!AD602</f>
        <v>10000</v>
      </c>
    </row>
    <row r="605" spans="1:4" x14ac:dyDescent="0.25">
      <c r="A605" s="1">
        <f>功能掉落明细!AA603</f>
        <v>601</v>
      </c>
      <c r="B605" s="1">
        <f ca="1">功能掉落明细!AB603</f>
        <v>100011</v>
      </c>
      <c r="C605" s="1">
        <f ca="1">功能掉落明细!AC603</f>
        <v>71</v>
      </c>
      <c r="D605" s="1">
        <f ca="1">功能掉落明细!AD603</f>
        <v>10000</v>
      </c>
    </row>
    <row r="606" spans="1:4" x14ac:dyDescent="0.25">
      <c r="A606" s="1">
        <f>功能掉落明细!AA604</f>
        <v>602</v>
      </c>
      <c r="B606" s="1">
        <f ca="1">功能掉落明细!AB604</f>
        <v>100012</v>
      </c>
      <c r="C606" s="1">
        <f ca="1">功能掉落明细!AC604</f>
        <v>84</v>
      </c>
      <c r="D606" s="1">
        <f ca="1">功能掉落明细!AD604</f>
        <v>10000</v>
      </c>
    </row>
    <row r="607" spans="1:4" x14ac:dyDescent="0.25">
      <c r="A607" s="1">
        <f>功能掉落明细!AA605</f>
        <v>603</v>
      </c>
      <c r="B607" s="1">
        <f ca="1">功能掉落明细!AB605</f>
        <v>110001</v>
      </c>
      <c r="C607" s="1">
        <f ca="1">功能掉落明细!AC605</f>
        <v>61</v>
      </c>
      <c r="D607" s="1">
        <f ca="1">功能掉落明细!AD605</f>
        <v>10000</v>
      </c>
    </row>
    <row r="608" spans="1:4" x14ac:dyDescent="0.25">
      <c r="A608" s="1">
        <f>功能掉落明细!AA606</f>
        <v>604</v>
      </c>
      <c r="B608" s="1">
        <f ca="1">功能掉落明细!AB606</f>
        <v>110002</v>
      </c>
      <c r="C608" s="1">
        <f ca="1">功能掉落明细!AC606</f>
        <v>62</v>
      </c>
      <c r="D608" s="1">
        <f ca="1">功能掉落明细!AD606</f>
        <v>10000</v>
      </c>
    </row>
    <row r="609" spans="1:4" x14ac:dyDescent="0.25">
      <c r="A609" s="1">
        <f>功能掉落明细!AA607</f>
        <v>605</v>
      </c>
      <c r="B609" s="1">
        <f ca="1">功能掉落明细!AB607</f>
        <v>110003</v>
      </c>
      <c r="C609" s="1">
        <f ca="1">功能掉落明细!AC607</f>
        <v>63</v>
      </c>
      <c r="D609" s="1">
        <f ca="1">功能掉落明细!AD607</f>
        <v>10000</v>
      </c>
    </row>
    <row r="610" spans="1:4" x14ac:dyDescent="0.25">
      <c r="A610" s="1">
        <f>功能掉落明细!AA608</f>
        <v>606</v>
      </c>
      <c r="B610" s="1">
        <f ca="1">功能掉落明细!AB608</f>
        <v>110004</v>
      </c>
      <c r="C610" s="1">
        <f ca="1">功能掉落明细!AC608</f>
        <v>64</v>
      </c>
      <c r="D610" s="1">
        <f ca="1">功能掉落明细!AD608</f>
        <v>10000</v>
      </c>
    </row>
    <row r="611" spans="1:4" x14ac:dyDescent="0.25">
      <c r="A611" s="1">
        <f>功能掉落明细!AA609</f>
        <v>607</v>
      </c>
      <c r="B611" s="1">
        <f ca="1">功能掉落明细!AB609</f>
        <v>110005</v>
      </c>
      <c r="C611" s="1">
        <f ca="1">功能掉落明细!AC609</f>
        <v>65</v>
      </c>
      <c r="D611" s="1">
        <f ca="1">功能掉落明细!AD609</f>
        <v>10000</v>
      </c>
    </row>
    <row r="612" spans="1:4" x14ac:dyDescent="0.25">
      <c r="A612" s="1">
        <f>功能掉落明细!AA610</f>
        <v>608</v>
      </c>
      <c r="B612" s="1">
        <f ca="1">功能掉落明细!AB610</f>
        <v>110006</v>
      </c>
      <c r="C612" s="1">
        <f ca="1">功能掉落明细!AC610</f>
        <v>66</v>
      </c>
      <c r="D612" s="1">
        <f ca="1">功能掉落明细!AD610</f>
        <v>10000</v>
      </c>
    </row>
    <row r="613" spans="1:4" x14ac:dyDescent="0.25">
      <c r="A613" s="1">
        <f>功能掉落明细!AA611</f>
        <v>609</v>
      </c>
      <c r="B613" s="1">
        <f ca="1">功能掉落明细!AB611</f>
        <v>110007</v>
      </c>
      <c r="C613" s="1">
        <f ca="1">功能掉落明细!AC611</f>
        <v>67</v>
      </c>
      <c r="D613" s="1">
        <f ca="1">功能掉落明细!AD611</f>
        <v>10000</v>
      </c>
    </row>
    <row r="614" spans="1:4" x14ac:dyDescent="0.25">
      <c r="A614" s="1">
        <f>功能掉落明细!AA612</f>
        <v>610</v>
      </c>
      <c r="B614" s="1">
        <f ca="1">功能掉落明细!AB612</f>
        <v>110008</v>
      </c>
      <c r="C614" s="1">
        <f ca="1">功能掉落明细!AC612</f>
        <v>68</v>
      </c>
      <c r="D614" s="1">
        <f ca="1">功能掉落明细!AD612</f>
        <v>10000</v>
      </c>
    </row>
    <row r="615" spans="1:4" x14ac:dyDescent="0.25">
      <c r="A615" s="1">
        <f>功能掉落明细!AA613</f>
        <v>611</v>
      </c>
      <c r="B615" s="1">
        <f ca="1">功能掉落明细!AB613</f>
        <v>110009</v>
      </c>
      <c r="C615" s="1">
        <f ca="1">功能掉落明细!AC613</f>
        <v>69</v>
      </c>
      <c r="D615" s="1">
        <f ca="1">功能掉落明细!AD613</f>
        <v>10000</v>
      </c>
    </row>
    <row r="616" spans="1:4" x14ac:dyDescent="0.25">
      <c r="A616" s="1">
        <f>功能掉落明细!AA614</f>
        <v>612</v>
      </c>
      <c r="B616" s="1">
        <f ca="1">功能掉落明细!AB614</f>
        <v>110010</v>
      </c>
      <c r="C616" s="1">
        <f ca="1">功能掉落明细!AC614</f>
        <v>70</v>
      </c>
      <c r="D616" s="1">
        <f ca="1">功能掉落明细!AD614</f>
        <v>10000</v>
      </c>
    </row>
    <row r="617" spans="1:4" x14ac:dyDescent="0.25">
      <c r="A617" s="1">
        <f>功能掉落明细!AA615</f>
        <v>613</v>
      </c>
      <c r="B617" s="1">
        <f ca="1">功能掉落明细!AB615</f>
        <v>110011</v>
      </c>
      <c r="C617" s="1">
        <f ca="1">功能掉落明细!AC615</f>
        <v>71</v>
      </c>
      <c r="D617" s="1">
        <f ca="1">功能掉落明细!AD615</f>
        <v>10000</v>
      </c>
    </row>
    <row r="618" spans="1:4" x14ac:dyDescent="0.25">
      <c r="A618" s="1">
        <f>功能掉落明细!AA616</f>
        <v>614</v>
      </c>
      <c r="B618" s="1">
        <f ca="1">功能掉落明细!AB616</f>
        <v>110012</v>
      </c>
      <c r="C618" s="1">
        <f ca="1">功能掉落明细!AC616</f>
        <v>84</v>
      </c>
      <c r="D618" s="1">
        <f ca="1">功能掉落明细!AD616</f>
        <v>10000</v>
      </c>
    </row>
    <row r="619" spans="1:4" x14ac:dyDescent="0.25">
      <c r="A619" s="1">
        <f>功能掉落明细!AA617</f>
        <v>615</v>
      </c>
      <c r="B619" s="1">
        <f ca="1">功能掉落明细!AB617</f>
        <v>120001</v>
      </c>
      <c r="C619" s="1">
        <f ca="1">功能掉落明细!AC617</f>
        <v>72</v>
      </c>
      <c r="D619" s="1">
        <f ca="1">功能掉落明细!AD617</f>
        <v>10000</v>
      </c>
    </row>
    <row r="620" spans="1:4" x14ac:dyDescent="0.25">
      <c r="A620" s="1">
        <f>功能掉落明细!AA618</f>
        <v>616</v>
      </c>
      <c r="B620" s="1">
        <f ca="1">功能掉落明细!AB618</f>
        <v>120002</v>
      </c>
      <c r="C620" s="1">
        <f ca="1">功能掉落明细!AC618</f>
        <v>73</v>
      </c>
      <c r="D620" s="1">
        <f ca="1">功能掉落明细!AD618</f>
        <v>10000</v>
      </c>
    </row>
    <row r="621" spans="1:4" x14ac:dyDescent="0.25">
      <c r="A621" s="1">
        <f>功能掉落明细!AA619</f>
        <v>617</v>
      </c>
      <c r="B621" s="1">
        <f ca="1">功能掉落明细!AB619</f>
        <v>120003</v>
      </c>
      <c r="C621" s="1">
        <f ca="1">功能掉落明细!AC619</f>
        <v>74</v>
      </c>
      <c r="D621" s="1">
        <f ca="1">功能掉落明细!AD619</f>
        <v>10000</v>
      </c>
    </row>
    <row r="622" spans="1:4" x14ac:dyDescent="0.25">
      <c r="A622" s="1">
        <f>功能掉落明细!AA620</f>
        <v>618</v>
      </c>
      <c r="B622" s="1">
        <f ca="1">功能掉落明细!AB620</f>
        <v>120004</v>
      </c>
      <c r="C622" s="1">
        <f ca="1">功能掉落明细!AC620</f>
        <v>75</v>
      </c>
      <c r="D622" s="1">
        <f ca="1">功能掉落明细!AD620</f>
        <v>10000</v>
      </c>
    </row>
    <row r="623" spans="1:4" x14ac:dyDescent="0.25">
      <c r="A623" s="1">
        <f>功能掉落明细!AA621</f>
        <v>619</v>
      </c>
      <c r="B623" s="1">
        <f ca="1">功能掉落明细!AB621</f>
        <v>120005</v>
      </c>
      <c r="C623" s="1">
        <f ca="1">功能掉落明细!AC621</f>
        <v>76</v>
      </c>
      <c r="D623" s="1">
        <f ca="1">功能掉落明细!AD621</f>
        <v>10000</v>
      </c>
    </row>
    <row r="624" spans="1:4" x14ac:dyDescent="0.25">
      <c r="A624" s="1">
        <f>功能掉落明细!AA622</f>
        <v>620</v>
      </c>
      <c r="B624" s="1">
        <f ca="1">功能掉落明细!AB622</f>
        <v>120006</v>
      </c>
      <c r="C624" s="1">
        <f ca="1">功能掉落明细!AC622</f>
        <v>77</v>
      </c>
      <c r="D624" s="1">
        <f ca="1">功能掉落明细!AD622</f>
        <v>10000</v>
      </c>
    </row>
    <row r="625" spans="1:4" x14ac:dyDescent="0.25">
      <c r="A625" s="1">
        <f>功能掉落明细!AA623</f>
        <v>621</v>
      </c>
      <c r="B625" s="1">
        <f ca="1">功能掉落明细!AB623</f>
        <v>120007</v>
      </c>
      <c r="C625" s="1">
        <f ca="1">功能掉落明细!AC623</f>
        <v>78</v>
      </c>
      <c r="D625" s="1">
        <f ca="1">功能掉落明细!AD623</f>
        <v>10000</v>
      </c>
    </row>
    <row r="626" spans="1:4" x14ac:dyDescent="0.25">
      <c r="A626" s="1">
        <f>功能掉落明细!AA624</f>
        <v>622</v>
      </c>
      <c r="B626" s="1">
        <f ca="1">功能掉落明细!AB624</f>
        <v>120008</v>
      </c>
      <c r="C626" s="1">
        <f ca="1">功能掉落明细!AC624</f>
        <v>79</v>
      </c>
      <c r="D626" s="1">
        <f ca="1">功能掉落明细!AD624</f>
        <v>10000</v>
      </c>
    </row>
    <row r="627" spans="1:4" x14ac:dyDescent="0.25">
      <c r="A627" s="1">
        <f>功能掉落明细!AA625</f>
        <v>623</v>
      </c>
      <c r="B627" s="1">
        <f ca="1">功能掉落明细!AB625</f>
        <v>120009</v>
      </c>
      <c r="C627" s="1">
        <f ca="1">功能掉落明细!AC625</f>
        <v>80</v>
      </c>
      <c r="D627" s="1">
        <f ca="1">功能掉落明细!AD625</f>
        <v>10000</v>
      </c>
    </row>
    <row r="628" spans="1:4" x14ac:dyDescent="0.25">
      <c r="A628" s="1">
        <f>功能掉落明细!AA626</f>
        <v>624</v>
      </c>
      <c r="B628" s="1">
        <f ca="1">功能掉落明细!AB626</f>
        <v>120010</v>
      </c>
      <c r="C628" s="1">
        <f ca="1">功能掉落明细!AC626</f>
        <v>81</v>
      </c>
      <c r="D628" s="1">
        <f ca="1">功能掉落明细!AD626</f>
        <v>10000</v>
      </c>
    </row>
    <row r="629" spans="1:4" x14ac:dyDescent="0.25">
      <c r="A629" s="1">
        <f>功能掉落明细!AA627</f>
        <v>625</v>
      </c>
      <c r="B629" s="1">
        <f ca="1">功能掉落明细!AB627</f>
        <v>120011</v>
      </c>
      <c r="C629" s="1">
        <f ca="1">功能掉落明细!AC627</f>
        <v>82</v>
      </c>
      <c r="D629" s="1">
        <f ca="1">功能掉落明细!AD627</f>
        <v>10000</v>
      </c>
    </row>
    <row r="630" spans="1:4" x14ac:dyDescent="0.25">
      <c r="A630" s="1">
        <f>功能掉落明细!AA628</f>
        <v>626</v>
      </c>
      <c r="B630" s="1">
        <f ca="1">功能掉落明细!AB628</f>
        <v>120012</v>
      </c>
      <c r="C630" s="1">
        <f ca="1">功能掉落明细!AC628</f>
        <v>83</v>
      </c>
      <c r="D630" s="1">
        <f ca="1">功能掉落明细!AD628</f>
        <v>10000</v>
      </c>
    </row>
    <row r="631" spans="1:4" x14ac:dyDescent="0.25">
      <c r="A631" s="1">
        <f>功能掉落明细!AA629</f>
        <v>627</v>
      </c>
      <c r="B631" s="1">
        <f ca="1">功能掉落明细!AB629</f>
        <v>120013</v>
      </c>
      <c r="C631" s="1">
        <f ca="1">功能掉落明细!AC629</f>
        <v>84</v>
      </c>
      <c r="D631" s="1">
        <f ca="1">功能掉落明细!AD629</f>
        <v>10000</v>
      </c>
    </row>
    <row r="632" spans="1:4" x14ac:dyDescent="0.25">
      <c r="A632" s="1">
        <f>功能掉落明细!AA630</f>
        <v>628</v>
      </c>
      <c r="B632" s="1">
        <f ca="1">功能掉落明细!AB630</f>
        <v>130001</v>
      </c>
      <c r="C632" s="1">
        <f ca="1">功能掉落明细!AC630</f>
        <v>72</v>
      </c>
      <c r="D632" s="1">
        <f ca="1">功能掉落明细!AD630</f>
        <v>10000</v>
      </c>
    </row>
    <row r="633" spans="1:4" x14ac:dyDescent="0.25">
      <c r="A633" s="1">
        <f>功能掉落明细!AA631</f>
        <v>629</v>
      </c>
      <c r="B633" s="1">
        <f ca="1">功能掉落明细!AB631</f>
        <v>130002</v>
      </c>
      <c r="C633" s="1">
        <f ca="1">功能掉落明细!AC631</f>
        <v>73</v>
      </c>
      <c r="D633" s="1">
        <f ca="1">功能掉落明细!AD631</f>
        <v>10000</v>
      </c>
    </row>
    <row r="634" spans="1:4" x14ac:dyDescent="0.25">
      <c r="A634" s="1">
        <f>功能掉落明细!AA632</f>
        <v>630</v>
      </c>
      <c r="B634" s="1">
        <f ca="1">功能掉落明细!AB632</f>
        <v>130003</v>
      </c>
      <c r="C634" s="1">
        <f ca="1">功能掉落明细!AC632</f>
        <v>74</v>
      </c>
      <c r="D634" s="1">
        <f ca="1">功能掉落明细!AD632</f>
        <v>10000</v>
      </c>
    </row>
    <row r="635" spans="1:4" x14ac:dyDescent="0.25">
      <c r="A635" s="1">
        <f>功能掉落明细!AA633</f>
        <v>631</v>
      </c>
      <c r="B635" s="1">
        <f ca="1">功能掉落明细!AB633</f>
        <v>130004</v>
      </c>
      <c r="C635" s="1">
        <f ca="1">功能掉落明细!AC633</f>
        <v>75</v>
      </c>
      <c r="D635" s="1">
        <f ca="1">功能掉落明细!AD633</f>
        <v>10000</v>
      </c>
    </row>
    <row r="636" spans="1:4" x14ac:dyDescent="0.25">
      <c r="A636" s="1">
        <f>功能掉落明细!AA634</f>
        <v>632</v>
      </c>
      <c r="B636" s="1">
        <f ca="1">功能掉落明细!AB634</f>
        <v>130005</v>
      </c>
      <c r="C636" s="1">
        <f ca="1">功能掉落明细!AC634</f>
        <v>76</v>
      </c>
      <c r="D636" s="1">
        <f ca="1">功能掉落明细!AD634</f>
        <v>10000</v>
      </c>
    </row>
    <row r="637" spans="1:4" x14ac:dyDescent="0.25">
      <c r="A637" s="1">
        <f>功能掉落明细!AA635</f>
        <v>633</v>
      </c>
      <c r="B637" s="1">
        <f ca="1">功能掉落明细!AB635</f>
        <v>130006</v>
      </c>
      <c r="C637" s="1">
        <f ca="1">功能掉落明细!AC635</f>
        <v>77</v>
      </c>
      <c r="D637" s="1">
        <f ca="1">功能掉落明细!AD635</f>
        <v>10000</v>
      </c>
    </row>
    <row r="638" spans="1:4" x14ac:dyDescent="0.25">
      <c r="A638" s="1">
        <f>功能掉落明细!AA636</f>
        <v>634</v>
      </c>
      <c r="B638" s="1">
        <f ca="1">功能掉落明细!AB636</f>
        <v>130007</v>
      </c>
      <c r="C638" s="1">
        <f ca="1">功能掉落明细!AC636</f>
        <v>78</v>
      </c>
      <c r="D638" s="1">
        <f ca="1">功能掉落明细!AD636</f>
        <v>10000</v>
      </c>
    </row>
    <row r="639" spans="1:4" x14ac:dyDescent="0.25">
      <c r="A639" s="1">
        <f>功能掉落明细!AA637</f>
        <v>635</v>
      </c>
      <c r="B639" s="1">
        <f ca="1">功能掉落明细!AB637</f>
        <v>130008</v>
      </c>
      <c r="C639" s="1">
        <f ca="1">功能掉落明细!AC637</f>
        <v>79</v>
      </c>
      <c r="D639" s="1">
        <f ca="1">功能掉落明细!AD637</f>
        <v>10000</v>
      </c>
    </row>
    <row r="640" spans="1:4" x14ac:dyDescent="0.25">
      <c r="A640" s="1">
        <f>功能掉落明细!AA638</f>
        <v>636</v>
      </c>
      <c r="B640" s="1">
        <f ca="1">功能掉落明细!AB638</f>
        <v>130009</v>
      </c>
      <c r="C640" s="1">
        <f ca="1">功能掉落明细!AC638</f>
        <v>80</v>
      </c>
      <c r="D640" s="1">
        <f ca="1">功能掉落明细!AD638</f>
        <v>10000</v>
      </c>
    </row>
    <row r="641" spans="1:4" x14ac:dyDescent="0.25">
      <c r="A641" s="1">
        <f>功能掉落明细!AA639</f>
        <v>637</v>
      </c>
      <c r="B641" s="1">
        <f ca="1">功能掉落明细!AB639</f>
        <v>130010</v>
      </c>
      <c r="C641" s="1">
        <f ca="1">功能掉落明细!AC639</f>
        <v>81</v>
      </c>
      <c r="D641" s="1">
        <f ca="1">功能掉落明细!AD639</f>
        <v>10000</v>
      </c>
    </row>
    <row r="642" spans="1:4" x14ac:dyDescent="0.25">
      <c r="A642" s="1">
        <f>功能掉落明细!AA640</f>
        <v>638</v>
      </c>
      <c r="B642" s="1">
        <f ca="1">功能掉落明细!AB640</f>
        <v>130011</v>
      </c>
      <c r="C642" s="1">
        <f ca="1">功能掉落明细!AC640</f>
        <v>82</v>
      </c>
      <c r="D642" s="1">
        <f ca="1">功能掉落明细!AD640</f>
        <v>10000</v>
      </c>
    </row>
    <row r="643" spans="1:4" x14ac:dyDescent="0.25">
      <c r="A643" s="1">
        <f>功能掉落明细!AA641</f>
        <v>639</v>
      </c>
      <c r="B643" s="1">
        <f ca="1">功能掉落明细!AB641</f>
        <v>130012</v>
      </c>
      <c r="C643" s="1">
        <f ca="1">功能掉落明细!AC641</f>
        <v>83</v>
      </c>
      <c r="D643" s="1">
        <f ca="1">功能掉落明细!AD641</f>
        <v>10000</v>
      </c>
    </row>
    <row r="644" spans="1:4" x14ac:dyDescent="0.25">
      <c r="A644" s="1">
        <f>功能掉落明细!AA642</f>
        <v>640</v>
      </c>
      <c r="B644" s="1">
        <f ca="1">功能掉落明细!AB642</f>
        <v>130013</v>
      </c>
      <c r="C644" s="1">
        <f ca="1">功能掉落明细!AC642</f>
        <v>84</v>
      </c>
      <c r="D644" s="1">
        <f ca="1">功能掉落明细!AD642</f>
        <v>10000</v>
      </c>
    </row>
    <row r="645" spans="1:4" x14ac:dyDescent="0.25">
      <c r="A645" s="1">
        <f>功能掉落明细!AA643</f>
        <v>641</v>
      </c>
      <c r="B645" s="1">
        <f ca="1">功能掉落明细!AB643</f>
        <v>140001</v>
      </c>
      <c r="C645" s="1">
        <f ca="1">功能掉落明细!AC643</f>
        <v>72</v>
      </c>
      <c r="D645" s="1">
        <f ca="1">功能掉落明细!AD643</f>
        <v>10000</v>
      </c>
    </row>
    <row r="646" spans="1:4" x14ac:dyDescent="0.25">
      <c r="A646" s="1">
        <f>功能掉落明细!AA644</f>
        <v>642</v>
      </c>
      <c r="B646" s="1">
        <f ca="1">功能掉落明细!AB644</f>
        <v>140002</v>
      </c>
      <c r="C646" s="1">
        <f ca="1">功能掉落明细!AC644</f>
        <v>73</v>
      </c>
      <c r="D646" s="1">
        <f ca="1">功能掉落明细!AD644</f>
        <v>10000</v>
      </c>
    </row>
    <row r="647" spans="1:4" x14ac:dyDescent="0.25">
      <c r="A647" s="1">
        <f>功能掉落明细!AA645</f>
        <v>643</v>
      </c>
      <c r="B647" s="1">
        <f ca="1">功能掉落明细!AB645</f>
        <v>140003</v>
      </c>
      <c r="C647" s="1">
        <f ca="1">功能掉落明细!AC645</f>
        <v>74</v>
      </c>
      <c r="D647" s="1">
        <f ca="1">功能掉落明细!AD645</f>
        <v>10000</v>
      </c>
    </row>
    <row r="648" spans="1:4" x14ac:dyDescent="0.25">
      <c r="A648" s="1">
        <f>功能掉落明细!AA646</f>
        <v>644</v>
      </c>
      <c r="B648" s="1">
        <f ca="1">功能掉落明细!AB646</f>
        <v>140004</v>
      </c>
      <c r="C648" s="1">
        <f ca="1">功能掉落明细!AC646</f>
        <v>75</v>
      </c>
      <c r="D648" s="1">
        <f ca="1">功能掉落明细!AD646</f>
        <v>10000</v>
      </c>
    </row>
    <row r="649" spans="1:4" x14ac:dyDescent="0.25">
      <c r="A649" s="1">
        <f>功能掉落明细!AA647</f>
        <v>645</v>
      </c>
      <c r="B649" s="1">
        <f ca="1">功能掉落明细!AB647</f>
        <v>140005</v>
      </c>
      <c r="C649" s="1">
        <f ca="1">功能掉落明细!AC647</f>
        <v>76</v>
      </c>
      <c r="D649" s="1">
        <f ca="1">功能掉落明细!AD647</f>
        <v>10000</v>
      </c>
    </row>
    <row r="650" spans="1:4" x14ac:dyDescent="0.25">
      <c r="A650" s="1">
        <f>功能掉落明细!AA648</f>
        <v>646</v>
      </c>
      <c r="B650" s="1">
        <f ca="1">功能掉落明细!AB648</f>
        <v>140006</v>
      </c>
      <c r="C650" s="1">
        <f ca="1">功能掉落明细!AC648</f>
        <v>77</v>
      </c>
      <c r="D650" s="1">
        <f ca="1">功能掉落明细!AD648</f>
        <v>10000</v>
      </c>
    </row>
    <row r="651" spans="1:4" x14ac:dyDescent="0.25">
      <c r="A651" s="1">
        <f>功能掉落明细!AA649</f>
        <v>647</v>
      </c>
      <c r="B651" s="1">
        <f ca="1">功能掉落明细!AB649</f>
        <v>140007</v>
      </c>
      <c r="C651" s="1">
        <f ca="1">功能掉落明细!AC649</f>
        <v>78</v>
      </c>
      <c r="D651" s="1">
        <f ca="1">功能掉落明细!AD649</f>
        <v>10000</v>
      </c>
    </row>
    <row r="652" spans="1:4" x14ac:dyDescent="0.25">
      <c r="A652" s="1">
        <f>功能掉落明细!AA650</f>
        <v>648</v>
      </c>
      <c r="B652" s="1">
        <f ca="1">功能掉落明细!AB650</f>
        <v>140008</v>
      </c>
      <c r="C652" s="1">
        <f ca="1">功能掉落明细!AC650</f>
        <v>79</v>
      </c>
      <c r="D652" s="1">
        <f ca="1">功能掉落明细!AD650</f>
        <v>10000</v>
      </c>
    </row>
    <row r="653" spans="1:4" x14ac:dyDescent="0.25">
      <c r="A653" s="1">
        <f>功能掉落明细!AA651</f>
        <v>649</v>
      </c>
      <c r="B653" s="1">
        <f ca="1">功能掉落明细!AB651</f>
        <v>140009</v>
      </c>
      <c r="C653" s="1">
        <f ca="1">功能掉落明细!AC651</f>
        <v>80</v>
      </c>
      <c r="D653" s="1">
        <f ca="1">功能掉落明细!AD651</f>
        <v>10000</v>
      </c>
    </row>
    <row r="654" spans="1:4" x14ac:dyDescent="0.25">
      <c r="A654" s="1">
        <f>功能掉落明细!AA652</f>
        <v>650</v>
      </c>
      <c r="B654" s="1">
        <f ca="1">功能掉落明细!AB652</f>
        <v>140010</v>
      </c>
      <c r="C654" s="1">
        <f ca="1">功能掉落明细!AC652</f>
        <v>81</v>
      </c>
      <c r="D654" s="1">
        <f ca="1">功能掉落明细!AD652</f>
        <v>10000</v>
      </c>
    </row>
    <row r="655" spans="1:4" x14ac:dyDescent="0.25">
      <c r="A655" s="1">
        <f>功能掉落明细!AA653</f>
        <v>651</v>
      </c>
      <c r="B655" s="1">
        <f ca="1">功能掉落明细!AB653</f>
        <v>140011</v>
      </c>
      <c r="C655" s="1">
        <f ca="1">功能掉落明细!AC653</f>
        <v>82</v>
      </c>
      <c r="D655" s="1">
        <f ca="1">功能掉落明细!AD653</f>
        <v>10000</v>
      </c>
    </row>
    <row r="656" spans="1:4" x14ac:dyDescent="0.25">
      <c r="A656" s="1">
        <f>功能掉落明细!AA654</f>
        <v>652</v>
      </c>
      <c r="B656" s="1">
        <f ca="1">功能掉落明细!AB654</f>
        <v>140012</v>
      </c>
      <c r="C656" s="1">
        <f ca="1">功能掉落明细!AC654</f>
        <v>83</v>
      </c>
      <c r="D656" s="1">
        <f ca="1">功能掉落明细!AD654</f>
        <v>10000</v>
      </c>
    </row>
    <row r="657" spans="1:4" x14ac:dyDescent="0.25">
      <c r="A657" s="1">
        <f>功能掉落明细!AA655</f>
        <v>653</v>
      </c>
      <c r="B657" s="1">
        <f ca="1">功能掉落明细!AB655</f>
        <v>140013</v>
      </c>
      <c r="C657" s="1">
        <f ca="1">功能掉落明细!AC655</f>
        <v>84</v>
      </c>
      <c r="D657" s="1">
        <f ca="1">功能掉落明细!AD655</f>
        <v>10000</v>
      </c>
    </row>
    <row r="658" spans="1:4" x14ac:dyDescent="0.25">
      <c r="A658" s="1">
        <f>功能掉落明细!AA656</f>
        <v>654</v>
      </c>
      <c r="B658" s="1">
        <f ca="1">功能掉落明细!AB656</f>
        <v>150001</v>
      </c>
      <c r="C658" s="1">
        <f ca="1">功能掉落明细!AC656</f>
        <v>72</v>
      </c>
      <c r="D658" s="1">
        <f ca="1">功能掉落明细!AD656</f>
        <v>10000</v>
      </c>
    </row>
    <row r="659" spans="1:4" x14ac:dyDescent="0.25">
      <c r="A659" s="1">
        <f>功能掉落明细!AA657</f>
        <v>655</v>
      </c>
      <c r="B659" s="1">
        <f ca="1">功能掉落明细!AB657</f>
        <v>150002</v>
      </c>
      <c r="C659" s="1">
        <f ca="1">功能掉落明细!AC657</f>
        <v>73</v>
      </c>
      <c r="D659" s="1">
        <f ca="1">功能掉落明细!AD657</f>
        <v>10000</v>
      </c>
    </row>
    <row r="660" spans="1:4" x14ac:dyDescent="0.25">
      <c r="A660" s="1">
        <f>功能掉落明细!AA658</f>
        <v>656</v>
      </c>
      <c r="B660" s="1">
        <f ca="1">功能掉落明细!AB658</f>
        <v>150003</v>
      </c>
      <c r="C660" s="1">
        <f ca="1">功能掉落明细!AC658</f>
        <v>74</v>
      </c>
      <c r="D660" s="1">
        <f ca="1">功能掉落明细!AD658</f>
        <v>10000</v>
      </c>
    </row>
    <row r="661" spans="1:4" x14ac:dyDescent="0.25">
      <c r="A661" s="1">
        <f>功能掉落明细!AA659</f>
        <v>657</v>
      </c>
      <c r="B661" s="1">
        <f ca="1">功能掉落明细!AB659</f>
        <v>150004</v>
      </c>
      <c r="C661" s="1">
        <f ca="1">功能掉落明细!AC659</f>
        <v>75</v>
      </c>
      <c r="D661" s="1">
        <f ca="1">功能掉落明细!AD659</f>
        <v>10000</v>
      </c>
    </row>
    <row r="662" spans="1:4" x14ac:dyDescent="0.25">
      <c r="A662" s="1">
        <f>功能掉落明细!AA660</f>
        <v>658</v>
      </c>
      <c r="B662" s="1">
        <f ca="1">功能掉落明细!AB660</f>
        <v>150005</v>
      </c>
      <c r="C662" s="1">
        <f ca="1">功能掉落明细!AC660</f>
        <v>76</v>
      </c>
      <c r="D662" s="1">
        <f ca="1">功能掉落明细!AD660</f>
        <v>10000</v>
      </c>
    </row>
    <row r="663" spans="1:4" x14ac:dyDescent="0.25">
      <c r="A663" s="1">
        <f>功能掉落明细!AA661</f>
        <v>659</v>
      </c>
      <c r="B663" s="1">
        <f ca="1">功能掉落明细!AB661</f>
        <v>150006</v>
      </c>
      <c r="C663" s="1">
        <f ca="1">功能掉落明细!AC661</f>
        <v>77</v>
      </c>
      <c r="D663" s="1">
        <f ca="1">功能掉落明细!AD661</f>
        <v>10000</v>
      </c>
    </row>
    <row r="664" spans="1:4" x14ac:dyDescent="0.25">
      <c r="A664" s="1">
        <f>功能掉落明细!AA662</f>
        <v>660</v>
      </c>
      <c r="B664" s="1">
        <f ca="1">功能掉落明细!AB662</f>
        <v>150007</v>
      </c>
      <c r="C664" s="1">
        <f ca="1">功能掉落明细!AC662</f>
        <v>78</v>
      </c>
      <c r="D664" s="1">
        <f ca="1">功能掉落明细!AD662</f>
        <v>10000</v>
      </c>
    </row>
    <row r="665" spans="1:4" x14ac:dyDescent="0.25">
      <c r="A665" s="1">
        <f>功能掉落明细!AA663</f>
        <v>661</v>
      </c>
      <c r="B665" s="1">
        <f ca="1">功能掉落明细!AB663</f>
        <v>150008</v>
      </c>
      <c r="C665" s="1">
        <f ca="1">功能掉落明细!AC663</f>
        <v>79</v>
      </c>
      <c r="D665" s="1">
        <f ca="1">功能掉落明细!AD663</f>
        <v>10000</v>
      </c>
    </row>
    <row r="666" spans="1:4" x14ac:dyDescent="0.25">
      <c r="A666" s="1">
        <f>功能掉落明细!AA664</f>
        <v>662</v>
      </c>
      <c r="B666" s="1">
        <f ca="1">功能掉落明细!AB664</f>
        <v>150009</v>
      </c>
      <c r="C666" s="1">
        <f ca="1">功能掉落明细!AC664</f>
        <v>80</v>
      </c>
      <c r="D666" s="1">
        <f ca="1">功能掉落明细!AD664</f>
        <v>10000</v>
      </c>
    </row>
    <row r="667" spans="1:4" x14ac:dyDescent="0.25">
      <c r="A667" s="1">
        <f>功能掉落明细!AA665</f>
        <v>663</v>
      </c>
      <c r="B667" s="1">
        <f ca="1">功能掉落明细!AB665</f>
        <v>150010</v>
      </c>
      <c r="C667" s="1">
        <f ca="1">功能掉落明细!AC665</f>
        <v>81</v>
      </c>
      <c r="D667" s="1">
        <f ca="1">功能掉落明细!AD665</f>
        <v>10000</v>
      </c>
    </row>
    <row r="668" spans="1:4" x14ac:dyDescent="0.25">
      <c r="A668" s="1">
        <f>功能掉落明细!AA666</f>
        <v>664</v>
      </c>
      <c r="B668" s="1">
        <f ca="1">功能掉落明细!AB666</f>
        <v>150011</v>
      </c>
      <c r="C668" s="1">
        <f ca="1">功能掉落明细!AC666</f>
        <v>82</v>
      </c>
      <c r="D668" s="1">
        <f ca="1">功能掉落明细!AD666</f>
        <v>10000</v>
      </c>
    </row>
    <row r="669" spans="1:4" x14ac:dyDescent="0.25">
      <c r="A669" s="1">
        <f>功能掉落明细!AA667</f>
        <v>665</v>
      </c>
      <c r="B669" s="1">
        <f ca="1">功能掉落明细!AB667</f>
        <v>150012</v>
      </c>
      <c r="C669" s="1">
        <f ca="1">功能掉落明细!AC667</f>
        <v>83</v>
      </c>
      <c r="D669" s="1">
        <f ca="1">功能掉落明细!AD667</f>
        <v>10000</v>
      </c>
    </row>
    <row r="670" spans="1:4" x14ac:dyDescent="0.25">
      <c r="A670" s="1">
        <f>功能掉落明细!AA668</f>
        <v>666</v>
      </c>
      <c r="B670" s="1">
        <f ca="1">功能掉落明细!AB668</f>
        <v>150013</v>
      </c>
      <c r="C670" s="1">
        <f ca="1">功能掉落明细!AC668</f>
        <v>84</v>
      </c>
      <c r="D670" s="1">
        <f ca="1">功能掉落明细!AD668</f>
        <v>10000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61"/>
  <sheetViews>
    <sheetView workbookViewId="0">
      <selection activeCell="H23" sqref="H23"/>
    </sheetView>
  </sheetViews>
  <sheetFormatPr defaultColWidth="9" defaultRowHeight="14.4" x14ac:dyDescent="0.25"/>
  <cols>
    <col min="1" max="1" width="9" style="1"/>
    <col min="2" max="2" width="16.109375" style="1" bestFit="1" customWidth="1"/>
    <col min="3" max="3" width="15" style="1" bestFit="1" customWidth="1"/>
    <col min="4" max="4" width="9" style="1"/>
    <col min="5" max="5" width="10.44140625" style="1" bestFit="1" customWidth="1"/>
    <col min="6" max="16384" width="9" style="1"/>
  </cols>
  <sheetData>
    <row r="1" spans="1:5" x14ac:dyDescent="0.25">
      <c r="A1" s="1" t="s">
        <v>0</v>
      </c>
      <c r="B1" s="1" t="s">
        <v>28</v>
      </c>
      <c r="C1" s="1" t="s">
        <v>66</v>
      </c>
      <c r="D1" s="1" t="s">
        <v>384</v>
      </c>
      <c r="E1" s="1" t="s">
        <v>374</v>
      </c>
    </row>
    <row r="2" spans="1:5" x14ac:dyDescent="0.25">
      <c r="A2" s="1" t="s">
        <v>375</v>
      </c>
      <c r="B2" s="1" t="s">
        <v>376</v>
      </c>
      <c r="C2" s="1" t="s">
        <v>377</v>
      </c>
      <c r="D2" s="1" t="s">
        <v>378</v>
      </c>
      <c r="E2" s="1" t="s">
        <v>379</v>
      </c>
    </row>
    <row r="3" spans="1:5" x14ac:dyDescent="0.25">
      <c r="A3" s="1">
        <v>0</v>
      </c>
      <c r="B3" s="1">
        <v>0</v>
      </c>
      <c r="C3" s="1">
        <v>0</v>
      </c>
      <c r="D3" s="1">
        <v>2</v>
      </c>
      <c r="E3" s="1">
        <v>0</v>
      </c>
    </row>
    <row r="4" spans="1:5" x14ac:dyDescent="0.25">
      <c r="A4" s="1" t="s">
        <v>380</v>
      </c>
      <c r="B4" s="1" t="s">
        <v>380</v>
      </c>
      <c r="C4" s="1" t="s">
        <v>380</v>
      </c>
      <c r="D4" s="1" t="s">
        <v>385</v>
      </c>
      <c r="E4" s="1" t="s">
        <v>380</v>
      </c>
    </row>
    <row r="5" spans="1:5" x14ac:dyDescent="0.25">
      <c r="A5" s="1">
        <f ca="1">掉落细节配置!AE3</f>
        <v>101</v>
      </c>
      <c r="B5" s="1">
        <f ca="1">掉落细节配置!AF3</f>
        <v>1</v>
      </c>
      <c r="C5" s="1">
        <f ca="1">掉落细节配置!AG3</f>
        <v>81110</v>
      </c>
      <c r="D5" s="1" t="str">
        <f ca="1">掉落细节配置!AH3</f>
        <v>{1,2}</v>
      </c>
      <c r="E5" s="1">
        <f ca="1">掉落细节配置!AI3</f>
        <v>1000</v>
      </c>
    </row>
    <row r="6" spans="1:5" x14ac:dyDescent="0.25">
      <c r="A6" s="1">
        <f ca="1">掉落细节配置!AE4</f>
        <v>102</v>
      </c>
      <c r="B6" s="1">
        <f ca="1">掉落细节配置!AF4</f>
        <v>1</v>
      </c>
      <c r="C6" s="1">
        <f ca="1">掉落细节配置!AG4</f>
        <v>81110</v>
      </c>
      <c r="D6" s="1" t="str">
        <f ca="1">掉落细节配置!AH4</f>
        <v>{2}</v>
      </c>
      <c r="E6" s="1">
        <f ca="1">掉落细节配置!AI4</f>
        <v>5000</v>
      </c>
    </row>
    <row r="7" spans="1:5" x14ac:dyDescent="0.25">
      <c r="A7" s="1">
        <f ca="1">掉落细节配置!AE5</f>
        <v>103</v>
      </c>
      <c r="B7" s="1">
        <f ca="1">掉落细节配置!AF5</f>
        <v>1</v>
      </c>
      <c r="C7" s="1">
        <f ca="1">掉落细节配置!AG5</f>
        <v>81110</v>
      </c>
      <c r="D7" s="1" t="str">
        <f ca="1">掉落细节配置!AH5</f>
        <v>{3}</v>
      </c>
      <c r="E7" s="1">
        <f ca="1">掉落细节配置!AI5</f>
        <v>3000</v>
      </c>
    </row>
    <row r="8" spans="1:5" x14ac:dyDescent="0.25">
      <c r="A8" s="1">
        <f ca="1">掉落细节配置!AE6</f>
        <v>104</v>
      </c>
      <c r="B8" s="1">
        <f ca="1">掉落细节配置!AF6</f>
        <v>1</v>
      </c>
      <c r="C8" s="1">
        <f ca="1">掉落细节配置!AG6</f>
        <v>81110</v>
      </c>
      <c r="D8" s="1" t="str">
        <f ca="1">掉落细节配置!AH6</f>
        <v>{4}</v>
      </c>
      <c r="E8" s="1">
        <f ca="1">掉落细节配置!AI6</f>
        <v>1000</v>
      </c>
    </row>
    <row r="9" spans="1:5" x14ac:dyDescent="0.25">
      <c r="A9" s="1">
        <f ca="1">掉落细节配置!AE7</f>
        <v>201</v>
      </c>
      <c r="B9" s="1">
        <f ca="1">掉落细节配置!AF7</f>
        <v>2</v>
      </c>
      <c r="C9" s="1">
        <f ca="1">掉落细节配置!AG7</f>
        <v>91120</v>
      </c>
      <c r="D9" s="1" t="str">
        <f ca="1">掉落细节配置!AH7</f>
        <v>{1}</v>
      </c>
      <c r="E9" s="1">
        <f ca="1">掉落细节配置!AI7</f>
        <v>7000</v>
      </c>
    </row>
    <row r="10" spans="1:5" x14ac:dyDescent="0.25">
      <c r="A10" s="1">
        <f ca="1">掉落细节配置!AE8</f>
        <v>202</v>
      </c>
      <c r="B10" s="1">
        <f ca="1">掉落细节配置!AF8</f>
        <v>2</v>
      </c>
      <c r="C10" s="1">
        <f ca="1">掉落细节配置!AG8</f>
        <v>91120</v>
      </c>
      <c r="D10" s="1" t="str">
        <f ca="1">掉落细节配置!AH8</f>
        <v>{2}</v>
      </c>
      <c r="E10" s="1">
        <f ca="1">掉落细节配置!AI8</f>
        <v>2000</v>
      </c>
    </row>
    <row r="11" spans="1:5" x14ac:dyDescent="0.25">
      <c r="A11" s="1">
        <f ca="1">掉落细节配置!AE9</f>
        <v>203</v>
      </c>
      <c r="B11" s="1">
        <f ca="1">掉落细节配置!AF9</f>
        <v>2</v>
      </c>
      <c r="C11" s="1">
        <f ca="1">掉落细节配置!AG9</f>
        <v>91120</v>
      </c>
      <c r="D11" s="1" t="str">
        <f ca="1">掉落细节配置!AH9</f>
        <v>{3}</v>
      </c>
      <c r="E11" s="1">
        <f ca="1">掉落细节配置!AI9</f>
        <v>1000</v>
      </c>
    </row>
    <row r="12" spans="1:5" x14ac:dyDescent="0.25">
      <c r="A12" s="1">
        <f ca="1">掉落细节配置!AE10</f>
        <v>301</v>
      </c>
      <c r="B12" s="1">
        <f ca="1">掉落细节配置!AF10</f>
        <v>3</v>
      </c>
      <c r="C12" s="1">
        <f ca="1">掉落细节配置!AG10</f>
        <v>91130</v>
      </c>
      <c r="D12" s="1" t="str">
        <f ca="1">掉落细节配置!AH10</f>
        <v>{1}</v>
      </c>
      <c r="E12" s="1">
        <f ca="1">掉落细节配置!AI10</f>
        <v>7000</v>
      </c>
    </row>
    <row r="13" spans="1:5" x14ac:dyDescent="0.25">
      <c r="A13" s="1">
        <f ca="1">掉落细节配置!AE11</f>
        <v>302</v>
      </c>
      <c r="B13" s="1">
        <f ca="1">掉落细节配置!AF11</f>
        <v>3</v>
      </c>
      <c r="C13" s="1">
        <f ca="1">掉落细节配置!AG11</f>
        <v>91130</v>
      </c>
      <c r="D13" s="1" t="str">
        <f ca="1">掉落细节配置!AH11</f>
        <v>{2}</v>
      </c>
      <c r="E13" s="1">
        <f ca="1">掉落细节配置!AI11</f>
        <v>2000</v>
      </c>
    </row>
    <row r="14" spans="1:5" x14ac:dyDescent="0.25">
      <c r="A14" s="1">
        <f ca="1">掉落细节配置!AE12</f>
        <v>303</v>
      </c>
      <c r="B14" s="1">
        <f ca="1">掉落细节配置!AF12</f>
        <v>3</v>
      </c>
      <c r="C14" s="1">
        <f ca="1">掉落细节配置!AG12</f>
        <v>91130</v>
      </c>
      <c r="D14" s="1" t="str">
        <f ca="1">掉落细节配置!AH12</f>
        <v>{3}</v>
      </c>
      <c r="E14" s="1">
        <f ca="1">掉落细节配置!AI12</f>
        <v>1000</v>
      </c>
    </row>
    <row r="15" spans="1:5" x14ac:dyDescent="0.25">
      <c r="A15" s="1">
        <f ca="1">掉落细节配置!AE13</f>
        <v>401</v>
      </c>
      <c r="B15" s="1">
        <f ca="1">掉落细节配置!AF13</f>
        <v>4</v>
      </c>
      <c r="C15" s="1">
        <f ca="1">掉落细节配置!AG13</f>
        <v>91140</v>
      </c>
      <c r="D15" s="1" t="str">
        <f ca="1">掉落细节配置!AH13</f>
        <v>{1}</v>
      </c>
      <c r="E15" s="1">
        <f ca="1">掉落细节配置!AI13</f>
        <v>7000</v>
      </c>
    </row>
    <row r="16" spans="1:5" x14ac:dyDescent="0.25">
      <c r="A16" s="1">
        <f ca="1">掉落细节配置!AE14</f>
        <v>402</v>
      </c>
      <c r="B16" s="1">
        <f ca="1">掉落细节配置!AF14</f>
        <v>4</v>
      </c>
      <c r="C16" s="1">
        <f ca="1">掉落细节配置!AG14</f>
        <v>91140</v>
      </c>
      <c r="D16" s="1" t="str">
        <f ca="1">掉落细节配置!AH14</f>
        <v>{2}</v>
      </c>
      <c r="E16" s="1">
        <f ca="1">掉落细节配置!AI14</f>
        <v>2000</v>
      </c>
    </row>
    <row r="17" spans="1:5" x14ac:dyDescent="0.25">
      <c r="A17" s="1">
        <f ca="1">掉落细节配置!AE15</f>
        <v>403</v>
      </c>
      <c r="B17" s="1">
        <f ca="1">掉落细节配置!AF15</f>
        <v>4</v>
      </c>
      <c r="C17" s="1">
        <f ca="1">掉落细节配置!AG15</f>
        <v>91140</v>
      </c>
      <c r="D17" s="1" t="str">
        <f ca="1">掉落细节配置!AH15</f>
        <v>{3}</v>
      </c>
      <c r="E17" s="1">
        <f ca="1">掉落细节配置!AI15</f>
        <v>1000</v>
      </c>
    </row>
    <row r="18" spans="1:5" x14ac:dyDescent="0.25">
      <c r="A18" s="1">
        <f ca="1">掉落细节配置!AE16</f>
        <v>501</v>
      </c>
      <c r="B18" s="1">
        <f ca="1">掉落细节配置!AF16</f>
        <v>5</v>
      </c>
      <c r="C18" s="1">
        <f ca="1">掉落细节配置!AG16</f>
        <v>91220</v>
      </c>
      <c r="D18" s="1" t="str">
        <f ca="1">掉落细节配置!AH16</f>
        <v>{1}</v>
      </c>
      <c r="E18" s="1">
        <f ca="1">掉落细节配置!AI16</f>
        <v>7000</v>
      </c>
    </row>
    <row r="19" spans="1:5" x14ac:dyDescent="0.25">
      <c r="A19" s="1">
        <f ca="1">掉落细节配置!AE17</f>
        <v>502</v>
      </c>
      <c r="B19" s="1">
        <f ca="1">掉落细节配置!AF17</f>
        <v>5</v>
      </c>
      <c r="C19" s="1">
        <f ca="1">掉落细节配置!AG17</f>
        <v>91220</v>
      </c>
      <c r="D19" s="1" t="str">
        <f ca="1">掉落细节配置!AH17</f>
        <v>{2}</v>
      </c>
      <c r="E19" s="1">
        <f ca="1">掉落细节配置!AI17</f>
        <v>2000</v>
      </c>
    </row>
    <row r="20" spans="1:5" x14ac:dyDescent="0.25">
      <c r="A20" s="1">
        <f ca="1">掉落细节配置!AE18</f>
        <v>503</v>
      </c>
      <c r="B20" s="1">
        <f ca="1">掉落细节配置!AF18</f>
        <v>5</v>
      </c>
      <c r="C20" s="1">
        <f ca="1">掉落细节配置!AG18</f>
        <v>91220</v>
      </c>
      <c r="D20" s="1" t="str">
        <f ca="1">掉落细节配置!AH18</f>
        <v>{3}</v>
      </c>
      <c r="E20" s="1">
        <f ca="1">掉落细节配置!AI18</f>
        <v>1000</v>
      </c>
    </row>
    <row r="21" spans="1:5" x14ac:dyDescent="0.25">
      <c r="A21" s="1">
        <f ca="1">掉落细节配置!AE19</f>
        <v>601</v>
      </c>
      <c r="B21" s="1">
        <f ca="1">掉落细节配置!AF19</f>
        <v>6</v>
      </c>
      <c r="C21" s="1">
        <f ca="1">掉落细节配置!AG19</f>
        <v>91230</v>
      </c>
      <c r="D21" s="1" t="str">
        <f ca="1">掉落细节配置!AH19</f>
        <v>{1}</v>
      </c>
      <c r="E21" s="1">
        <f ca="1">掉落细节配置!AI19</f>
        <v>7000</v>
      </c>
    </row>
    <row r="22" spans="1:5" x14ac:dyDescent="0.25">
      <c r="A22" s="1">
        <f ca="1">掉落细节配置!AE20</f>
        <v>602</v>
      </c>
      <c r="B22" s="1">
        <f ca="1">掉落细节配置!AF20</f>
        <v>6</v>
      </c>
      <c r="C22" s="1">
        <f ca="1">掉落细节配置!AG20</f>
        <v>91230</v>
      </c>
      <c r="D22" s="1" t="str">
        <f ca="1">掉落细节配置!AH20</f>
        <v>{2}</v>
      </c>
      <c r="E22" s="1">
        <f ca="1">掉落细节配置!AI20</f>
        <v>2000</v>
      </c>
    </row>
    <row r="23" spans="1:5" x14ac:dyDescent="0.25">
      <c r="A23" s="1">
        <f ca="1">掉落细节配置!AE21</f>
        <v>603</v>
      </c>
      <c r="B23" s="1">
        <f ca="1">掉落细节配置!AF21</f>
        <v>6</v>
      </c>
      <c r="C23" s="1">
        <f ca="1">掉落细节配置!AG21</f>
        <v>91230</v>
      </c>
      <c r="D23" s="1" t="str">
        <f ca="1">掉落细节配置!AH21</f>
        <v>{3}</v>
      </c>
      <c r="E23" s="1">
        <f ca="1">掉落细节配置!AI21</f>
        <v>1000</v>
      </c>
    </row>
    <row r="24" spans="1:5" x14ac:dyDescent="0.25">
      <c r="A24" s="1">
        <f ca="1">掉落细节配置!AE22</f>
        <v>701</v>
      </c>
      <c r="B24" s="1">
        <f ca="1">掉落细节配置!AF22</f>
        <v>7</v>
      </c>
      <c r="C24" s="1">
        <f ca="1">掉落细节配置!AG22</f>
        <v>91240</v>
      </c>
      <c r="D24" s="1" t="str">
        <f ca="1">掉落细节配置!AH22</f>
        <v>{1}</v>
      </c>
      <c r="E24" s="1">
        <f ca="1">掉落细节配置!AI22</f>
        <v>7000</v>
      </c>
    </row>
    <row r="25" spans="1:5" x14ac:dyDescent="0.25">
      <c r="A25" s="1">
        <f ca="1">掉落细节配置!AE23</f>
        <v>702</v>
      </c>
      <c r="B25" s="1">
        <f ca="1">掉落细节配置!AF23</f>
        <v>7</v>
      </c>
      <c r="C25" s="1">
        <f ca="1">掉落细节配置!AG23</f>
        <v>91240</v>
      </c>
      <c r="D25" s="1" t="str">
        <f ca="1">掉落细节配置!AH23</f>
        <v>{2}</v>
      </c>
      <c r="E25" s="1">
        <f ca="1">掉落细节配置!AI23</f>
        <v>2000</v>
      </c>
    </row>
    <row r="26" spans="1:5" x14ac:dyDescent="0.25">
      <c r="A26" s="1">
        <f ca="1">掉落细节配置!AE24</f>
        <v>703</v>
      </c>
      <c r="B26" s="1">
        <f ca="1">掉落细节配置!AF24</f>
        <v>7</v>
      </c>
      <c r="C26" s="1">
        <f ca="1">掉落细节配置!AG24</f>
        <v>91240</v>
      </c>
      <c r="D26" s="1" t="str">
        <f ca="1">掉落细节配置!AH24</f>
        <v>{3}</v>
      </c>
      <c r="E26" s="1">
        <f ca="1">掉落细节配置!AI24</f>
        <v>1000</v>
      </c>
    </row>
    <row r="27" spans="1:5" x14ac:dyDescent="0.25">
      <c r="A27" s="1">
        <f ca="1">掉落细节配置!AE25</f>
        <v>801</v>
      </c>
      <c r="B27" s="1">
        <f ca="1">掉落细节配置!AF25</f>
        <v>8</v>
      </c>
      <c r="C27" s="1">
        <f ca="1">掉落细节配置!AG25</f>
        <v>91320</v>
      </c>
      <c r="D27" s="1" t="str">
        <f ca="1">掉落细节配置!AH25</f>
        <v>{1}</v>
      </c>
      <c r="E27" s="1">
        <f ca="1">掉落细节配置!AI25</f>
        <v>7000</v>
      </c>
    </row>
    <row r="28" spans="1:5" x14ac:dyDescent="0.25">
      <c r="A28" s="1">
        <f ca="1">掉落细节配置!AE26</f>
        <v>802</v>
      </c>
      <c r="B28" s="1">
        <f ca="1">掉落细节配置!AF26</f>
        <v>8</v>
      </c>
      <c r="C28" s="1">
        <f ca="1">掉落细节配置!AG26</f>
        <v>91320</v>
      </c>
      <c r="D28" s="1" t="str">
        <f ca="1">掉落细节配置!AH26</f>
        <v>{2}</v>
      </c>
      <c r="E28" s="1">
        <f ca="1">掉落细节配置!AI26</f>
        <v>2000</v>
      </c>
    </row>
    <row r="29" spans="1:5" x14ac:dyDescent="0.25">
      <c r="A29" s="1">
        <f ca="1">掉落细节配置!AE27</f>
        <v>803</v>
      </c>
      <c r="B29" s="1">
        <f ca="1">掉落细节配置!AF27</f>
        <v>8</v>
      </c>
      <c r="C29" s="1">
        <f ca="1">掉落细节配置!AG27</f>
        <v>91320</v>
      </c>
      <c r="D29" s="1" t="str">
        <f ca="1">掉落细节配置!AH27</f>
        <v>{3}</v>
      </c>
      <c r="E29" s="1">
        <f ca="1">掉落细节配置!AI27</f>
        <v>1000</v>
      </c>
    </row>
    <row r="30" spans="1:5" x14ac:dyDescent="0.25">
      <c r="A30" s="1">
        <f ca="1">掉落细节配置!AE28</f>
        <v>901</v>
      </c>
      <c r="B30" s="1">
        <f ca="1">掉落细节配置!AF28</f>
        <v>9</v>
      </c>
      <c r="C30" s="1">
        <f ca="1">掉落细节配置!AG28</f>
        <v>91330</v>
      </c>
      <c r="D30" s="1" t="str">
        <f ca="1">掉落细节配置!AH28</f>
        <v>{1}</v>
      </c>
      <c r="E30" s="1">
        <f ca="1">掉落细节配置!AI28</f>
        <v>7000</v>
      </c>
    </row>
    <row r="31" spans="1:5" x14ac:dyDescent="0.25">
      <c r="A31" s="1">
        <f ca="1">掉落细节配置!AE29</f>
        <v>902</v>
      </c>
      <c r="B31" s="1">
        <f ca="1">掉落细节配置!AF29</f>
        <v>9</v>
      </c>
      <c r="C31" s="1">
        <f ca="1">掉落细节配置!AG29</f>
        <v>91330</v>
      </c>
      <c r="D31" s="1" t="str">
        <f ca="1">掉落细节配置!AH29</f>
        <v>{2}</v>
      </c>
      <c r="E31" s="1">
        <f ca="1">掉落细节配置!AI29</f>
        <v>2000</v>
      </c>
    </row>
    <row r="32" spans="1:5" x14ac:dyDescent="0.25">
      <c r="A32" s="1">
        <f ca="1">掉落细节配置!AE30</f>
        <v>903</v>
      </c>
      <c r="B32" s="1">
        <f ca="1">掉落细节配置!AF30</f>
        <v>9</v>
      </c>
      <c r="C32" s="1">
        <f ca="1">掉落细节配置!AG30</f>
        <v>91330</v>
      </c>
      <c r="D32" s="1" t="str">
        <f ca="1">掉落细节配置!AH30</f>
        <v>{3}</v>
      </c>
      <c r="E32" s="1">
        <f ca="1">掉落细节配置!AI30</f>
        <v>1000</v>
      </c>
    </row>
    <row r="33" spans="1:5" x14ac:dyDescent="0.25">
      <c r="A33" s="1">
        <f ca="1">掉落细节配置!AE31</f>
        <v>1001</v>
      </c>
      <c r="B33" s="1">
        <f ca="1">掉落细节配置!AF31</f>
        <v>10</v>
      </c>
      <c r="C33" s="1">
        <f ca="1">掉落细节配置!AG31</f>
        <v>91340</v>
      </c>
      <c r="D33" s="1" t="str">
        <f ca="1">掉落细节配置!AH31</f>
        <v>{1}</v>
      </c>
      <c r="E33" s="1">
        <f ca="1">掉落细节配置!AI31</f>
        <v>7000</v>
      </c>
    </row>
    <row r="34" spans="1:5" x14ac:dyDescent="0.25">
      <c r="A34" s="1">
        <f ca="1">掉落细节配置!AE32</f>
        <v>1002</v>
      </c>
      <c r="B34" s="1">
        <f ca="1">掉落细节配置!AF32</f>
        <v>10</v>
      </c>
      <c r="C34" s="1">
        <f ca="1">掉落细节配置!AG32</f>
        <v>91340</v>
      </c>
      <c r="D34" s="1" t="str">
        <f ca="1">掉落细节配置!AH32</f>
        <v>{2}</v>
      </c>
      <c r="E34" s="1">
        <f ca="1">掉落细节配置!AI32</f>
        <v>2000</v>
      </c>
    </row>
    <row r="35" spans="1:5" x14ac:dyDescent="0.25">
      <c r="A35" s="1">
        <f ca="1">掉落细节配置!AE33</f>
        <v>1003</v>
      </c>
      <c r="B35" s="1">
        <f ca="1">掉落细节配置!AF33</f>
        <v>10</v>
      </c>
      <c r="C35" s="1">
        <f ca="1">掉落细节配置!AG33</f>
        <v>91340</v>
      </c>
      <c r="D35" s="1" t="str">
        <f ca="1">掉落细节配置!AH33</f>
        <v>{3}</v>
      </c>
      <c r="E35" s="1">
        <f ca="1">掉落细节配置!AI33</f>
        <v>1000</v>
      </c>
    </row>
    <row r="36" spans="1:5" x14ac:dyDescent="0.25">
      <c r="A36" s="1">
        <f ca="1">掉落细节配置!AE34</f>
        <v>1101</v>
      </c>
      <c r="B36" s="1">
        <f ca="1">掉落细节配置!AF34</f>
        <v>11</v>
      </c>
      <c r="C36" s="1">
        <f ca="1">掉落细节配置!AG34</f>
        <v>91420</v>
      </c>
      <c r="D36" s="1" t="str">
        <f ca="1">掉落细节配置!AH34</f>
        <v>{1}</v>
      </c>
      <c r="E36" s="1">
        <f ca="1">掉落细节配置!AI34</f>
        <v>7000</v>
      </c>
    </row>
    <row r="37" spans="1:5" x14ac:dyDescent="0.25">
      <c r="A37" s="1">
        <f ca="1">掉落细节配置!AE35</f>
        <v>1102</v>
      </c>
      <c r="B37" s="1">
        <f ca="1">掉落细节配置!AF35</f>
        <v>11</v>
      </c>
      <c r="C37" s="1">
        <f ca="1">掉落细节配置!AG35</f>
        <v>91420</v>
      </c>
      <c r="D37" s="1" t="str">
        <f ca="1">掉落细节配置!AH35</f>
        <v>{2}</v>
      </c>
      <c r="E37" s="1">
        <f ca="1">掉落细节配置!AI35</f>
        <v>2000</v>
      </c>
    </row>
    <row r="38" spans="1:5" x14ac:dyDescent="0.25">
      <c r="A38" s="1">
        <f ca="1">掉落细节配置!AE36</f>
        <v>1103</v>
      </c>
      <c r="B38" s="1">
        <f ca="1">掉落细节配置!AF36</f>
        <v>11</v>
      </c>
      <c r="C38" s="1">
        <f ca="1">掉落细节配置!AG36</f>
        <v>91420</v>
      </c>
      <c r="D38" s="1" t="str">
        <f ca="1">掉落细节配置!AH36</f>
        <v>{3}</v>
      </c>
      <c r="E38" s="1">
        <f ca="1">掉落细节配置!AI36</f>
        <v>1000</v>
      </c>
    </row>
    <row r="39" spans="1:5" x14ac:dyDescent="0.25">
      <c r="A39" s="1">
        <f ca="1">掉落细节配置!AE37</f>
        <v>1201</v>
      </c>
      <c r="B39" s="1">
        <f ca="1">掉落细节配置!AF37</f>
        <v>12</v>
      </c>
      <c r="C39" s="1">
        <f ca="1">掉落细节配置!AG37</f>
        <v>91430</v>
      </c>
      <c r="D39" s="1" t="str">
        <f ca="1">掉落细节配置!AH37</f>
        <v>{1}</v>
      </c>
      <c r="E39" s="1">
        <f ca="1">掉落细节配置!AI37</f>
        <v>7000</v>
      </c>
    </row>
    <row r="40" spans="1:5" x14ac:dyDescent="0.25">
      <c r="A40" s="1">
        <f ca="1">掉落细节配置!AE38</f>
        <v>1202</v>
      </c>
      <c r="B40" s="1">
        <f ca="1">掉落细节配置!AF38</f>
        <v>12</v>
      </c>
      <c r="C40" s="1">
        <f ca="1">掉落细节配置!AG38</f>
        <v>91430</v>
      </c>
      <c r="D40" s="1" t="str">
        <f ca="1">掉落细节配置!AH38</f>
        <v>{2}</v>
      </c>
      <c r="E40" s="1">
        <f ca="1">掉落细节配置!AI38</f>
        <v>2000</v>
      </c>
    </row>
    <row r="41" spans="1:5" x14ac:dyDescent="0.25">
      <c r="A41" s="1">
        <f ca="1">掉落细节配置!AE39</f>
        <v>1203</v>
      </c>
      <c r="B41" s="1">
        <f ca="1">掉落细节配置!AF39</f>
        <v>12</v>
      </c>
      <c r="C41" s="1">
        <f ca="1">掉落细节配置!AG39</f>
        <v>91430</v>
      </c>
      <c r="D41" s="1" t="str">
        <f ca="1">掉落细节配置!AH39</f>
        <v>{3}</v>
      </c>
      <c r="E41" s="1">
        <f ca="1">掉落细节配置!AI39</f>
        <v>1000</v>
      </c>
    </row>
    <row r="42" spans="1:5" x14ac:dyDescent="0.25">
      <c r="A42" s="1">
        <f ca="1">掉落细节配置!AE40</f>
        <v>1301</v>
      </c>
      <c r="B42" s="1">
        <f ca="1">掉落细节配置!AF40</f>
        <v>13</v>
      </c>
      <c r="C42" s="1">
        <f ca="1">掉落细节配置!AG40</f>
        <v>91440</v>
      </c>
      <c r="D42" s="1" t="str">
        <f ca="1">掉落细节配置!AH40</f>
        <v>{1}</v>
      </c>
      <c r="E42" s="1">
        <f ca="1">掉落细节配置!AI40</f>
        <v>7000</v>
      </c>
    </row>
    <row r="43" spans="1:5" x14ac:dyDescent="0.25">
      <c r="A43" s="1">
        <f ca="1">掉落细节配置!AE41</f>
        <v>1302</v>
      </c>
      <c r="B43" s="1">
        <f ca="1">掉落细节配置!AF41</f>
        <v>13</v>
      </c>
      <c r="C43" s="1">
        <f ca="1">掉落细节配置!AG41</f>
        <v>91440</v>
      </c>
      <c r="D43" s="1" t="str">
        <f ca="1">掉落细节配置!AH41</f>
        <v>{2}</v>
      </c>
      <c r="E43" s="1">
        <f ca="1">掉落细节配置!AI41</f>
        <v>2000</v>
      </c>
    </row>
    <row r="44" spans="1:5" x14ac:dyDescent="0.25">
      <c r="A44" s="1">
        <f ca="1">掉落细节配置!AE42</f>
        <v>1303</v>
      </c>
      <c r="B44" s="1">
        <f ca="1">掉落细节配置!AF42</f>
        <v>13</v>
      </c>
      <c r="C44" s="1">
        <f ca="1">掉落细节配置!AG42</f>
        <v>91440</v>
      </c>
      <c r="D44" s="1" t="str">
        <f ca="1">掉落细节配置!AH42</f>
        <v>{3}</v>
      </c>
      <c r="E44" s="1">
        <f ca="1">掉落细节配置!AI42</f>
        <v>1000</v>
      </c>
    </row>
    <row r="45" spans="1:5" x14ac:dyDescent="0.25">
      <c r="A45" s="1">
        <f ca="1">掉落细节配置!AE43</f>
        <v>1401</v>
      </c>
      <c r="B45" s="1">
        <f ca="1">掉落细节配置!AF43</f>
        <v>14</v>
      </c>
      <c r="C45" s="1">
        <f ca="1">掉落细节配置!AG43</f>
        <v>91520</v>
      </c>
      <c r="D45" s="1" t="str">
        <f ca="1">掉落细节配置!AH43</f>
        <v>{1}</v>
      </c>
      <c r="E45" s="1">
        <f ca="1">掉落细节配置!AI43</f>
        <v>7000</v>
      </c>
    </row>
    <row r="46" spans="1:5" x14ac:dyDescent="0.25">
      <c r="A46" s="1">
        <f ca="1">掉落细节配置!AE44</f>
        <v>1402</v>
      </c>
      <c r="B46" s="1">
        <f ca="1">掉落细节配置!AF44</f>
        <v>14</v>
      </c>
      <c r="C46" s="1">
        <f ca="1">掉落细节配置!AG44</f>
        <v>91520</v>
      </c>
      <c r="D46" s="1" t="str">
        <f ca="1">掉落细节配置!AH44</f>
        <v>{2}</v>
      </c>
      <c r="E46" s="1">
        <f ca="1">掉落细节配置!AI44</f>
        <v>2000</v>
      </c>
    </row>
    <row r="47" spans="1:5" x14ac:dyDescent="0.25">
      <c r="A47" s="1">
        <f ca="1">掉落细节配置!AE45</f>
        <v>1403</v>
      </c>
      <c r="B47" s="1">
        <f ca="1">掉落细节配置!AF45</f>
        <v>14</v>
      </c>
      <c r="C47" s="1">
        <f ca="1">掉落细节配置!AG45</f>
        <v>91520</v>
      </c>
      <c r="D47" s="1" t="str">
        <f ca="1">掉落细节配置!AH45</f>
        <v>{3}</v>
      </c>
      <c r="E47" s="1">
        <f ca="1">掉落细节配置!AI45</f>
        <v>1000</v>
      </c>
    </row>
    <row r="48" spans="1:5" x14ac:dyDescent="0.25">
      <c r="A48" s="1">
        <f ca="1">掉落细节配置!AE46</f>
        <v>1501</v>
      </c>
      <c r="B48" s="1">
        <f ca="1">掉落细节配置!AF46</f>
        <v>15</v>
      </c>
      <c r="C48" s="1">
        <f ca="1">掉落细节配置!AG46</f>
        <v>91530</v>
      </c>
      <c r="D48" s="1" t="str">
        <f ca="1">掉落细节配置!AH46</f>
        <v>{1}</v>
      </c>
      <c r="E48" s="1">
        <f ca="1">掉落细节配置!AI46</f>
        <v>7000</v>
      </c>
    </row>
    <row r="49" spans="1:5" x14ac:dyDescent="0.25">
      <c r="A49" s="1">
        <f ca="1">掉落细节配置!AE47</f>
        <v>1502</v>
      </c>
      <c r="B49" s="1">
        <f ca="1">掉落细节配置!AF47</f>
        <v>15</v>
      </c>
      <c r="C49" s="1">
        <f ca="1">掉落细节配置!AG47</f>
        <v>91530</v>
      </c>
      <c r="D49" s="1" t="str">
        <f ca="1">掉落细节配置!AH47</f>
        <v>{2}</v>
      </c>
      <c r="E49" s="1">
        <f ca="1">掉落细节配置!AI47</f>
        <v>2000</v>
      </c>
    </row>
    <row r="50" spans="1:5" x14ac:dyDescent="0.25">
      <c r="A50" s="1">
        <f ca="1">掉落细节配置!AE48</f>
        <v>1503</v>
      </c>
      <c r="B50" s="1">
        <f ca="1">掉落细节配置!AF48</f>
        <v>15</v>
      </c>
      <c r="C50" s="1">
        <f ca="1">掉落细节配置!AG48</f>
        <v>91530</v>
      </c>
      <c r="D50" s="1" t="str">
        <f ca="1">掉落细节配置!AH48</f>
        <v>{3}</v>
      </c>
      <c r="E50" s="1">
        <f ca="1">掉落细节配置!AI48</f>
        <v>1000</v>
      </c>
    </row>
    <row r="51" spans="1:5" x14ac:dyDescent="0.25">
      <c r="A51" s="1">
        <f ca="1">掉落细节配置!AE49</f>
        <v>1601</v>
      </c>
      <c r="B51" s="1">
        <f ca="1">掉落细节配置!AF49</f>
        <v>16</v>
      </c>
      <c r="C51" s="1">
        <f ca="1">掉落细节配置!AG49</f>
        <v>91540</v>
      </c>
      <c r="D51" s="1" t="str">
        <f ca="1">掉落细节配置!AH49</f>
        <v>{1}</v>
      </c>
      <c r="E51" s="1">
        <f ca="1">掉落细节配置!AI49</f>
        <v>7000</v>
      </c>
    </row>
    <row r="52" spans="1:5" x14ac:dyDescent="0.25">
      <c r="A52" s="1">
        <f ca="1">掉落细节配置!AE50</f>
        <v>1602</v>
      </c>
      <c r="B52" s="1">
        <f ca="1">掉落细节配置!AF50</f>
        <v>16</v>
      </c>
      <c r="C52" s="1">
        <f ca="1">掉落细节配置!AG50</f>
        <v>91540</v>
      </c>
      <c r="D52" s="1" t="str">
        <f ca="1">掉落细节配置!AH50</f>
        <v>{2}</v>
      </c>
      <c r="E52" s="1">
        <f ca="1">掉落细节配置!AI50</f>
        <v>2000</v>
      </c>
    </row>
    <row r="53" spans="1:5" x14ac:dyDescent="0.25">
      <c r="A53" s="1">
        <f ca="1">掉落细节配置!AE51</f>
        <v>1603</v>
      </c>
      <c r="B53" s="1">
        <f ca="1">掉落细节配置!AF51</f>
        <v>16</v>
      </c>
      <c r="C53" s="1">
        <f ca="1">掉落细节配置!AG51</f>
        <v>91540</v>
      </c>
      <c r="D53" s="1" t="str">
        <f ca="1">掉落细节配置!AH51</f>
        <v>{3}</v>
      </c>
      <c r="E53" s="1">
        <f ca="1">掉落细节配置!AI51</f>
        <v>1000</v>
      </c>
    </row>
    <row r="54" spans="1:5" x14ac:dyDescent="0.25">
      <c r="A54" s="1">
        <f ca="1">掉落细节配置!AE52</f>
        <v>1701</v>
      </c>
      <c r="B54" s="1">
        <f ca="1">掉落细节配置!AF52</f>
        <v>17</v>
      </c>
      <c r="C54" s="1">
        <f ca="1">掉落细节配置!AG52</f>
        <v>91620</v>
      </c>
      <c r="D54" s="1" t="str">
        <f ca="1">掉落细节配置!AH52</f>
        <v>{1}</v>
      </c>
      <c r="E54" s="1">
        <f ca="1">掉落细节配置!AI52</f>
        <v>7000</v>
      </c>
    </row>
    <row r="55" spans="1:5" x14ac:dyDescent="0.25">
      <c r="A55" s="1">
        <f ca="1">掉落细节配置!AE53</f>
        <v>1702</v>
      </c>
      <c r="B55" s="1">
        <f ca="1">掉落细节配置!AF53</f>
        <v>17</v>
      </c>
      <c r="C55" s="1">
        <f ca="1">掉落细节配置!AG53</f>
        <v>91620</v>
      </c>
      <c r="D55" s="1" t="str">
        <f ca="1">掉落细节配置!AH53</f>
        <v>{2}</v>
      </c>
      <c r="E55" s="1">
        <f ca="1">掉落细节配置!AI53</f>
        <v>2000</v>
      </c>
    </row>
    <row r="56" spans="1:5" x14ac:dyDescent="0.25">
      <c r="A56" s="1">
        <f ca="1">掉落细节配置!AE54</f>
        <v>1703</v>
      </c>
      <c r="B56" s="1">
        <f ca="1">掉落细节配置!AF54</f>
        <v>17</v>
      </c>
      <c r="C56" s="1">
        <f ca="1">掉落细节配置!AG54</f>
        <v>91620</v>
      </c>
      <c r="D56" s="1" t="str">
        <f ca="1">掉落细节配置!AH54</f>
        <v>{3}</v>
      </c>
      <c r="E56" s="1">
        <f ca="1">掉落细节配置!AI54</f>
        <v>1000</v>
      </c>
    </row>
    <row r="57" spans="1:5" x14ac:dyDescent="0.25">
      <c r="A57" s="1">
        <f ca="1">掉落细节配置!AE55</f>
        <v>1801</v>
      </c>
      <c r="B57" s="1">
        <f ca="1">掉落细节配置!AF55</f>
        <v>18</v>
      </c>
      <c r="C57" s="1">
        <f ca="1">掉落细节配置!AG55</f>
        <v>91630</v>
      </c>
      <c r="D57" s="1" t="str">
        <f ca="1">掉落细节配置!AH55</f>
        <v>{1}</v>
      </c>
      <c r="E57" s="1">
        <f ca="1">掉落细节配置!AI55</f>
        <v>7000</v>
      </c>
    </row>
    <row r="58" spans="1:5" x14ac:dyDescent="0.25">
      <c r="A58" s="1">
        <f ca="1">掉落细节配置!AE56</f>
        <v>1802</v>
      </c>
      <c r="B58" s="1">
        <f ca="1">掉落细节配置!AF56</f>
        <v>18</v>
      </c>
      <c r="C58" s="1">
        <f ca="1">掉落细节配置!AG56</f>
        <v>91630</v>
      </c>
      <c r="D58" s="1" t="str">
        <f ca="1">掉落细节配置!AH56</f>
        <v>{2}</v>
      </c>
      <c r="E58" s="1">
        <f ca="1">掉落细节配置!AI56</f>
        <v>2000</v>
      </c>
    </row>
    <row r="59" spans="1:5" x14ac:dyDescent="0.25">
      <c r="A59" s="1">
        <f ca="1">掉落细节配置!AE57</f>
        <v>1803</v>
      </c>
      <c r="B59" s="1">
        <f ca="1">掉落细节配置!AF57</f>
        <v>18</v>
      </c>
      <c r="C59" s="1">
        <f ca="1">掉落细节配置!AG57</f>
        <v>91630</v>
      </c>
      <c r="D59" s="1" t="str">
        <f ca="1">掉落细节配置!AH57</f>
        <v>{3}</v>
      </c>
      <c r="E59" s="1">
        <f ca="1">掉落细节配置!AI57</f>
        <v>1000</v>
      </c>
    </row>
    <row r="60" spans="1:5" x14ac:dyDescent="0.25">
      <c r="A60" s="1">
        <f ca="1">掉落细节配置!AE58</f>
        <v>1901</v>
      </c>
      <c r="B60" s="1">
        <f ca="1">掉落细节配置!AF58</f>
        <v>19</v>
      </c>
      <c r="C60" s="1">
        <f ca="1">掉落细节配置!AG58</f>
        <v>91640</v>
      </c>
      <c r="D60" s="1" t="str">
        <f ca="1">掉落细节配置!AH58</f>
        <v>{1}</v>
      </c>
      <c r="E60" s="1">
        <f ca="1">掉落细节配置!AI58</f>
        <v>7000</v>
      </c>
    </row>
    <row r="61" spans="1:5" x14ac:dyDescent="0.25">
      <c r="A61" s="1">
        <f ca="1">掉落细节配置!AE59</f>
        <v>1902</v>
      </c>
      <c r="B61" s="1">
        <f ca="1">掉落细节配置!AF59</f>
        <v>19</v>
      </c>
      <c r="C61" s="1">
        <f ca="1">掉落细节配置!AG59</f>
        <v>91640</v>
      </c>
      <c r="D61" s="1" t="str">
        <f ca="1">掉落细节配置!AH59</f>
        <v>{2}</v>
      </c>
      <c r="E61" s="1">
        <f ca="1">掉落细节配置!AI59</f>
        <v>2000</v>
      </c>
    </row>
    <row r="62" spans="1:5" x14ac:dyDescent="0.25">
      <c r="A62" s="1">
        <f ca="1">掉落细节配置!AE60</f>
        <v>1903</v>
      </c>
      <c r="B62" s="1">
        <f ca="1">掉落细节配置!AF60</f>
        <v>19</v>
      </c>
      <c r="C62" s="1">
        <f ca="1">掉落细节配置!AG60</f>
        <v>91640</v>
      </c>
      <c r="D62" s="1" t="str">
        <f ca="1">掉落细节配置!AH60</f>
        <v>{3}</v>
      </c>
      <c r="E62" s="1">
        <f ca="1">掉落细节配置!AI60</f>
        <v>1000</v>
      </c>
    </row>
    <row r="63" spans="1:5" x14ac:dyDescent="0.25">
      <c r="A63" s="1">
        <f ca="1">掉落细节配置!AE61</f>
        <v>2001</v>
      </c>
      <c r="B63" s="1">
        <f ca="1">掉落细节配置!AF61</f>
        <v>20</v>
      </c>
      <c r="C63" s="1">
        <f ca="1">掉落细节配置!AG61</f>
        <v>91720</v>
      </c>
      <c r="D63" s="1" t="str">
        <f ca="1">掉落细节配置!AH61</f>
        <v>{1}</v>
      </c>
      <c r="E63" s="1">
        <f ca="1">掉落细节配置!AI61</f>
        <v>7000</v>
      </c>
    </row>
    <row r="64" spans="1:5" x14ac:dyDescent="0.25">
      <c r="A64" s="1">
        <f ca="1">掉落细节配置!AE62</f>
        <v>2002</v>
      </c>
      <c r="B64" s="1">
        <f ca="1">掉落细节配置!AF62</f>
        <v>20</v>
      </c>
      <c r="C64" s="1">
        <f ca="1">掉落细节配置!AG62</f>
        <v>91720</v>
      </c>
      <c r="D64" s="1" t="str">
        <f ca="1">掉落细节配置!AH62</f>
        <v>{2}</v>
      </c>
      <c r="E64" s="1">
        <f ca="1">掉落细节配置!AI62</f>
        <v>2000</v>
      </c>
    </row>
    <row r="65" spans="1:5" x14ac:dyDescent="0.25">
      <c r="A65" s="1">
        <f ca="1">掉落细节配置!AE63</f>
        <v>2003</v>
      </c>
      <c r="B65" s="1">
        <f ca="1">掉落细节配置!AF63</f>
        <v>20</v>
      </c>
      <c r="C65" s="1">
        <f ca="1">掉落细节配置!AG63</f>
        <v>91720</v>
      </c>
      <c r="D65" s="1" t="str">
        <f ca="1">掉落细节配置!AH63</f>
        <v>{3}</v>
      </c>
      <c r="E65" s="1">
        <f ca="1">掉落细节配置!AI63</f>
        <v>1000</v>
      </c>
    </row>
    <row r="66" spans="1:5" x14ac:dyDescent="0.25">
      <c r="A66" s="1">
        <f ca="1">掉落细节配置!AE64</f>
        <v>2101</v>
      </c>
      <c r="B66" s="1">
        <f ca="1">掉落细节配置!AF64</f>
        <v>21</v>
      </c>
      <c r="C66" s="1">
        <f ca="1">掉落细节配置!AG64</f>
        <v>91730</v>
      </c>
      <c r="D66" s="1" t="str">
        <f ca="1">掉落细节配置!AH64</f>
        <v>{1}</v>
      </c>
      <c r="E66" s="1">
        <f ca="1">掉落细节配置!AI64</f>
        <v>7000</v>
      </c>
    </row>
    <row r="67" spans="1:5" x14ac:dyDescent="0.25">
      <c r="A67" s="1">
        <f ca="1">掉落细节配置!AE65</f>
        <v>2102</v>
      </c>
      <c r="B67" s="1">
        <f ca="1">掉落细节配置!AF65</f>
        <v>21</v>
      </c>
      <c r="C67" s="1">
        <f ca="1">掉落细节配置!AG65</f>
        <v>91730</v>
      </c>
      <c r="D67" s="1" t="str">
        <f ca="1">掉落细节配置!AH65</f>
        <v>{2}</v>
      </c>
      <c r="E67" s="1">
        <f ca="1">掉落细节配置!AI65</f>
        <v>2000</v>
      </c>
    </row>
    <row r="68" spans="1:5" x14ac:dyDescent="0.25">
      <c r="A68" s="1">
        <f ca="1">掉落细节配置!AE66</f>
        <v>2103</v>
      </c>
      <c r="B68" s="1">
        <f ca="1">掉落细节配置!AF66</f>
        <v>21</v>
      </c>
      <c r="C68" s="1">
        <f ca="1">掉落细节配置!AG66</f>
        <v>91730</v>
      </c>
      <c r="D68" s="1" t="str">
        <f ca="1">掉落细节配置!AH66</f>
        <v>{3}</v>
      </c>
      <c r="E68" s="1">
        <f ca="1">掉落细节配置!AI66</f>
        <v>1000</v>
      </c>
    </row>
    <row r="69" spans="1:5" x14ac:dyDescent="0.25">
      <c r="A69" s="1">
        <f ca="1">掉落细节配置!AE67</f>
        <v>2201</v>
      </c>
      <c r="B69" s="1">
        <f ca="1">掉落细节配置!AF67</f>
        <v>22</v>
      </c>
      <c r="C69" s="1">
        <f ca="1">掉落细节配置!AG67</f>
        <v>91740</v>
      </c>
      <c r="D69" s="1" t="str">
        <f ca="1">掉落细节配置!AH67</f>
        <v>{1}</v>
      </c>
      <c r="E69" s="1">
        <f ca="1">掉落细节配置!AI67</f>
        <v>7000</v>
      </c>
    </row>
    <row r="70" spans="1:5" x14ac:dyDescent="0.25">
      <c r="A70" s="1">
        <f ca="1">掉落细节配置!AE68</f>
        <v>2202</v>
      </c>
      <c r="B70" s="1">
        <f ca="1">掉落细节配置!AF68</f>
        <v>22</v>
      </c>
      <c r="C70" s="1">
        <f ca="1">掉落细节配置!AG68</f>
        <v>91740</v>
      </c>
      <c r="D70" s="1" t="str">
        <f ca="1">掉落细节配置!AH68</f>
        <v>{2}</v>
      </c>
      <c r="E70" s="1">
        <f ca="1">掉落细节配置!AI68</f>
        <v>2000</v>
      </c>
    </row>
    <row r="71" spans="1:5" x14ac:dyDescent="0.25">
      <c r="A71" s="1">
        <f ca="1">掉落细节配置!AE69</f>
        <v>2203</v>
      </c>
      <c r="B71" s="1">
        <f ca="1">掉落细节配置!AF69</f>
        <v>22</v>
      </c>
      <c r="C71" s="1">
        <f ca="1">掉落细节配置!AG69</f>
        <v>91740</v>
      </c>
      <c r="D71" s="1" t="str">
        <f ca="1">掉落细节配置!AH69</f>
        <v>{3}</v>
      </c>
      <c r="E71" s="1">
        <f ca="1">掉落细节配置!AI69</f>
        <v>1000</v>
      </c>
    </row>
    <row r="72" spans="1:5" x14ac:dyDescent="0.25">
      <c r="A72" s="1">
        <f ca="1">掉落细节配置!AE70</f>
        <v>2301</v>
      </c>
      <c r="B72" s="1">
        <f ca="1">掉落细节配置!AF70</f>
        <v>23</v>
      </c>
      <c r="C72" s="1">
        <f ca="1">掉落细节配置!AG70</f>
        <v>4001100</v>
      </c>
      <c r="D72" s="1" t="str">
        <f ca="1">掉落细节配置!AH70</f>
        <v>{1}</v>
      </c>
      <c r="E72" s="1">
        <f ca="1">掉落细节配置!AI70</f>
        <v>7000</v>
      </c>
    </row>
    <row r="73" spans="1:5" x14ac:dyDescent="0.25">
      <c r="A73" s="1">
        <f ca="1">掉落细节配置!AE71</f>
        <v>2302</v>
      </c>
      <c r="B73" s="1">
        <f ca="1">掉落细节配置!AF71</f>
        <v>23</v>
      </c>
      <c r="C73" s="1">
        <f ca="1">掉落细节配置!AG71</f>
        <v>4001100</v>
      </c>
      <c r="D73" s="1" t="str">
        <f ca="1">掉落细节配置!AH71</f>
        <v>{2}</v>
      </c>
      <c r="E73" s="1">
        <f ca="1">掉落细节配置!AI71</f>
        <v>2000</v>
      </c>
    </row>
    <row r="74" spans="1:5" x14ac:dyDescent="0.25">
      <c r="A74" s="1">
        <f ca="1">掉落细节配置!AE72</f>
        <v>2303</v>
      </c>
      <c r="B74" s="1">
        <f ca="1">掉落细节配置!AF72</f>
        <v>23</v>
      </c>
      <c r="C74" s="1">
        <f ca="1">掉落细节配置!AG72</f>
        <v>4001100</v>
      </c>
      <c r="D74" s="1" t="str">
        <f ca="1">掉落细节配置!AH72</f>
        <v>{3}</v>
      </c>
      <c r="E74" s="1">
        <f ca="1">掉落细节配置!AI72</f>
        <v>1000</v>
      </c>
    </row>
    <row r="75" spans="1:5" x14ac:dyDescent="0.25">
      <c r="A75" s="1">
        <f ca="1">掉落细节配置!AE73</f>
        <v>2401</v>
      </c>
      <c r="B75" s="1">
        <f ca="1">掉落细节配置!AF73</f>
        <v>24</v>
      </c>
      <c r="C75" s="1">
        <f ca="1">掉落细节配置!AG73</f>
        <v>71110</v>
      </c>
      <c r="D75" s="1" t="str">
        <f ca="1">掉落细节配置!AH73</f>
        <v>{1}</v>
      </c>
      <c r="E75" s="1">
        <f ca="1">掉落细节配置!AI73</f>
        <v>10000</v>
      </c>
    </row>
    <row r="76" spans="1:5" x14ac:dyDescent="0.25">
      <c r="A76" s="1">
        <f ca="1">掉落细节配置!AE74</f>
        <v>2501</v>
      </c>
      <c r="B76" s="1">
        <f ca="1">掉落细节配置!AF74</f>
        <v>25</v>
      </c>
      <c r="C76" s="1">
        <f ca="1">掉落细节配置!AG74</f>
        <v>71210</v>
      </c>
      <c r="D76" s="1" t="str">
        <f ca="1">掉落细节配置!AH74</f>
        <v>{1}</v>
      </c>
      <c r="E76" s="1">
        <f ca="1">掉落细节配置!AI74</f>
        <v>10000</v>
      </c>
    </row>
    <row r="77" spans="1:5" x14ac:dyDescent="0.25">
      <c r="A77" s="1">
        <f ca="1">掉落细节配置!AE75</f>
        <v>2601</v>
      </c>
      <c r="B77" s="1">
        <f ca="1">掉落细节配置!AF75</f>
        <v>26</v>
      </c>
      <c r="C77" s="1">
        <f ca="1">掉落细节配置!AG75</f>
        <v>71310</v>
      </c>
      <c r="D77" s="1" t="str">
        <f ca="1">掉落细节配置!AH75</f>
        <v>{1}</v>
      </c>
      <c r="E77" s="1">
        <f ca="1">掉落细节配置!AI75</f>
        <v>10000</v>
      </c>
    </row>
    <row r="78" spans="1:5" x14ac:dyDescent="0.25">
      <c r="A78" s="1">
        <f ca="1">掉落细节配置!AE76</f>
        <v>2701</v>
      </c>
      <c r="B78" s="1">
        <f ca="1">掉落细节配置!AF76</f>
        <v>27</v>
      </c>
      <c r="C78" s="1">
        <f ca="1">掉落细节配置!AG76</f>
        <v>71410</v>
      </c>
      <c r="D78" s="1" t="str">
        <f ca="1">掉落细节配置!AH76</f>
        <v>{1}</v>
      </c>
      <c r="E78" s="1">
        <f ca="1">掉落细节配置!AI76</f>
        <v>10000</v>
      </c>
    </row>
    <row r="79" spans="1:5" x14ac:dyDescent="0.25">
      <c r="A79" s="1">
        <f ca="1">掉落细节配置!AE77</f>
        <v>2801</v>
      </c>
      <c r="B79" s="1">
        <f ca="1">掉落细节配置!AF77</f>
        <v>28</v>
      </c>
      <c r="C79" s="1">
        <f ca="1">掉落细节配置!AG77</f>
        <v>71510</v>
      </c>
      <c r="D79" s="1" t="str">
        <f ca="1">掉落细节配置!AH77</f>
        <v>{1}</v>
      </c>
      <c r="E79" s="1">
        <f ca="1">掉落细节配置!AI77</f>
        <v>10000</v>
      </c>
    </row>
    <row r="80" spans="1:5" x14ac:dyDescent="0.25">
      <c r="A80" s="1">
        <f ca="1">掉落细节配置!AE78</f>
        <v>2901</v>
      </c>
      <c r="B80" s="1">
        <f ca="1">掉落细节配置!AF78</f>
        <v>29</v>
      </c>
      <c r="C80" s="1">
        <f ca="1">掉落细节配置!AG78</f>
        <v>71610</v>
      </c>
      <c r="D80" s="1" t="str">
        <f ca="1">掉落细节配置!AH78</f>
        <v>{1}</v>
      </c>
      <c r="E80" s="1">
        <f ca="1">掉落细节配置!AI78</f>
        <v>10000</v>
      </c>
    </row>
    <row r="81" spans="1:5" x14ac:dyDescent="0.25">
      <c r="A81" s="1">
        <f ca="1">掉落细节配置!AE79</f>
        <v>3001</v>
      </c>
      <c r="B81" s="1">
        <f ca="1">掉落细节配置!AF79</f>
        <v>30</v>
      </c>
      <c r="C81" s="1">
        <f ca="1">掉落细节配置!AG79</f>
        <v>71710</v>
      </c>
      <c r="D81" s="1" t="str">
        <f ca="1">掉落细节配置!AH79</f>
        <v>{1}</v>
      </c>
      <c r="E81" s="1">
        <f ca="1">掉落细节配置!AI79</f>
        <v>10000</v>
      </c>
    </row>
    <row r="82" spans="1:5" x14ac:dyDescent="0.25">
      <c r="A82" s="1">
        <f ca="1">掉落细节配置!AE80</f>
        <v>3101</v>
      </c>
      <c r="B82" s="1">
        <f ca="1">掉落细节配置!AF80</f>
        <v>31</v>
      </c>
      <c r="C82" s="1">
        <f ca="1">掉落细节配置!AG80</f>
        <v>11001</v>
      </c>
      <c r="D82" s="1" t="str">
        <f ca="1">掉落细节配置!AH80</f>
        <v>{1}</v>
      </c>
      <c r="E82" s="1">
        <f ca="1">掉落细节配置!AI80</f>
        <v>3000</v>
      </c>
    </row>
    <row r="83" spans="1:5" x14ac:dyDescent="0.25">
      <c r="A83" s="1">
        <f ca="1">掉落细节配置!AE81</f>
        <v>3201</v>
      </c>
      <c r="B83" s="1">
        <f ca="1">掉落细节配置!AF81</f>
        <v>32</v>
      </c>
      <c r="C83" s="1">
        <f ca="1">掉落细节配置!AG81</f>
        <v>82110</v>
      </c>
      <c r="D83" s="1" t="str">
        <f ca="1">掉落细节配置!AH81</f>
        <v>{5}</v>
      </c>
      <c r="E83" s="1">
        <f ca="1">掉落细节配置!AI81</f>
        <v>1000</v>
      </c>
    </row>
    <row r="84" spans="1:5" x14ac:dyDescent="0.25">
      <c r="A84" s="1">
        <f ca="1">掉落细节配置!AE82</f>
        <v>3202</v>
      </c>
      <c r="B84" s="1">
        <f ca="1">掉落细节配置!AF82</f>
        <v>32</v>
      </c>
      <c r="C84" s="1">
        <f ca="1">掉落细节配置!AG82</f>
        <v>82110</v>
      </c>
      <c r="D84" s="1" t="str">
        <f ca="1">掉落细节配置!AH82</f>
        <v>{7}</v>
      </c>
      <c r="E84" s="1">
        <f ca="1">掉落细节配置!AI82</f>
        <v>5000</v>
      </c>
    </row>
    <row r="85" spans="1:5" x14ac:dyDescent="0.25">
      <c r="A85" s="1">
        <f ca="1">掉落细节配置!AE83</f>
        <v>3203</v>
      </c>
      <c r="B85" s="1">
        <f ca="1">掉落细节配置!AF83</f>
        <v>32</v>
      </c>
      <c r="C85" s="1">
        <f ca="1">掉落细节配置!AG83</f>
        <v>82110</v>
      </c>
      <c r="D85" s="1" t="str">
        <f ca="1">掉落细节配置!AH83</f>
        <v>{9}</v>
      </c>
      <c r="E85" s="1">
        <f ca="1">掉落细节配置!AI83</f>
        <v>3000</v>
      </c>
    </row>
    <row r="86" spans="1:5" x14ac:dyDescent="0.25">
      <c r="A86" s="1">
        <f ca="1">掉落细节配置!AE84</f>
        <v>3204</v>
      </c>
      <c r="B86" s="1">
        <f ca="1">掉落细节配置!AF84</f>
        <v>32</v>
      </c>
      <c r="C86" s="1">
        <f ca="1">掉落细节配置!AG84</f>
        <v>82110</v>
      </c>
      <c r="D86" s="1" t="str">
        <f ca="1">掉落细节配置!AH84</f>
        <v>{11}</v>
      </c>
      <c r="E86" s="1">
        <f ca="1">掉落细节配置!AI84</f>
        <v>1000</v>
      </c>
    </row>
    <row r="87" spans="1:5" x14ac:dyDescent="0.25">
      <c r="A87" s="1">
        <f ca="1">掉落细节配置!AE85</f>
        <v>3301</v>
      </c>
      <c r="B87" s="1">
        <f ca="1">掉落细节配置!AF85</f>
        <v>33</v>
      </c>
      <c r="C87" s="1">
        <f ca="1">掉落细节配置!AG85</f>
        <v>92120</v>
      </c>
      <c r="D87" s="1" t="str">
        <f ca="1">掉落细节配置!AH85</f>
        <v>{3}</v>
      </c>
      <c r="E87" s="1">
        <f ca="1">掉落细节配置!AI85</f>
        <v>7000</v>
      </c>
    </row>
    <row r="88" spans="1:5" x14ac:dyDescent="0.25">
      <c r="A88" s="1">
        <f ca="1">掉落细节配置!AE86</f>
        <v>3302</v>
      </c>
      <c r="B88" s="1">
        <f ca="1">掉落细节配置!AF86</f>
        <v>33</v>
      </c>
      <c r="C88" s="1">
        <f ca="1">掉落细节配置!AG86</f>
        <v>92120</v>
      </c>
      <c r="D88" s="1" t="str">
        <f ca="1">掉落细节配置!AH86</f>
        <v>{4}</v>
      </c>
      <c r="E88" s="1">
        <f ca="1">掉落细节配置!AI86</f>
        <v>2000</v>
      </c>
    </row>
    <row r="89" spans="1:5" x14ac:dyDescent="0.25">
      <c r="A89" s="1">
        <f ca="1">掉落细节配置!AE87</f>
        <v>3303</v>
      </c>
      <c r="B89" s="1">
        <f ca="1">掉落细节配置!AF87</f>
        <v>33</v>
      </c>
      <c r="C89" s="1">
        <f ca="1">掉落细节配置!AG87</f>
        <v>92120</v>
      </c>
      <c r="D89" s="1" t="str">
        <f ca="1">掉落细节配置!AH87</f>
        <v>{5}</v>
      </c>
      <c r="E89" s="1">
        <f ca="1">掉落细节配置!AI87</f>
        <v>1000</v>
      </c>
    </row>
    <row r="90" spans="1:5" x14ac:dyDescent="0.25">
      <c r="A90" s="1">
        <f ca="1">掉落细节配置!AE88</f>
        <v>3401</v>
      </c>
      <c r="B90" s="1">
        <f ca="1">掉落细节配置!AF88</f>
        <v>34</v>
      </c>
      <c r="C90" s="1">
        <f ca="1">掉落细节配置!AG88</f>
        <v>92130</v>
      </c>
      <c r="D90" s="1" t="str">
        <f ca="1">掉落细节配置!AH88</f>
        <v>{3}</v>
      </c>
      <c r="E90" s="1">
        <f ca="1">掉落细节配置!AI88</f>
        <v>7000</v>
      </c>
    </row>
    <row r="91" spans="1:5" x14ac:dyDescent="0.25">
      <c r="A91" s="1">
        <f ca="1">掉落细节配置!AE89</f>
        <v>3402</v>
      </c>
      <c r="B91" s="1">
        <f ca="1">掉落细节配置!AF89</f>
        <v>34</v>
      </c>
      <c r="C91" s="1">
        <f ca="1">掉落细节配置!AG89</f>
        <v>92130</v>
      </c>
      <c r="D91" s="1" t="str">
        <f ca="1">掉落细节配置!AH89</f>
        <v>{4}</v>
      </c>
      <c r="E91" s="1">
        <f ca="1">掉落细节配置!AI89</f>
        <v>2000</v>
      </c>
    </row>
    <row r="92" spans="1:5" x14ac:dyDescent="0.25">
      <c r="A92" s="1">
        <f ca="1">掉落细节配置!AE90</f>
        <v>3403</v>
      </c>
      <c r="B92" s="1">
        <f ca="1">掉落细节配置!AF90</f>
        <v>34</v>
      </c>
      <c r="C92" s="1">
        <f ca="1">掉落细节配置!AG90</f>
        <v>92130</v>
      </c>
      <c r="D92" s="1" t="str">
        <f ca="1">掉落细节配置!AH90</f>
        <v>{5}</v>
      </c>
      <c r="E92" s="1">
        <f ca="1">掉落细节配置!AI90</f>
        <v>1000</v>
      </c>
    </row>
    <row r="93" spans="1:5" x14ac:dyDescent="0.25">
      <c r="A93" s="1">
        <f ca="1">掉落细节配置!AE91</f>
        <v>3501</v>
      </c>
      <c r="B93" s="1">
        <f ca="1">掉落细节配置!AF91</f>
        <v>35</v>
      </c>
      <c r="C93" s="1">
        <f ca="1">掉落细节配置!AG91</f>
        <v>92140</v>
      </c>
      <c r="D93" s="1" t="str">
        <f ca="1">掉落细节配置!AH91</f>
        <v>{3}</v>
      </c>
      <c r="E93" s="1">
        <f ca="1">掉落细节配置!AI91</f>
        <v>7000</v>
      </c>
    </row>
    <row r="94" spans="1:5" x14ac:dyDescent="0.25">
      <c r="A94" s="1">
        <f ca="1">掉落细节配置!AE92</f>
        <v>3502</v>
      </c>
      <c r="B94" s="1">
        <f ca="1">掉落细节配置!AF92</f>
        <v>35</v>
      </c>
      <c r="C94" s="1">
        <f ca="1">掉落细节配置!AG92</f>
        <v>92140</v>
      </c>
      <c r="D94" s="1" t="str">
        <f ca="1">掉落细节配置!AH92</f>
        <v>{4}</v>
      </c>
      <c r="E94" s="1">
        <f ca="1">掉落细节配置!AI92</f>
        <v>2000</v>
      </c>
    </row>
    <row r="95" spans="1:5" x14ac:dyDescent="0.25">
      <c r="A95" s="1">
        <f ca="1">掉落细节配置!AE93</f>
        <v>3503</v>
      </c>
      <c r="B95" s="1">
        <f ca="1">掉落细节配置!AF93</f>
        <v>35</v>
      </c>
      <c r="C95" s="1">
        <f ca="1">掉落细节配置!AG93</f>
        <v>92140</v>
      </c>
      <c r="D95" s="1" t="str">
        <f ca="1">掉落细节配置!AH93</f>
        <v>{5}</v>
      </c>
      <c r="E95" s="1">
        <f ca="1">掉落细节配置!AI93</f>
        <v>1000</v>
      </c>
    </row>
    <row r="96" spans="1:5" x14ac:dyDescent="0.25">
      <c r="A96" s="1">
        <f ca="1">掉落细节配置!AE94</f>
        <v>3601</v>
      </c>
      <c r="B96" s="1">
        <f ca="1">掉落细节配置!AF94</f>
        <v>36</v>
      </c>
      <c r="C96" s="1">
        <f ca="1">掉落细节配置!AG94</f>
        <v>92220</v>
      </c>
      <c r="D96" s="1" t="str">
        <f ca="1">掉落细节配置!AH94</f>
        <v>{3}</v>
      </c>
      <c r="E96" s="1">
        <f ca="1">掉落细节配置!AI94</f>
        <v>7000</v>
      </c>
    </row>
    <row r="97" spans="1:5" x14ac:dyDescent="0.25">
      <c r="A97" s="1">
        <f ca="1">掉落细节配置!AE95</f>
        <v>3602</v>
      </c>
      <c r="B97" s="1">
        <f ca="1">掉落细节配置!AF95</f>
        <v>36</v>
      </c>
      <c r="C97" s="1">
        <f ca="1">掉落细节配置!AG95</f>
        <v>92220</v>
      </c>
      <c r="D97" s="1" t="str">
        <f ca="1">掉落细节配置!AH95</f>
        <v>{4}</v>
      </c>
      <c r="E97" s="1">
        <f ca="1">掉落细节配置!AI95</f>
        <v>2000</v>
      </c>
    </row>
    <row r="98" spans="1:5" x14ac:dyDescent="0.25">
      <c r="A98" s="1">
        <f ca="1">掉落细节配置!AE96</f>
        <v>3603</v>
      </c>
      <c r="B98" s="1">
        <f ca="1">掉落细节配置!AF96</f>
        <v>36</v>
      </c>
      <c r="C98" s="1">
        <f ca="1">掉落细节配置!AG96</f>
        <v>92220</v>
      </c>
      <c r="D98" s="1" t="str">
        <f ca="1">掉落细节配置!AH96</f>
        <v>{5}</v>
      </c>
      <c r="E98" s="1">
        <f ca="1">掉落细节配置!AI96</f>
        <v>1000</v>
      </c>
    </row>
    <row r="99" spans="1:5" x14ac:dyDescent="0.25">
      <c r="A99" s="1">
        <f ca="1">掉落细节配置!AE97</f>
        <v>3701</v>
      </c>
      <c r="B99" s="1">
        <f ca="1">掉落细节配置!AF97</f>
        <v>37</v>
      </c>
      <c r="C99" s="1">
        <f ca="1">掉落细节配置!AG97</f>
        <v>92230</v>
      </c>
      <c r="D99" s="1" t="str">
        <f ca="1">掉落细节配置!AH97</f>
        <v>{3}</v>
      </c>
      <c r="E99" s="1">
        <f ca="1">掉落细节配置!AI97</f>
        <v>7000</v>
      </c>
    </row>
    <row r="100" spans="1:5" x14ac:dyDescent="0.25">
      <c r="A100" s="1">
        <f ca="1">掉落细节配置!AE98</f>
        <v>3702</v>
      </c>
      <c r="B100" s="1">
        <f ca="1">掉落细节配置!AF98</f>
        <v>37</v>
      </c>
      <c r="C100" s="1">
        <f ca="1">掉落细节配置!AG98</f>
        <v>92230</v>
      </c>
      <c r="D100" s="1" t="str">
        <f ca="1">掉落细节配置!AH98</f>
        <v>{4}</v>
      </c>
      <c r="E100" s="1">
        <f ca="1">掉落细节配置!AI98</f>
        <v>2000</v>
      </c>
    </row>
    <row r="101" spans="1:5" x14ac:dyDescent="0.25">
      <c r="A101" s="1">
        <f ca="1">掉落细节配置!AE99</f>
        <v>3703</v>
      </c>
      <c r="B101" s="1">
        <f ca="1">掉落细节配置!AF99</f>
        <v>37</v>
      </c>
      <c r="C101" s="1">
        <f ca="1">掉落细节配置!AG99</f>
        <v>92230</v>
      </c>
      <c r="D101" s="1" t="str">
        <f ca="1">掉落细节配置!AH99</f>
        <v>{5}</v>
      </c>
      <c r="E101" s="1">
        <f ca="1">掉落细节配置!AI99</f>
        <v>1000</v>
      </c>
    </row>
    <row r="102" spans="1:5" x14ac:dyDescent="0.25">
      <c r="A102" s="1">
        <f ca="1">掉落细节配置!AE100</f>
        <v>3801</v>
      </c>
      <c r="B102" s="1">
        <f ca="1">掉落细节配置!AF100</f>
        <v>38</v>
      </c>
      <c r="C102" s="1">
        <f ca="1">掉落细节配置!AG100</f>
        <v>92240</v>
      </c>
      <c r="D102" s="1" t="str">
        <f ca="1">掉落细节配置!AH100</f>
        <v>{3}</v>
      </c>
      <c r="E102" s="1">
        <f ca="1">掉落细节配置!AI100</f>
        <v>7000</v>
      </c>
    </row>
    <row r="103" spans="1:5" x14ac:dyDescent="0.25">
      <c r="A103" s="1">
        <f ca="1">掉落细节配置!AE101</f>
        <v>3802</v>
      </c>
      <c r="B103" s="1">
        <f ca="1">掉落细节配置!AF101</f>
        <v>38</v>
      </c>
      <c r="C103" s="1">
        <f ca="1">掉落细节配置!AG101</f>
        <v>92240</v>
      </c>
      <c r="D103" s="1" t="str">
        <f ca="1">掉落细节配置!AH101</f>
        <v>{4}</v>
      </c>
      <c r="E103" s="1">
        <f ca="1">掉落细节配置!AI101</f>
        <v>2000</v>
      </c>
    </row>
    <row r="104" spans="1:5" x14ac:dyDescent="0.25">
      <c r="A104" s="1">
        <f ca="1">掉落细节配置!AE102</f>
        <v>3803</v>
      </c>
      <c r="B104" s="1">
        <f ca="1">掉落细节配置!AF102</f>
        <v>38</v>
      </c>
      <c r="C104" s="1">
        <f ca="1">掉落细节配置!AG102</f>
        <v>92240</v>
      </c>
      <c r="D104" s="1" t="str">
        <f ca="1">掉落细节配置!AH102</f>
        <v>{5}</v>
      </c>
      <c r="E104" s="1">
        <f ca="1">掉落细节配置!AI102</f>
        <v>1000</v>
      </c>
    </row>
    <row r="105" spans="1:5" x14ac:dyDescent="0.25">
      <c r="A105" s="1">
        <f ca="1">掉落细节配置!AE103</f>
        <v>3901</v>
      </c>
      <c r="B105" s="1">
        <f ca="1">掉落细节配置!AF103</f>
        <v>39</v>
      </c>
      <c r="C105" s="1">
        <f ca="1">掉落细节配置!AG103</f>
        <v>92320</v>
      </c>
      <c r="D105" s="1" t="str">
        <f ca="1">掉落细节配置!AH103</f>
        <v>{3}</v>
      </c>
      <c r="E105" s="1">
        <f ca="1">掉落细节配置!AI103</f>
        <v>7000</v>
      </c>
    </row>
    <row r="106" spans="1:5" x14ac:dyDescent="0.25">
      <c r="A106" s="1">
        <f ca="1">掉落细节配置!AE104</f>
        <v>3902</v>
      </c>
      <c r="B106" s="1">
        <f ca="1">掉落细节配置!AF104</f>
        <v>39</v>
      </c>
      <c r="C106" s="1">
        <f ca="1">掉落细节配置!AG104</f>
        <v>92320</v>
      </c>
      <c r="D106" s="1" t="str">
        <f ca="1">掉落细节配置!AH104</f>
        <v>{4}</v>
      </c>
      <c r="E106" s="1">
        <f ca="1">掉落细节配置!AI104</f>
        <v>2000</v>
      </c>
    </row>
    <row r="107" spans="1:5" x14ac:dyDescent="0.25">
      <c r="A107" s="1">
        <f ca="1">掉落细节配置!AE105</f>
        <v>3903</v>
      </c>
      <c r="B107" s="1">
        <f ca="1">掉落细节配置!AF105</f>
        <v>39</v>
      </c>
      <c r="C107" s="1">
        <f ca="1">掉落细节配置!AG105</f>
        <v>92320</v>
      </c>
      <c r="D107" s="1" t="str">
        <f ca="1">掉落细节配置!AH105</f>
        <v>{5}</v>
      </c>
      <c r="E107" s="1">
        <f ca="1">掉落细节配置!AI105</f>
        <v>1000</v>
      </c>
    </row>
    <row r="108" spans="1:5" x14ac:dyDescent="0.25">
      <c r="A108" s="1">
        <f ca="1">掉落细节配置!AE106</f>
        <v>4001</v>
      </c>
      <c r="B108" s="1">
        <f ca="1">掉落细节配置!AF106</f>
        <v>40</v>
      </c>
      <c r="C108" s="1">
        <f ca="1">掉落细节配置!AG106</f>
        <v>92330</v>
      </c>
      <c r="D108" s="1" t="str">
        <f ca="1">掉落细节配置!AH106</f>
        <v>{3}</v>
      </c>
      <c r="E108" s="1">
        <f ca="1">掉落细节配置!AI106</f>
        <v>7000</v>
      </c>
    </row>
    <row r="109" spans="1:5" x14ac:dyDescent="0.25">
      <c r="A109" s="1">
        <f ca="1">掉落细节配置!AE107</f>
        <v>4002</v>
      </c>
      <c r="B109" s="1">
        <f ca="1">掉落细节配置!AF107</f>
        <v>40</v>
      </c>
      <c r="C109" s="1">
        <f ca="1">掉落细节配置!AG107</f>
        <v>92330</v>
      </c>
      <c r="D109" s="1" t="str">
        <f ca="1">掉落细节配置!AH107</f>
        <v>{4}</v>
      </c>
      <c r="E109" s="1">
        <f ca="1">掉落细节配置!AI107</f>
        <v>2000</v>
      </c>
    </row>
    <row r="110" spans="1:5" x14ac:dyDescent="0.25">
      <c r="A110" s="1">
        <f ca="1">掉落细节配置!AE108</f>
        <v>4003</v>
      </c>
      <c r="B110" s="1">
        <f ca="1">掉落细节配置!AF108</f>
        <v>40</v>
      </c>
      <c r="C110" s="1">
        <f ca="1">掉落细节配置!AG108</f>
        <v>92330</v>
      </c>
      <c r="D110" s="1" t="str">
        <f ca="1">掉落细节配置!AH108</f>
        <v>{5}</v>
      </c>
      <c r="E110" s="1">
        <f ca="1">掉落细节配置!AI108</f>
        <v>1000</v>
      </c>
    </row>
    <row r="111" spans="1:5" x14ac:dyDescent="0.25">
      <c r="A111" s="1">
        <f ca="1">掉落细节配置!AE109</f>
        <v>4101</v>
      </c>
      <c r="B111" s="1">
        <f ca="1">掉落细节配置!AF109</f>
        <v>41</v>
      </c>
      <c r="C111" s="1">
        <f ca="1">掉落细节配置!AG109</f>
        <v>92340</v>
      </c>
      <c r="D111" s="1" t="str">
        <f ca="1">掉落细节配置!AH109</f>
        <v>{3}</v>
      </c>
      <c r="E111" s="1">
        <f ca="1">掉落细节配置!AI109</f>
        <v>7000</v>
      </c>
    </row>
    <row r="112" spans="1:5" x14ac:dyDescent="0.25">
      <c r="A112" s="1">
        <f ca="1">掉落细节配置!AE110</f>
        <v>4102</v>
      </c>
      <c r="B112" s="1">
        <f ca="1">掉落细节配置!AF110</f>
        <v>41</v>
      </c>
      <c r="C112" s="1">
        <f ca="1">掉落细节配置!AG110</f>
        <v>92340</v>
      </c>
      <c r="D112" s="1" t="str">
        <f ca="1">掉落细节配置!AH110</f>
        <v>{4}</v>
      </c>
      <c r="E112" s="1">
        <f ca="1">掉落细节配置!AI110</f>
        <v>2000</v>
      </c>
    </row>
    <row r="113" spans="1:5" x14ac:dyDescent="0.25">
      <c r="A113" s="1">
        <f ca="1">掉落细节配置!AE111</f>
        <v>4103</v>
      </c>
      <c r="B113" s="1">
        <f ca="1">掉落细节配置!AF111</f>
        <v>41</v>
      </c>
      <c r="C113" s="1">
        <f ca="1">掉落细节配置!AG111</f>
        <v>92340</v>
      </c>
      <c r="D113" s="1" t="str">
        <f ca="1">掉落细节配置!AH111</f>
        <v>{5}</v>
      </c>
      <c r="E113" s="1">
        <f ca="1">掉落细节配置!AI111</f>
        <v>1000</v>
      </c>
    </row>
    <row r="114" spans="1:5" x14ac:dyDescent="0.25">
      <c r="A114" s="1">
        <f ca="1">掉落细节配置!AE112</f>
        <v>4201</v>
      </c>
      <c r="B114" s="1">
        <f ca="1">掉落细节配置!AF112</f>
        <v>42</v>
      </c>
      <c r="C114" s="1">
        <f ca="1">掉落细节配置!AG112</f>
        <v>92420</v>
      </c>
      <c r="D114" s="1" t="str">
        <f ca="1">掉落细节配置!AH112</f>
        <v>{3}</v>
      </c>
      <c r="E114" s="1">
        <f ca="1">掉落细节配置!AI112</f>
        <v>7000</v>
      </c>
    </row>
    <row r="115" spans="1:5" x14ac:dyDescent="0.25">
      <c r="A115" s="1">
        <f ca="1">掉落细节配置!AE113</f>
        <v>4202</v>
      </c>
      <c r="B115" s="1">
        <f ca="1">掉落细节配置!AF113</f>
        <v>42</v>
      </c>
      <c r="C115" s="1">
        <f ca="1">掉落细节配置!AG113</f>
        <v>92420</v>
      </c>
      <c r="D115" s="1" t="str">
        <f ca="1">掉落细节配置!AH113</f>
        <v>{4}</v>
      </c>
      <c r="E115" s="1">
        <f ca="1">掉落细节配置!AI113</f>
        <v>2000</v>
      </c>
    </row>
    <row r="116" spans="1:5" x14ac:dyDescent="0.25">
      <c r="A116" s="1">
        <f ca="1">掉落细节配置!AE114</f>
        <v>4203</v>
      </c>
      <c r="B116" s="1">
        <f ca="1">掉落细节配置!AF114</f>
        <v>42</v>
      </c>
      <c r="C116" s="1">
        <f ca="1">掉落细节配置!AG114</f>
        <v>92420</v>
      </c>
      <c r="D116" s="1" t="str">
        <f ca="1">掉落细节配置!AH114</f>
        <v>{5}</v>
      </c>
      <c r="E116" s="1">
        <f ca="1">掉落细节配置!AI114</f>
        <v>1000</v>
      </c>
    </row>
    <row r="117" spans="1:5" x14ac:dyDescent="0.25">
      <c r="A117" s="1">
        <f ca="1">掉落细节配置!AE115</f>
        <v>4301</v>
      </c>
      <c r="B117" s="1">
        <f ca="1">掉落细节配置!AF115</f>
        <v>43</v>
      </c>
      <c r="C117" s="1">
        <f ca="1">掉落细节配置!AG115</f>
        <v>92430</v>
      </c>
      <c r="D117" s="1" t="str">
        <f ca="1">掉落细节配置!AH115</f>
        <v>{3}</v>
      </c>
      <c r="E117" s="1">
        <f ca="1">掉落细节配置!AI115</f>
        <v>7000</v>
      </c>
    </row>
    <row r="118" spans="1:5" x14ac:dyDescent="0.25">
      <c r="A118" s="1">
        <f ca="1">掉落细节配置!AE116</f>
        <v>4302</v>
      </c>
      <c r="B118" s="1">
        <f ca="1">掉落细节配置!AF116</f>
        <v>43</v>
      </c>
      <c r="C118" s="1">
        <f ca="1">掉落细节配置!AG116</f>
        <v>92430</v>
      </c>
      <c r="D118" s="1" t="str">
        <f ca="1">掉落细节配置!AH116</f>
        <v>{4}</v>
      </c>
      <c r="E118" s="1">
        <f ca="1">掉落细节配置!AI116</f>
        <v>2000</v>
      </c>
    </row>
    <row r="119" spans="1:5" x14ac:dyDescent="0.25">
      <c r="A119" s="1">
        <f ca="1">掉落细节配置!AE117</f>
        <v>4303</v>
      </c>
      <c r="B119" s="1">
        <f ca="1">掉落细节配置!AF117</f>
        <v>43</v>
      </c>
      <c r="C119" s="1">
        <f ca="1">掉落细节配置!AG117</f>
        <v>92430</v>
      </c>
      <c r="D119" s="1" t="str">
        <f ca="1">掉落细节配置!AH117</f>
        <v>{5}</v>
      </c>
      <c r="E119" s="1">
        <f ca="1">掉落细节配置!AI117</f>
        <v>1000</v>
      </c>
    </row>
    <row r="120" spans="1:5" x14ac:dyDescent="0.25">
      <c r="A120" s="1">
        <f ca="1">掉落细节配置!AE118</f>
        <v>4401</v>
      </c>
      <c r="B120" s="1">
        <f ca="1">掉落细节配置!AF118</f>
        <v>44</v>
      </c>
      <c r="C120" s="1">
        <f ca="1">掉落细节配置!AG118</f>
        <v>92440</v>
      </c>
      <c r="D120" s="1" t="str">
        <f ca="1">掉落细节配置!AH118</f>
        <v>{3}</v>
      </c>
      <c r="E120" s="1">
        <f ca="1">掉落细节配置!AI118</f>
        <v>7000</v>
      </c>
    </row>
    <row r="121" spans="1:5" x14ac:dyDescent="0.25">
      <c r="A121" s="1">
        <f ca="1">掉落细节配置!AE119</f>
        <v>4402</v>
      </c>
      <c r="B121" s="1">
        <f ca="1">掉落细节配置!AF119</f>
        <v>44</v>
      </c>
      <c r="C121" s="1">
        <f ca="1">掉落细节配置!AG119</f>
        <v>92440</v>
      </c>
      <c r="D121" s="1" t="str">
        <f ca="1">掉落细节配置!AH119</f>
        <v>{4}</v>
      </c>
      <c r="E121" s="1">
        <f ca="1">掉落细节配置!AI119</f>
        <v>2000</v>
      </c>
    </row>
    <row r="122" spans="1:5" x14ac:dyDescent="0.25">
      <c r="A122" s="1">
        <f ca="1">掉落细节配置!AE120</f>
        <v>4403</v>
      </c>
      <c r="B122" s="1">
        <f ca="1">掉落细节配置!AF120</f>
        <v>44</v>
      </c>
      <c r="C122" s="1">
        <f ca="1">掉落细节配置!AG120</f>
        <v>92440</v>
      </c>
      <c r="D122" s="1" t="str">
        <f ca="1">掉落细节配置!AH120</f>
        <v>{5}</v>
      </c>
      <c r="E122" s="1">
        <f ca="1">掉落细节配置!AI120</f>
        <v>1000</v>
      </c>
    </row>
    <row r="123" spans="1:5" x14ac:dyDescent="0.25">
      <c r="A123" s="1">
        <f ca="1">掉落细节配置!AE121</f>
        <v>4501</v>
      </c>
      <c r="B123" s="1">
        <f ca="1">掉落细节配置!AF121</f>
        <v>45</v>
      </c>
      <c r="C123" s="1">
        <f ca="1">掉落细节配置!AG121</f>
        <v>92520</v>
      </c>
      <c r="D123" s="1" t="str">
        <f ca="1">掉落细节配置!AH121</f>
        <v>{3}</v>
      </c>
      <c r="E123" s="1">
        <f ca="1">掉落细节配置!AI121</f>
        <v>7000</v>
      </c>
    </row>
    <row r="124" spans="1:5" x14ac:dyDescent="0.25">
      <c r="A124" s="1">
        <f ca="1">掉落细节配置!AE122</f>
        <v>4502</v>
      </c>
      <c r="B124" s="1">
        <f ca="1">掉落细节配置!AF122</f>
        <v>45</v>
      </c>
      <c r="C124" s="1">
        <f ca="1">掉落细节配置!AG122</f>
        <v>92520</v>
      </c>
      <c r="D124" s="1" t="str">
        <f ca="1">掉落细节配置!AH122</f>
        <v>{4}</v>
      </c>
      <c r="E124" s="1">
        <f ca="1">掉落细节配置!AI122</f>
        <v>2000</v>
      </c>
    </row>
    <row r="125" spans="1:5" x14ac:dyDescent="0.25">
      <c r="A125" s="1">
        <f ca="1">掉落细节配置!AE123</f>
        <v>4503</v>
      </c>
      <c r="B125" s="1">
        <f ca="1">掉落细节配置!AF123</f>
        <v>45</v>
      </c>
      <c r="C125" s="1">
        <f ca="1">掉落细节配置!AG123</f>
        <v>92520</v>
      </c>
      <c r="D125" s="1" t="str">
        <f ca="1">掉落细节配置!AH123</f>
        <v>{5}</v>
      </c>
      <c r="E125" s="1">
        <f ca="1">掉落细节配置!AI123</f>
        <v>1000</v>
      </c>
    </row>
    <row r="126" spans="1:5" x14ac:dyDescent="0.25">
      <c r="A126" s="1">
        <f ca="1">掉落细节配置!AE124</f>
        <v>4601</v>
      </c>
      <c r="B126" s="1">
        <f ca="1">掉落细节配置!AF124</f>
        <v>46</v>
      </c>
      <c r="C126" s="1">
        <f ca="1">掉落细节配置!AG124</f>
        <v>92530</v>
      </c>
      <c r="D126" s="1" t="str">
        <f ca="1">掉落细节配置!AH124</f>
        <v>{3}</v>
      </c>
      <c r="E126" s="1">
        <f ca="1">掉落细节配置!AI124</f>
        <v>7000</v>
      </c>
    </row>
    <row r="127" spans="1:5" x14ac:dyDescent="0.25">
      <c r="A127" s="1">
        <f ca="1">掉落细节配置!AE125</f>
        <v>4602</v>
      </c>
      <c r="B127" s="1">
        <f ca="1">掉落细节配置!AF125</f>
        <v>46</v>
      </c>
      <c r="C127" s="1">
        <f ca="1">掉落细节配置!AG125</f>
        <v>92530</v>
      </c>
      <c r="D127" s="1" t="str">
        <f ca="1">掉落细节配置!AH125</f>
        <v>{4}</v>
      </c>
      <c r="E127" s="1">
        <f ca="1">掉落细节配置!AI125</f>
        <v>2000</v>
      </c>
    </row>
    <row r="128" spans="1:5" x14ac:dyDescent="0.25">
      <c r="A128" s="1">
        <f ca="1">掉落细节配置!AE126</f>
        <v>4603</v>
      </c>
      <c r="B128" s="1">
        <f ca="1">掉落细节配置!AF126</f>
        <v>46</v>
      </c>
      <c r="C128" s="1">
        <f ca="1">掉落细节配置!AG126</f>
        <v>92530</v>
      </c>
      <c r="D128" s="1" t="str">
        <f ca="1">掉落细节配置!AH126</f>
        <v>{5}</v>
      </c>
      <c r="E128" s="1">
        <f ca="1">掉落细节配置!AI126</f>
        <v>1000</v>
      </c>
    </row>
    <row r="129" spans="1:5" x14ac:dyDescent="0.25">
      <c r="A129" s="1">
        <f ca="1">掉落细节配置!AE127</f>
        <v>4701</v>
      </c>
      <c r="B129" s="1">
        <f ca="1">掉落细节配置!AF127</f>
        <v>47</v>
      </c>
      <c r="C129" s="1">
        <f ca="1">掉落细节配置!AG127</f>
        <v>92540</v>
      </c>
      <c r="D129" s="1" t="str">
        <f ca="1">掉落细节配置!AH127</f>
        <v>{3}</v>
      </c>
      <c r="E129" s="1">
        <f ca="1">掉落细节配置!AI127</f>
        <v>7000</v>
      </c>
    </row>
    <row r="130" spans="1:5" x14ac:dyDescent="0.25">
      <c r="A130" s="1">
        <f ca="1">掉落细节配置!AE128</f>
        <v>4702</v>
      </c>
      <c r="B130" s="1">
        <f ca="1">掉落细节配置!AF128</f>
        <v>47</v>
      </c>
      <c r="C130" s="1">
        <f ca="1">掉落细节配置!AG128</f>
        <v>92540</v>
      </c>
      <c r="D130" s="1" t="str">
        <f ca="1">掉落细节配置!AH128</f>
        <v>{4}</v>
      </c>
      <c r="E130" s="1">
        <f ca="1">掉落细节配置!AI128</f>
        <v>2000</v>
      </c>
    </row>
    <row r="131" spans="1:5" x14ac:dyDescent="0.25">
      <c r="A131" s="1">
        <f ca="1">掉落细节配置!AE129</f>
        <v>4703</v>
      </c>
      <c r="B131" s="1">
        <f ca="1">掉落细节配置!AF129</f>
        <v>47</v>
      </c>
      <c r="C131" s="1">
        <f ca="1">掉落细节配置!AG129</f>
        <v>92540</v>
      </c>
      <c r="D131" s="1" t="str">
        <f ca="1">掉落细节配置!AH129</f>
        <v>{5}</v>
      </c>
      <c r="E131" s="1">
        <f ca="1">掉落细节配置!AI129</f>
        <v>1000</v>
      </c>
    </row>
    <row r="132" spans="1:5" x14ac:dyDescent="0.25">
      <c r="A132" s="1">
        <f ca="1">掉落细节配置!AE130</f>
        <v>4801</v>
      </c>
      <c r="B132" s="1">
        <f ca="1">掉落细节配置!AF130</f>
        <v>48</v>
      </c>
      <c r="C132" s="1">
        <f ca="1">掉落细节配置!AG130</f>
        <v>92620</v>
      </c>
      <c r="D132" s="1" t="str">
        <f ca="1">掉落细节配置!AH130</f>
        <v>{3}</v>
      </c>
      <c r="E132" s="1">
        <f ca="1">掉落细节配置!AI130</f>
        <v>7000</v>
      </c>
    </row>
    <row r="133" spans="1:5" x14ac:dyDescent="0.25">
      <c r="A133" s="1">
        <f ca="1">掉落细节配置!AE131</f>
        <v>4802</v>
      </c>
      <c r="B133" s="1">
        <f ca="1">掉落细节配置!AF131</f>
        <v>48</v>
      </c>
      <c r="C133" s="1">
        <f ca="1">掉落细节配置!AG131</f>
        <v>92620</v>
      </c>
      <c r="D133" s="1" t="str">
        <f ca="1">掉落细节配置!AH131</f>
        <v>{4}</v>
      </c>
      <c r="E133" s="1">
        <f ca="1">掉落细节配置!AI131</f>
        <v>2000</v>
      </c>
    </row>
    <row r="134" spans="1:5" x14ac:dyDescent="0.25">
      <c r="A134" s="1">
        <f ca="1">掉落细节配置!AE132</f>
        <v>4803</v>
      </c>
      <c r="B134" s="1">
        <f ca="1">掉落细节配置!AF132</f>
        <v>48</v>
      </c>
      <c r="C134" s="1">
        <f ca="1">掉落细节配置!AG132</f>
        <v>92620</v>
      </c>
      <c r="D134" s="1" t="str">
        <f ca="1">掉落细节配置!AH132</f>
        <v>{5}</v>
      </c>
      <c r="E134" s="1">
        <f ca="1">掉落细节配置!AI132</f>
        <v>1000</v>
      </c>
    </row>
    <row r="135" spans="1:5" x14ac:dyDescent="0.25">
      <c r="A135" s="1">
        <f ca="1">掉落细节配置!AE133</f>
        <v>4901</v>
      </c>
      <c r="B135" s="1">
        <f ca="1">掉落细节配置!AF133</f>
        <v>49</v>
      </c>
      <c r="C135" s="1">
        <f ca="1">掉落细节配置!AG133</f>
        <v>92630</v>
      </c>
      <c r="D135" s="1" t="str">
        <f ca="1">掉落细节配置!AH133</f>
        <v>{3}</v>
      </c>
      <c r="E135" s="1">
        <f ca="1">掉落细节配置!AI133</f>
        <v>7000</v>
      </c>
    </row>
    <row r="136" spans="1:5" x14ac:dyDescent="0.25">
      <c r="A136" s="1">
        <f ca="1">掉落细节配置!AE134</f>
        <v>4902</v>
      </c>
      <c r="B136" s="1">
        <f ca="1">掉落细节配置!AF134</f>
        <v>49</v>
      </c>
      <c r="C136" s="1">
        <f ca="1">掉落细节配置!AG134</f>
        <v>92630</v>
      </c>
      <c r="D136" s="1" t="str">
        <f ca="1">掉落细节配置!AH134</f>
        <v>{4}</v>
      </c>
      <c r="E136" s="1">
        <f ca="1">掉落细节配置!AI134</f>
        <v>2000</v>
      </c>
    </row>
    <row r="137" spans="1:5" x14ac:dyDescent="0.25">
      <c r="A137" s="1">
        <f ca="1">掉落细节配置!AE135</f>
        <v>4903</v>
      </c>
      <c r="B137" s="1">
        <f ca="1">掉落细节配置!AF135</f>
        <v>49</v>
      </c>
      <c r="C137" s="1">
        <f ca="1">掉落细节配置!AG135</f>
        <v>92630</v>
      </c>
      <c r="D137" s="1" t="str">
        <f ca="1">掉落细节配置!AH135</f>
        <v>{5}</v>
      </c>
      <c r="E137" s="1">
        <f ca="1">掉落细节配置!AI135</f>
        <v>1000</v>
      </c>
    </row>
    <row r="138" spans="1:5" x14ac:dyDescent="0.25">
      <c r="A138" s="1">
        <f ca="1">掉落细节配置!AE136</f>
        <v>5001</v>
      </c>
      <c r="B138" s="1">
        <f ca="1">掉落细节配置!AF136</f>
        <v>50</v>
      </c>
      <c r="C138" s="1">
        <f ca="1">掉落细节配置!AG136</f>
        <v>92640</v>
      </c>
      <c r="D138" s="1" t="str">
        <f ca="1">掉落细节配置!AH136</f>
        <v>{3}</v>
      </c>
      <c r="E138" s="1">
        <f ca="1">掉落细节配置!AI136</f>
        <v>7000</v>
      </c>
    </row>
    <row r="139" spans="1:5" x14ac:dyDescent="0.25">
      <c r="A139" s="1">
        <f ca="1">掉落细节配置!AE137</f>
        <v>5002</v>
      </c>
      <c r="B139" s="1">
        <f ca="1">掉落细节配置!AF137</f>
        <v>50</v>
      </c>
      <c r="C139" s="1">
        <f ca="1">掉落细节配置!AG137</f>
        <v>92640</v>
      </c>
      <c r="D139" s="1" t="str">
        <f ca="1">掉落细节配置!AH137</f>
        <v>{4}</v>
      </c>
      <c r="E139" s="1">
        <f ca="1">掉落细节配置!AI137</f>
        <v>2000</v>
      </c>
    </row>
    <row r="140" spans="1:5" x14ac:dyDescent="0.25">
      <c r="A140" s="1">
        <f ca="1">掉落细节配置!AE138</f>
        <v>5003</v>
      </c>
      <c r="B140" s="1">
        <f ca="1">掉落细节配置!AF138</f>
        <v>50</v>
      </c>
      <c r="C140" s="1">
        <f ca="1">掉落细节配置!AG138</f>
        <v>92640</v>
      </c>
      <c r="D140" s="1" t="str">
        <f ca="1">掉落细节配置!AH138</f>
        <v>{5}</v>
      </c>
      <c r="E140" s="1">
        <f ca="1">掉落细节配置!AI138</f>
        <v>1000</v>
      </c>
    </row>
    <row r="141" spans="1:5" x14ac:dyDescent="0.25">
      <c r="A141" s="1">
        <f ca="1">掉落细节配置!AE139</f>
        <v>5101</v>
      </c>
      <c r="B141" s="1">
        <f ca="1">掉落细节配置!AF139</f>
        <v>51</v>
      </c>
      <c r="C141" s="1">
        <f ca="1">掉落细节配置!AG139</f>
        <v>92720</v>
      </c>
      <c r="D141" s="1" t="str">
        <f ca="1">掉落细节配置!AH139</f>
        <v>{3}</v>
      </c>
      <c r="E141" s="1">
        <f ca="1">掉落细节配置!AI139</f>
        <v>7000</v>
      </c>
    </row>
    <row r="142" spans="1:5" x14ac:dyDescent="0.25">
      <c r="A142" s="1">
        <f ca="1">掉落细节配置!AE140</f>
        <v>5102</v>
      </c>
      <c r="B142" s="1">
        <f ca="1">掉落细节配置!AF140</f>
        <v>51</v>
      </c>
      <c r="C142" s="1">
        <f ca="1">掉落细节配置!AG140</f>
        <v>92720</v>
      </c>
      <c r="D142" s="1" t="str">
        <f ca="1">掉落细节配置!AH140</f>
        <v>{4}</v>
      </c>
      <c r="E142" s="1">
        <f ca="1">掉落细节配置!AI140</f>
        <v>2000</v>
      </c>
    </row>
    <row r="143" spans="1:5" x14ac:dyDescent="0.25">
      <c r="A143" s="1">
        <f ca="1">掉落细节配置!AE141</f>
        <v>5103</v>
      </c>
      <c r="B143" s="1">
        <f ca="1">掉落细节配置!AF141</f>
        <v>51</v>
      </c>
      <c r="C143" s="1">
        <f ca="1">掉落细节配置!AG141</f>
        <v>92720</v>
      </c>
      <c r="D143" s="1" t="str">
        <f ca="1">掉落细节配置!AH141</f>
        <v>{5}</v>
      </c>
      <c r="E143" s="1">
        <f ca="1">掉落细节配置!AI141</f>
        <v>1000</v>
      </c>
    </row>
    <row r="144" spans="1:5" x14ac:dyDescent="0.25">
      <c r="A144" s="1">
        <f ca="1">掉落细节配置!AE142</f>
        <v>5201</v>
      </c>
      <c r="B144" s="1">
        <f ca="1">掉落细节配置!AF142</f>
        <v>52</v>
      </c>
      <c r="C144" s="1">
        <f ca="1">掉落细节配置!AG142</f>
        <v>92730</v>
      </c>
      <c r="D144" s="1" t="str">
        <f ca="1">掉落细节配置!AH142</f>
        <v>{3}</v>
      </c>
      <c r="E144" s="1">
        <f ca="1">掉落细节配置!AI142</f>
        <v>7000</v>
      </c>
    </row>
    <row r="145" spans="1:5" x14ac:dyDescent="0.25">
      <c r="A145" s="1">
        <f ca="1">掉落细节配置!AE143</f>
        <v>5202</v>
      </c>
      <c r="B145" s="1">
        <f ca="1">掉落细节配置!AF143</f>
        <v>52</v>
      </c>
      <c r="C145" s="1">
        <f ca="1">掉落细节配置!AG143</f>
        <v>92730</v>
      </c>
      <c r="D145" s="1" t="str">
        <f ca="1">掉落细节配置!AH143</f>
        <v>{4}</v>
      </c>
      <c r="E145" s="1">
        <f ca="1">掉落细节配置!AI143</f>
        <v>2000</v>
      </c>
    </row>
    <row r="146" spans="1:5" x14ac:dyDescent="0.25">
      <c r="A146" s="1">
        <f ca="1">掉落细节配置!AE144</f>
        <v>5203</v>
      </c>
      <c r="B146" s="1">
        <f ca="1">掉落细节配置!AF144</f>
        <v>52</v>
      </c>
      <c r="C146" s="1">
        <f ca="1">掉落细节配置!AG144</f>
        <v>92730</v>
      </c>
      <c r="D146" s="1" t="str">
        <f ca="1">掉落细节配置!AH144</f>
        <v>{5}</v>
      </c>
      <c r="E146" s="1">
        <f ca="1">掉落细节配置!AI144</f>
        <v>1000</v>
      </c>
    </row>
    <row r="147" spans="1:5" x14ac:dyDescent="0.25">
      <c r="A147" s="1">
        <f ca="1">掉落细节配置!AE145</f>
        <v>5301</v>
      </c>
      <c r="B147" s="1">
        <f ca="1">掉落细节配置!AF145</f>
        <v>53</v>
      </c>
      <c r="C147" s="1">
        <f ca="1">掉落细节配置!AG145</f>
        <v>92740</v>
      </c>
      <c r="D147" s="1" t="str">
        <f ca="1">掉落细节配置!AH145</f>
        <v>{3}</v>
      </c>
      <c r="E147" s="1">
        <f ca="1">掉落细节配置!AI145</f>
        <v>7000</v>
      </c>
    </row>
    <row r="148" spans="1:5" x14ac:dyDescent="0.25">
      <c r="A148" s="1">
        <f ca="1">掉落细节配置!AE146</f>
        <v>5302</v>
      </c>
      <c r="B148" s="1">
        <f ca="1">掉落细节配置!AF146</f>
        <v>53</v>
      </c>
      <c r="C148" s="1">
        <f ca="1">掉落细节配置!AG146</f>
        <v>92740</v>
      </c>
      <c r="D148" s="1" t="str">
        <f ca="1">掉落细节配置!AH146</f>
        <v>{4}</v>
      </c>
      <c r="E148" s="1">
        <f ca="1">掉落细节配置!AI146</f>
        <v>2000</v>
      </c>
    </row>
    <row r="149" spans="1:5" x14ac:dyDescent="0.25">
      <c r="A149" s="1">
        <f ca="1">掉落细节配置!AE147</f>
        <v>5303</v>
      </c>
      <c r="B149" s="1">
        <f ca="1">掉落细节配置!AF147</f>
        <v>53</v>
      </c>
      <c r="C149" s="1">
        <f ca="1">掉落细节配置!AG147</f>
        <v>92740</v>
      </c>
      <c r="D149" s="1" t="str">
        <f ca="1">掉落细节配置!AH147</f>
        <v>{5}</v>
      </c>
      <c r="E149" s="1">
        <f ca="1">掉落细节配置!AI147</f>
        <v>1000</v>
      </c>
    </row>
    <row r="150" spans="1:5" x14ac:dyDescent="0.25">
      <c r="A150" s="1">
        <f ca="1">掉落细节配置!AE148</f>
        <v>5401</v>
      </c>
      <c r="B150" s="1">
        <f ca="1">掉落细节配置!AF148</f>
        <v>54</v>
      </c>
      <c r="C150" s="1">
        <f ca="1">掉落细节配置!AG148</f>
        <v>4002100</v>
      </c>
      <c r="D150" s="1" t="str">
        <f ca="1">掉落细节配置!AH148</f>
        <v>{8}</v>
      </c>
      <c r="E150" s="1">
        <f ca="1">掉落细节配置!AI148</f>
        <v>1000</v>
      </c>
    </row>
    <row r="151" spans="1:5" x14ac:dyDescent="0.25">
      <c r="A151" s="1">
        <f ca="1">掉落细节配置!AE149</f>
        <v>5402</v>
      </c>
      <c r="B151" s="1">
        <f ca="1">掉落细节配置!AF149</f>
        <v>54</v>
      </c>
      <c r="C151" s="1">
        <f ca="1">掉落细节配置!AG149</f>
        <v>4002100</v>
      </c>
      <c r="D151" s="1" t="str">
        <f ca="1">掉落细节配置!AH149</f>
        <v>{10}</v>
      </c>
      <c r="E151" s="1">
        <f ca="1">掉落细节配置!AI149</f>
        <v>4000</v>
      </c>
    </row>
    <row r="152" spans="1:5" x14ac:dyDescent="0.25">
      <c r="A152" s="1">
        <f ca="1">掉落细节配置!AE150</f>
        <v>5403</v>
      </c>
      <c r="B152" s="1">
        <f ca="1">掉落细节配置!AF150</f>
        <v>54</v>
      </c>
      <c r="C152" s="1">
        <f ca="1">掉落细节配置!AG150</f>
        <v>4002100</v>
      </c>
      <c r="D152" s="1" t="str">
        <f ca="1">掉落细节配置!AH150</f>
        <v>{12}</v>
      </c>
      <c r="E152" s="1">
        <f ca="1">掉落细节配置!AI150</f>
        <v>4000</v>
      </c>
    </row>
    <row r="153" spans="1:5" x14ac:dyDescent="0.25">
      <c r="A153" s="1">
        <f ca="1">掉落细节配置!AE151</f>
        <v>5404</v>
      </c>
      <c r="B153" s="1">
        <f ca="1">掉落细节配置!AF151</f>
        <v>54</v>
      </c>
      <c r="C153" s="1">
        <f ca="1">掉落细节配置!AG151</f>
        <v>4002100</v>
      </c>
      <c r="D153" s="1" t="str">
        <f ca="1">掉落细节配置!AH151</f>
        <v>{14}</v>
      </c>
      <c r="E153" s="1">
        <f ca="1">掉落细节配置!AI151</f>
        <v>1000</v>
      </c>
    </row>
    <row r="154" spans="1:5" x14ac:dyDescent="0.25">
      <c r="A154" s="1">
        <f ca="1">掉落细节配置!AE152</f>
        <v>5501</v>
      </c>
      <c r="B154" s="1">
        <f ca="1">掉落细节配置!AF152</f>
        <v>55</v>
      </c>
      <c r="C154" s="1">
        <f ca="1">掉落细节配置!AG152</f>
        <v>4003100</v>
      </c>
      <c r="D154" s="1" t="str">
        <f ca="1">掉落细节配置!AH152</f>
        <v>{0}</v>
      </c>
      <c r="E154" s="1">
        <f ca="1">掉落细节配置!AI152</f>
        <v>1000</v>
      </c>
    </row>
    <row r="155" spans="1:5" x14ac:dyDescent="0.25">
      <c r="A155" s="1">
        <f ca="1">掉落细节配置!AE153</f>
        <v>5502</v>
      </c>
      <c r="B155" s="1">
        <f ca="1">掉落细节配置!AF153</f>
        <v>55</v>
      </c>
      <c r="C155" s="1">
        <f ca="1">掉落细节配置!AG153</f>
        <v>4003100</v>
      </c>
      <c r="D155" s="1" t="str">
        <f ca="1">掉落细节配置!AH153</f>
        <v>{1}</v>
      </c>
      <c r="E155" s="1">
        <f ca="1">掉落细节配置!AI153</f>
        <v>8000</v>
      </c>
    </row>
    <row r="156" spans="1:5" x14ac:dyDescent="0.25">
      <c r="A156" s="1">
        <f ca="1">掉落细节配置!AE154</f>
        <v>5503</v>
      </c>
      <c r="B156" s="1">
        <f ca="1">掉落细节配置!AF154</f>
        <v>55</v>
      </c>
      <c r="C156" s="1">
        <f ca="1">掉落细节配置!AG154</f>
        <v>4003100</v>
      </c>
      <c r="D156" s="1" t="str">
        <f ca="1">掉落细节配置!AH154</f>
        <v>{2}</v>
      </c>
      <c r="E156" s="1">
        <f ca="1">掉落细节配置!AI154</f>
        <v>1000</v>
      </c>
    </row>
    <row r="157" spans="1:5" x14ac:dyDescent="0.25">
      <c r="A157" s="1">
        <f ca="1">掉落细节配置!AE155</f>
        <v>5601</v>
      </c>
      <c r="B157" s="1">
        <f ca="1">掉落细节配置!AF155</f>
        <v>56</v>
      </c>
      <c r="C157" s="1">
        <f ca="1">掉落细节配置!AG155</f>
        <v>4003100</v>
      </c>
      <c r="D157" s="1" t="str">
        <f ca="1">掉落细节配置!AH155</f>
        <v>{4}</v>
      </c>
      <c r="E157" s="1">
        <f ca="1">掉落细节配置!AI155</f>
        <v>1000</v>
      </c>
    </row>
    <row r="158" spans="1:5" x14ac:dyDescent="0.25">
      <c r="A158" s="1">
        <f ca="1">掉落细节配置!AE156</f>
        <v>5602</v>
      </c>
      <c r="B158" s="1">
        <f ca="1">掉落细节配置!AF156</f>
        <v>56</v>
      </c>
      <c r="C158" s="1">
        <f ca="1">掉落细节配置!AG156</f>
        <v>4003100</v>
      </c>
      <c r="D158" s="1" t="str">
        <f ca="1">掉落细节配置!AH156</f>
        <v>{5}</v>
      </c>
      <c r="E158" s="1">
        <f ca="1">掉落细节配置!AI156</f>
        <v>8000</v>
      </c>
    </row>
    <row r="159" spans="1:5" x14ac:dyDescent="0.25">
      <c r="A159" s="1">
        <f ca="1">掉落细节配置!AE157</f>
        <v>5603</v>
      </c>
      <c r="B159" s="1">
        <f ca="1">掉落细节配置!AF157</f>
        <v>56</v>
      </c>
      <c r="C159" s="1">
        <f ca="1">掉落细节配置!AG157</f>
        <v>4003100</v>
      </c>
      <c r="D159" s="1" t="str">
        <f ca="1">掉落细节配置!AH157</f>
        <v>{6}</v>
      </c>
      <c r="E159" s="1">
        <f ca="1">掉落细节配置!AI157</f>
        <v>1000</v>
      </c>
    </row>
    <row r="160" spans="1:5" x14ac:dyDescent="0.25">
      <c r="A160" s="1">
        <f ca="1">掉落细节配置!AE158</f>
        <v>5701</v>
      </c>
      <c r="B160" s="1">
        <f ca="1">掉落细节配置!AF158</f>
        <v>57</v>
      </c>
      <c r="C160" s="1">
        <f ca="1">掉落细节配置!AG158</f>
        <v>4003100</v>
      </c>
      <c r="D160" s="1" t="str">
        <f ca="1">掉落细节配置!AH158</f>
        <v>{8}</v>
      </c>
      <c r="E160" s="1">
        <f ca="1">掉落细节配置!AI158</f>
        <v>1000</v>
      </c>
    </row>
    <row r="161" spans="1:5" x14ac:dyDescent="0.25">
      <c r="A161" s="1">
        <f ca="1">掉落细节配置!AE159</f>
        <v>5702</v>
      </c>
      <c r="B161" s="1">
        <f ca="1">掉落细节配置!AF159</f>
        <v>57</v>
      </c>
      <c r="C161" s="1">
        <f ca="1">掉落细节配置!AG159</f>
        <v>4003100</v>
      </c>
      <c r="D161" s="1" t="str">
        <f ca="1">掉落细节配置!AH159</f>
        <v>{9}</v>
      </c>
      <c r="E161" s="1">
        <f ca="1">掉落细节配置!AI159</f>
        <v>8000</v>
      </c>
    </row>
    <row r="162" spans="1:5" x14ac:dyDescent="0.25">
      <c r="A162" s="1">
        <f ca="1">掉落细节配置!AE160</f>
        <v>5703</v>
      </c>
      <c r="B162" s="1">
        <f ca="1">掉落细节配置!AF160</f>
        <v>57</v>
      </c>
      <c r="C162" s="1">
        <f ca="1">掉落细节配置!AG160</f>
        <v>4003100</v>
      </c>
      <c r="D162" s="1" t="str">
        <f ca="1">掉落细节配置!AH160</f>
        <v>{10}</v>
      </c>
      <c r="E162" s="1">
        <f ca="1">掉落细节配置!AI160</f>
        <v>1000</v>
      </c>
    </row>
    <row r="163" spans="1:5" x14ac:dyDescent="0.25">
      <c r="A163" s="1">
        <f ca="1">掉落细节配置!AE161</f>
        <v>5801</v>
      </c>
      <c r="B163" s="1">
        <f ca="1">掉落细节配置!AF161</f>
        <v>58</v>
      </c>
      <c r="C163" s="1">
        <f ca="1">掉落细节配置!AG161</f>
        <v>4003100</v>
      </c>
      <c r="D163" s="1" t="str">
        <f ca="1">掉落细节配置!AH161</f>
        <v>{12}</v>
      </c>
      <c r="E163" s="1">
        <f ca="1">掉落细节配置!AI161</f>
        <v>1000</v>
      </c>
    </row>
    <row r="164" spans="1:5" x14ac:dyDescent="0.25">
      <c r="A164" s="1">
        <f ca="1">掉落细节配置!AE162</f>
        <v>5802</v>
      </c>
      <c r="B164" s="1">
        <f ca="1">掉落细节配置!AF162</f>
        <v>58</v>
      </c>
      <c r="C164" s="1">
        <f ca="1">掉落细节配置!AG162</f>
        <v>4003100</v>
      </c>
      <c r="D164" s="1" t="str">
        <f ca="1">掉落细节配置!AH162</f>
        <v>{13}</v>
      </c>
      <c r="E164" s="1">
        <f ca="1">掉落细节配置!AI162</f>
        <v>8000</v>
      </c>
    </row>
    <row r="165" spans="1:5" x14ac:dyDescent="0.25">
      <c r="A165" s="1">
        <f ca="1">掉落细节配置!AE163</f>
        <v>5803</v>
      </c>
      <c r="B165" s="1">
        <f ca="1">掉落细节配置!AF163</f>
        <v>58</v>
      </c>
      <c r="C165" s="1">
        <f ca="1">掉落细节配置!AG163</f>
        <v>4003100</v>
      </c>
      <c r="D165" s="1" t="str">
        <f ca="1">掉落细节配置!AH163</f>
        <v>{14}</v>
      </c>
      <c r="E165" s="1">
        <f ca="1">掉落细节配置!AI163</f>
        <v>1000</v>
      </c>
    </row>
    <row r="166" spans="1:5" x14ac:dyDescent="0.25">
      <c r="A166" s="1">
        <f ca="1">掉落细节配置!AE164</f>
        <v>5901</v>
      </c>
      <c r="B166" s="1">
        <f ca="1">掉落细节配置!AF164</f>
        <v>59</v>
      </c>
      <c r="C166" s="1">
        <f ca="1">掉落细节配置!AG164</f>
        <v>4003100</v>
      </c>
      <c r="D166" s="1" t="str">
        <f ca="1">掉落细节配置!AH164</f>
        <v>{16}</v>
      </c>
      <c r="E166" s="1">
        <f ca="1">掉落细节配置!AI164</f>
        <v>1000</v>
      </c>
    </row>
    <row r="167" spans="1:5" x14ac:dyDescent="0.25">
      <c r="A167" s="1">
        <f ca="1">掉落细节配置!AE165</f>
        <v>5902</v>
      </c>
      <c r="B167" s="1">
        <f ca="1">掉落细节配置!AF165</f>
        <v>59</v>
      </c>
      <c r="C167" s="1">
        <f ca="1">掉落细节配置!AG165</f>
        <v>4003100</v>
      </c>
      <c r="D167" s="1" t="str">
        <f ca="1">掉落细节配置!AH165</f>
        <v>{17}</v>
      </c>
      <c r="E167" s="1">
        <f ca="1">掉落细节配置!AI165</f>
        <v>8000</v>
      </c>
    </row>
    <row r="168" spans="1:5" x14ac:dyDescent="0.25">
      <c r="A168" s="1">
        <f ca="1">掉落细节配置!AE166</f>
        <v>5903</v>
      </c>
      <c r="B168" s="1">
        <f ca="1">掉落细节配置!AF166</f>
        <v>59</v>
      </c>
      <c r="C168" s="1">
        <f ca="1">掉落细节配置!AG166</f>
        <v>4003100</v>
      </c>
      <c r="D168" s="1" t="str">
        <f ca="1">掉落细节配置!AH166</f>
        <v>{18}</v>
      </c>
      <c r="E168" s="1">
        <f ca="1">掉落细节配置!AI166</f>
        <v>1000</v>
      </c>
    </row>
    <row r="169" spans="1:5" x14ac:dyDescent="0.25">
      <c r="A169" s="1">
        <f ca="1">掉落细节配置!AE167</f>
        <v>6001</v>
      </c>
      <c r="B169" s="1">
        <f ca="1">掉落细节配置!AF167</f>
        <v>60</v>
      </c>
      <c r="C169" s="1">
        <f ca="1">掉落细节配置!AG167</f>
        <v>4003100</v>
      </c>
      <c r="D169" s="1" t="str">
        <f ca="1">掉落细节配置!AH167</f>
        <v>{20}</v>
      </c>
      <c r="E169" s="1">
        <f ca="1">掉落细节配置!AI167</f>
        <v>1000</v>
      </c>
    </row>
    <row r="170" spans="1:5" x14ac:dyDescent="0.25">
      <c r="A170" s="1">
        <f ca="1">掉落细节配置!AE168</f>
        <v>6002</v>
      </c>
      <c r="B170" s="1">
        <f ca="1">掉落细节配置!AF168</f>
        <v>60</v>
      </c>
      <c r="C170" s="1">
        <f ca="1">掉落细节配置!AG168</f>
        <v>4003100</v>
      </c>
      <c r="D170" s="1" t="str">
        <f ca="1">掉落细节配置!AH168</f>
        <v>{21}</v>
      </c>
      <c r="E170" s="1">
        <f ca="1">掉落细节配置!AI168</f>
        <v>8000</v>
      </c>
    </row>
    <row r="171" spans="1:5" x14ac:dyDescent="0.25">
      <c r="A171" s="1">
        <f ca="1">掉落细节配置!AE169</f>
        <v>6003</v>
      </c>
      <c r="B171" s="1">
        <f ca="1">掉落细节配置!AF169</f>
        <v>60</v>
      </c>
      <c r="C171" s="1">
        <f ca="1">掉落细节配置!AG169</f>
        <v>4003100</v>
      </c>
      <c r="D171" s="1" t="str">
        <f ca="1">掉落细节配置!AH169</f>
        <v>{22}</v>
      </c>
      <c r="E171" s="1">
        <f ca="1">掉落细节配置!AI169</f>
        <v>1000</v>
      </c>
    </row>
    <row r="172" spans="1:5" x14ac:dyDescent="0.25">
      <c r="A172" s="1">
        <f ca="1">掉落细节配置!AE170</f>
        <v>6101</v>
      </c>
      <c r="B172" s="1">
        <f ca="1">掉落细节配置!AF170</f>
        <v>61</v>
      </c>
      <c r="C172" s="1">
        <f ca="1">掉落细节配置!AG170</f>
        <v>81110</v>
      </c>
      <c r="D172" s="1" t="str">
        <f ca="1">掉落细节配置!AH170</f>
        <v>{1}</v>
      </c>
      <c r="E172" s="1">
        <f ca="1">掉落细节配置!AI170</f>
        <v>10000</v>
      </c>
    </row>
    <row r="173" spans="1:5" x14ac:dyDescent="0.25">
      <c r="A173" s="1">
        <f ca="1">掉落细节配置!AE171</f>
        <v>6201</v>
      </c>
      <c r="B173" s="1">
        <f ca="1">掉落细节配置!AF171</f>
        <v>62</v>
      </c>
      <c r="C173" s="1">
        <f ca="1">掉落细节配置!AG171</f>
        <v>91120</v>
      </c>
      <c r="D173" s="1" t="str">
        <f ca="1">掉落细节配置!AH171</f>
        <v>{1}</v>
      </c>
      <c r="E173" s="1">
        <f ca="1">掉落细节配置!AI171</f>
        <v>2000</v>
      </c>
    </row>
    <row r="174" spans="1:5" x14ac:dyDescent="0.25">
      <c r="A174" s="1">
        <f ca="1">掉落细节配置!AE172</f>
        <v>6202</v>
      </c>
      <c r="B174" s="1">
        <f ca="1">掉落细节配置!AF172</f>
        <v>62</v>
      </c>
      <c r="C174" s="1">
        <f ca="1">掉落细节配置!AG172</f>
        <v>91220</v>
      </c>
      <c r="D174" s="1" t="str">
        <f ca="1">掉落细节配置!AH172</f>
        <v>{1}</v>
      </c>
      <c r="E174" s="1">
        <f ca="1">掉落细节配置!AI172</f>
        <v>3000</v>
      </c>
    </row>
    <row r="175" spans="1:5" x14ac:dyDescent="0.25">
      <c r="A175" s="1">
        <f ca="1">掉落细节配置!AE173</f>
        <v>6203</v>
      </c>
      <c r="B175" s="1">
        <f ca="1">掉落细节配置!AF173</f>
        <v>62</v>
      </c>
      <c r="C175" s="1">
        <f ca="1">掉落细节配置!AG173</f>
        <v>91320</v>
      </c>
      <c r="D175" s="1" t="str">
        <f ca="1">掉落细节配置!AH173</f>
        <v>{1}</v>
      </c>
      <c r="E175" s="1">
        <f ca="1">掉落细节配置!AI173</f>
        <v>2000</v>
      </c>
    </row>
    <row r="176" spans="1:5" x14ac:dyDescent="0.25">
      <c r="A176" s="1">
        <f ca="1">掉落细节配置!AE174</f>
        <v>6204</v>
      </c>
      <c r="B176" s="1">
        <f ca="1">掉落细节配置!AF174</f>
        <v>62</v>
      </c>
      <c r="C176" s="1">
        <f ca="1">掉落细节配置!AG174</f>
        <v>91420</v>
      </c>
      <c r="D176" s="1" t="str">
        <f ca="1">掉落细节配置!AH174</f>
        <v>{1}</v>
      </c>
      <c r="E176" s="1">
        <f ca="1">掉落细节配置!AI174</f>
        <v>2000</v>
      </c>
    </row>
    <row r="177" spans="1:5" x14ac:dyDescent="0.25">
      <c r="A177" s="1">
        <f ca="1">掉落细节配置!AE175</f>
        <v>6205</v>
      </c>
      <c r="B177" s="1">
        <f ca="1">掉落细节配置!AF175</f>
        <v>62</v>
      </c>
      <c r="C177" s="1">
        <f ca="1">掉落细节配置!AG175</f>
        <v>91520</v>
      </c>
      <c r="D177" s="1" t="str">
        <f ca="1">掉落细节配置!AH175</f>
        <v>{1}</v>
      </c>
      <c r="E177" s="1">
        <f ca="1">掉落细节配置!AI175</f>
        <v>1000</v>
      </c>
    </row>
    <row r="178" spans="1:5" x14ac:dyDescent="0.25">
      <c r="A178" s="1">
        <f ca="1">掉落细节配置!AE176</f>
        <v>6301</v>
      </c>
      <c r="B178" s="1">
        <f ca="1">掉落细节配置!AF176</f>
        <v>63</v>
      </c>
      <c r="C178" s="1">
        <f ca="1">掉落细节配置!AG176</f>
        <v>91130</v>
      </c>
      <c r="D178" s="1" t="str">
        <f ca="1">掉落细节配置!AH176</f>
        <v>{1}</v>
      </c>
      <c r="E178" s="1">
        <f ca="1">掉落细节配置!AI176</f>
        <v>2000</v>
      </c>
    </row>
    <row r="179" spans="1:5" x14ac:dyDescent="0.25">
      <c r="A179" s="1">
        <f ca="1">掉落细节配置!AE177</f>
        <v>6302</v>
      </c>
      <c r="B179" s="1">
        <f ca="1">掉落细节配置!AF177</f>
        <v>63</v>
      </c>
      <c r="C179" s="1">
        <f ca="1">掉落细节配置!AG177</f>
        <v>91230</v>
      </c>
      <c r="D179" s="1" t="str">
        <f ca="1">掉落细节配置!AH177</f>
        <v>{1}</v>
      </c>
      <c r="E179" s="1">
        <f ca="1">掉落细节配置!AI177</f>
        <v>3000</v>
      </c>
    </row>
    <row r="180" spans="1:5" x14ac:dyDescent="0.25">
      <c r="A180" s="1">
        <f ca="1">掉落细节配置!AE178</f>
        <v>6303</v>
      </c>
      <c r="B180" s="1">
        <f ca="1">掉落细节配置!AF178</f>
        <v>63</v>
      </c>
      <c r="C180" s="1">
        <f ca="1">掉落细节配置!AG178</f>
        <v>91330</v>
      </c>
      <c r="D180" s="1" t="str">
        <f ca="1">掉落细节配置!AH178</f>
        <v>{1}</v>
      </c>
      <c r="E180" s="1">
        <f ca="1">掉落细节配置!AI178</f>
        <v>2000</v>
      </c>
    </row>
    <row r="181" spans="1:5" x14ac:dyDescent="0.25">
      <c r="A181" s="1">
        <f ca="1">掉落细节配置!AE179</f>
        <v>6304</v>
      </c>
      <c r="B181" s="1">
        <f ca="1">掉落细节配置!AF179</f>
        <v>63</v>
      </c>
      <c r="C181" s="1">
        <f ca="1">掉落细节配置!AG179</f>
        <v>91430</v>
      </c>
      <c r="D181" s="1" t="str">
        <f ca="1">掉落细节配置!AH179</f>
        <v>{1}</v>
      </c>
      <c r="E181" s="1">
        <f ca="1">掉落细节配置!AI179</f>
        <v>2000</v>
      </c>
    </row>
    <row r="182" spans="1:5" x14ac:dyDescent="0.25">
      <c r="A182" s="1">
        <f ca="1">掉落细节配置!AE180</f>
        <v>6305</v>
      </c>
      <c r="B182" s="1">
        <f ca="1">掉落细节配置!AF180</f>
        <v>63</v>
      </c>
      <c r="C182" s="1">
        <f ca="1">掉落细节配置!AG180</f>
        <v>91530</v>
      </c>
      <c r="D182" s="1" t="str">
        <f ca="1">掉落细节配置!AH180</f>
        <v>{1}</v>
      </c>
      <c r="E182" s="1">
        <f ca="1">掉落细节配置!AI180</f>
        <v>1000</v>
      </c>
    </row>
    <row r="183" spans="1:5" x14ac:dyDescent="0.25">
      <c r="A183" s="1">
        <f ca="1">掉落细节配置!AE181</f>
        <v>6401</v>
      </c>
      <c r="B183" s="1">
        <f ca="1">掉落细节配置!AF181</f>
        <v>64</v>
      </c>
      <c r="C183" s="1">
        <f ca="1">掉落细节配置!AG181</f>
        <v>91140</v>
      </c>
      <c r="D183" s="1" t="str">
        <f ca="1">掉落细节配置!AH181</f>
        <v>{1}</v>
      </c>
      <c r="E183" s="1">
        <f ca="1">掉落细节配置!AI181</f>
        <v>2000</v>
      </c>
    </row>
    <row r="184" spans="1:5" x14ac:dyDescent="0.25">
      <c r="A184" s="1">
        <f ca="1">掉落细节配置!AE182</f>
        <v>6402</v>
      </c>
      <c r="B184" s="1">
        <f ca="1">掉落细节配置!AF182</f>
        <v>64</v>
      </c>
      <c r="C184" s="1">
        <f ca="1">掉落细节配置!AG182</f>
        <v>91240</v>
      </c>
      <c r="D184" s="1" t="str">
        <f ca="1">掉落细节配置!AH182</f>
        <v>{1}</v>
      </c>
      <c r="E184" s="1">
        <f ca="1">掉落细节配置!AI182</f>
        <v>3000</v>
      </c>
    </row>
    <row r="185" spans="1:5" x14ac:dyDescent="0.25">
      <c r="A185" s="1">
        <f ca="1">掉落细节配置!AE183</f>
        <v>6403</v>
      </c>
      <c r="B185" s="1">
        <f ca="1">掉落细节配置!AF183</f>
        <v>64</v>
      </c>
      <c r="C185" s="1">
        <f ca="1">掉落细节配置!AG183</f>
        <v>91340</v>
      </c>
      <c r="D185" s="1" t="str">
        <f ca="1">掉落细节配置!AH183</f>
        <v>{1}</v>
      </c>
      <c r="E185" s="1">
        <f ca="1">掉落细节配置!AI183</f>
        <v>2000</v>
      </c>
    </row>
    <row r="186" spans="1:5" x14ac:dyDescent="0.25">
      <c r="A186" s="1">
        <f ca="1">掉落细节配置!AE184</f>
        <v>6404</v>
      </c>
      <c r="B186" s="1">
        <f ca="1">掉落细节配置!AF184</f>
        <v>64</v>
      </c>
      <c r="C186" s="1">
        <f ca="1">掉落细节配置!AG184</f>
        <v>91440</v>
      </c>
      <c r="D186" s="1" t="str">
        <f ca="1">掉落细节配置!AH184</f>
        <v>{1}</v>
      </c>
      <c r="E186" s="1">
        <f ca="1">掉落细节配置!AI184</f>
        <v>2000</v>
      </c>
    </row>
    <row r="187" spans="1:5" x14ac:dyDescent="0.25">
      <c r="A187" s="1">
        <f ca="1">掉落细节配置!AE185</f>
        <v>6405</v>
      </c>
      <c r="B187" s="1">
        <f ca="1">掉落细节配置!AF185</f>
        <v>64</v>
      </c>
      <c r="C187" s="1">
        <f ca="1">掉落细节配置!AG185</f>
        <v>91540</v>
      </c>
      <c r="D187" s="1" t="str">
        <f ca="1">掉落细节配置!AH185</f>
        <v>{1}</v>
      </c>
      <c r="E187" s="1">
        <f ca="1">掉落细节配置!AI185</f>
        <v>1000</v>
      </c>
    </row>
    <row r="188" spans="1:5" x14ac:dyDescent="0.25">
      <c r="A188" s="1">
        <f ca="1">掉落细节配置!AE186</f>
        <v>6501</v>
      </c>
      <c r="B188" s="1">
        <f ca="1">掉落细节配置!AF186</f>
        <v>65</v>
      </c>
      <c r="C188" s="1">
        <f ca="1">掉落细节配置!AG186</f>
        <v>82110</v>
      </c>
      <c r="D188" s="1" t="str">
        <f ca="1">掉落细节配置!AH186</f>
        <v>{1}</v>
      </c>
      <c r="E188" s="1">
        <f ca="1">掉落细节配置!AI186</f>
        <v>10000</v>
      </c>
    </row>
    <row r="189" spans="1:5" x14ac:dyDescent="0.25">
      <c r="A189" s="1">
        <f ca="1">掉落细节配置!AE187</f>
        <v>6601</v>
      </c>
      <c r="B189" s="1">
        <f ca="1">掉落细节配置!AF187</f>
        <v>66</v>
      </c>
      <c r="C189" s="1">
        <f ca="1">掉落细节配置!AG187</f>
        <v>92120</v>
      </c>
      <c r="D189" s="1" t="str">
        <f ca="1">掉落细节配置!AH187</f>
        <v>{1}</v>
      </c>
      <c r="E189" s="1">
        <f ca="1">掉落细节配置!AI187</f>
        <v>2000</v>
      </c>
    </row>
    <row r="190" spans="1:5" x14ac:dyDescent="0.25">
      <c r="A190" s="1">
        <f ca="1">掉落细节配置!AE188</f>
        <v>6602</v>
      </c>
      <c r="B190" s="1">
        <f ca="1">掉落细节配置!AF188</f>
        <v>66</v>
      </c>
      <c r="C190" s="1">
        <f ca="1">掉落细节配置!AG188</f>
        <v>92220</v>
      </c>
      <c r="D190" s="1" t="str">
        <f ca="1">掉落细节配置!AH188</f>
        <v>{1}</v>
      </c>
      <c r="E190" s="1">
        <f ca="1">掉落细节配置!AI188</f>
        <v>3000</v>
      </c>
    </row>
    <row r="191" spans="1:5" x14ac:dyDescent="0.25">
      <c r="A191" s="1">
        <f ca="1">掉落细节配置!AE189</f>
        <v>6603</v>
      </c>
      <c r="B191" s="1">
        <f ca="1">掉落细节配置!AF189</f>
        <v>66</v>
      </c>
      <c r="C191" s="1">
        <f ca="1">掉落细节配置!AG189</f>
        <v>92320</v>
      </c>
      <c r="D191" s="1" t="str">
        <f ca="1">掉落细节配置!AH189</f>
        <v>{1}</v>
      </c>
      <c r="E191" s="1">
        <f ca="1">掉落细节配置!AI189</f>
        <v>2000</v>
      </c>
    </row>
    <row r="192" spans="1:5" x14ac:dyDescent="0.25">
      <c r="A192" s="1">
        <f ca="1">掉落细节配置!AE190</f>
        <v>6604</v>
      </c>
      <c r="B192" s="1">
        <f ca="1">掉落细节配置!AF190</f>
        <v>66</v>
      </c>
      <c r="C192" s="1">
        <f ca="1">掉落细节配置!AG190</f>
        <v>92420</v>
      </c>
      <c r="D192" s="1" t="str">
        <f ca="1">掉落细节配置!AH190</f>
        <v>{1}</v>
      </c>
      <c r="E192" s="1">
        <f ca="1">掉落细节配置!AI190</f>
        <v>2000</v>
      </c>
    </row>
    <row r="193" spans="1:5" x14ac:dyDescent="0.25">
      <c r="A193" s="1">
        <f ca="1">掉落细节配置!AE191</f>
        <v>6605</v>
      </c>
      <c r="B193" s="1">
        <f ca="1">掉落细节配置!AF191</f>
        <v>66</v>
      </c>
      <c r="C193" s="1">
        <f ca="1">掉落细节配置!AG191</f>
        <v>92520</v>
      </c>
      <c r="D193" s="1" t="str">
        <f ca="1">掉落细节配置!AH191</f>
        <v>{1}</v>
      </c>
      <c r="E193" s="1">
        <f ca="1">掉落细节配置!AI191</f>
        <v>1000</v>
      </c>
    </row>
    <row r="194" spans="1:5" x14ac:dyDescent="0.25">
      <c r="A194" s="1">
        <f ca="1">掉落细节配置!AE192</f>
        <v>6701</v>
      </c>
      <c r="B194" s="1">
        <f ca="1">掉落细节配置!AF192</f>
        <v>67</v>
      </c>
      <c r="C194" s="1">
        <f ca="1">掉落细节配置!AG192</f>
        <v>92130</v>
      </c>
      <c r="D194" s="1" t="str">
        <f ca="1">掉落细节配置!AH192</f>
        <v>{1}</v>
      </c>
      <c r="E194" s="1">
        <f ca="1">掉落细节配置!AI192</f>
        <v>2000</v>
      </c>
    </row>
    <row r="195" spans="1:5" x14ac:dyDescent="0.25">
      <c r="A195" s="1">
        <f ca="1">掉落细节配置!AE193</f>
        <v>6702</v>
      </c>
      <c r="B195" s="1">
        <f ca="1">掉落细节配置!AF193</f>
        <v>67</v>
      </c>
      <c r="C195" s="1">
        <f ca="1">掉落细节配置!AG193</f>
        <v>92230</v>
      </c>
      <c r="D195" s="1" t="str">
        <f ca="1">掉落细节配置!AH193</f>
        <v>{1}</v>
      </c>
      <c r="E195" s="1">
        <f ca="1">掉落细节配置!AI193</f>
        <v>3000</v>
      </c>
    </row>
    <row r="196" spans="1:5" x14ac:dyDescent="0.25">
      <c r="A196" s="1">
        <f ca="1">掉落细节配置!AE194</f>
        <v>6703</v>
      </c>
      <c r="B196" s="1">
        <f ca="1">掉落细节配置!AF194</f>
        <v>67</v>
      </c>
      <c r="C196" s="1">
        <f ca="1">掉落细节配置!AG194</f>
        <v>92330</v>
      </c>
      <c r="D196" s="1" t="str">
        <f ca="1">掉落细节配置!AH194</f>
        <v>{1}</v>
      </c>
      <c r="E196" s="1">
        <f ca="1">掉落细节配置!AI194</f>
        <v>2000</v>
      </c>
    </row>
    <row r="197" spans="1:5" x14ac:dyDescent="0.25">
      <c r="A197" s="1">
        <f ca="1">掉落细节配置!AE195</f>
        <v>6704</v>
      </c>
      <c r="B197" s="1">
        <f ca="1">掉落细节配置!AF195</f>
        <v>67</v>
      </c>
      <c r="C197" s="1">
        <f ca="1">掉落细节配置!AG195</f>
        <v>92430</v>
      </c>
      <c r="D197" s="1" t="str">
        <f ca="1">掉落细节配置!AH195</f>
        <v>{1}</v>
      </c>
      <c r="E197" s="1">
        <f ca="1">掉落细节配置!AI195</f>
        <v>2000</v>
      </c>
    </row>
    <row r="198" spans="1:5" x14ac:dyDescent="0.25">
      <c r="A198" s="1">
        <f ca="1">掉落细节配置!AE196</f>
        <v>6705</v>
      </c>
      <c r="B198" s="1">
        <f ca="1">掉落细节配置!AF196</f>
        <v>67</v>
      </c>
      <c r="C198" s="1">
        <f ca="1">掉落细节配置!AG196</f>
        <v>92530</v>
      </c>
      <c r="D198" s="1" t="str">
        <f ca="1">掉落细节配置!AH196</f>
        <v>{1}</v>
      </c>
      <c r="E198" s="1">
        <f ca="1">掉落细节配置!AI196</f>
        <v>1000</v>
      </c>
    </row>
    <row r="199" spans="1:5" x14ac:dyDescent="0.25">
      <c r="A199" s="1">
        <f ca="1">掉落细节配置!AE197</f>
        <v>6801</v>
      </c>
      <c r="B199" s="1">
        <f ca="1">掉落细节配置!AF197</f>
        <v>68</v>
      </c>
      <c r="C199" s="1">
        <f ca="1">掉落细节配置!AG197</f>
        <v>92140</v>
      </c>
      <c r="D199" s="1" t="str">
        <f ca="1">掉落细节配置!AH197</f>
        <v>{1}</v>
      </c>
      <c r="E199" s="1">
        <f ca="1">掉落细节配置!AI197</f>
        <v>2000</v>
      </c>
    </row>
    <row r="200" spans="1:5" x14ac:dyDescent="0.25">
      <c r="A200" s="1">
        <f ca="1">掉落细节配置!AE198</f>
        <v>6802</v>
      </c>
      <c r="B200" s="1">
        <f ca="1">掉落细节配置!AF198</f>
        <v>68</v>
      </c>
      <c r="C200" s="1">
        <f ca="1">掉落细节配置!AG198</f>
        <v>92240</v>
      </c>
      <c r="D200" s="1" t="str">
        <f ca="1">掉落细节配置!AH198</f>
        <v>{1}</v>
      </c>
      <c r="E200" s="1">
        <f ca="1">掉落细节配置!AI198</f>
        <v>3000</v>
      </c>
    </row>
    <row r="201" spans="1:5" x14ac:dyDescent="0.25">
      <c r="A201" s="1">
        <f ca="1">掉落细节配置!AE199</f>
        <v>6803</v>
      </c>
      <c r="B201" s="1">
        <f ca="1">掉落细节配置!AF199</f>
        <v>68</v>
      </c>
      <c r="C201" s="1">
        <f ca="1">掉落细节配置!AG199</f>
        <v>92340</v>
      </c>
      <c r="D201" s="1" t="str">
        <f ca="1">掉落细节配置!AH199</f>
        <v>{1}</v>
      </c>
      <c r="E201" s="1">
        <f ca="1">掉落细节配置!AI199</f>
        <v>2000</v>
      </c>
    </row>
    <row r="202" spans="1:5" x14ac:dyDescent="0.25">
      <c r="A202" s="1">
        <f ca="1">掉落细节配置!AE200</f>
        <v>6804</v>
      </c>
      <c r="B202" s="1">
        <f ca="1">掉落细节配置!AF200</f>
        <v>68</v>
      </c>
      <c r="C202" s="1">
        <f ca="1">掉落细节配置!AG200</f>
        <v>92440</v>
      </c>
      <c r="D202" s="1" t="str">
        <f ca="1">掉落细节配置!AH200</f>
        <v>{1}</v>
      </c>
      <c r="E202" s="1">
        <f ca="1">掉落细节配置!AI200</f>
        <v>2000</v>
      </c>
    </row>
    <row r="203" spans="1:5" x14ac:dyDescent="0.25">
      <c r="A203" s="1">
        <f ca="1">掉落细节配置!AE201</f>
        <v>6805</v>
      </c>
      <c r="B203" s="1">
        <f ca="1">掉落细节配置!AF201</f>
        <v>68</v>
      </c>
      <c r="C203" s="1">
        <f ca="1">掉落细节配置!AG201</f>
        <v>92540</v>
      </c>
      <c r="D203" s="1" t="str">
        <f ca="1">掉落细节配置!AH201</f>
        <v>{1}</v>
      </c>
      <c r="E203" s="1">
        <f ca="1">掉落细节配置!AI201</f>
        <v>1000</v>
      </c>
    </row>
    <row r="204" spans="1:5" x14ac:dyDescent="0.25">
      <c r="A204" s="1">
        <f ca="1">掉落细节配置!AE202</f>
        <v>6901</v>
      </c>
      <c r="B204" s="1">
        <f ca="1">掉落细节配置!AF202</f>
        <v>69</v>
      </c>
      <c r="C204" s="1">
        <f ca="1">掉落细节配置!AG202</f>
        <v>71110</v>
      </c>
      <c r="D204" s="1" t="str">
        <f ca="1">掉落细节配置!AH202</f>
        <v>{1}</v>
      </c>
      <c r="E204" s="1">
        <f ca="1">掉落细节配置!AI202</f>
        <v>7500</v>
      </c>
    </row>
    <row r="205" spans="1:5" x14ac:dyDescent="0.25">
      <c r="A205" s="1">
        <f ca="1">掉落细节配置!AE203</f>
        <v>6902</v>
      </c>
      <c r="B205" s="1">
        <f ca="1">掉落细节配置!AF203</f>
        <v>69</v>
      </c>
      <c r="C205" s="1">
        <f ca="1">掉落细节配置!AG203</f>
        <v>71210</v>
      </c>
      <c r="D205" s="1" t="str">
        <f ca="1">掉落细节配置!AH203</f>
        <v>{1}</v>
      </c>
      <c r="E205" s="1">
        <f ca="1">掉落细节配置!AI203</f>
        <v>2500</v>
      </c>
    </row>
    <row r="206" spans="1:5" x14ac:dyDescent="0.25">
      <c r="A206" s="1">
        <f ca="1">掉落细节配置!AE204</f>
        <v>7001</v>
      </c>
      <c r="B206" s="1">
        <f ca="1">掉落细节配置!AF204</f>
        <v>70</v>
      </c>
      <c r="C206" s="1">
        <f ca="1">掉落细节配置!AG204</f>
        <v>72110</v>
      </c>
      <c r="D206" s="1" t="str">
        <f ca="1">掉落细节配置!AH204</f>
        <v>{1}</v>
      </c>
      <c r="E206" s="1">
        <f ca="1">掉落细节配置!AI204</f>
        <v>7500</v>
      </c>
    </row>
    <row r="207" spans="1:5" x14ac:dyDescent="0.25">
      <c r="A207" s="1">
        <f ca="1">掉落细节配置!AE205</f>
        <v>7002</v>
      </c>
      <c r="B207" s="1">
        <f ca="1">掉落细节配置!AF205</f>
        <v>70</v>
      </c>
      <c r="C207" s="1">
        <f ca="1">掉落细节配置!AG205</f>
        <v>72210</v>
      </c>
      <c r="D207" s="1" t="str">
        <f ca="1">掉落细节配置!AH205</f>
        <v>{1}</v>
      </c>
      <c r="E207" s="1">
        <f ca="1">掉落细节配置!AI205</f>
        <v>2500</v>
      </c>
    </row>
    <row r="208" spans="1:5" x14ac:dyDescent="0.25">
      <c r="A208" s="1">
        <f ca="1">掉落细节配置!AE206</f>
        <v>7101</v>
      </c>
      <c r="B208" s="1">
        <f ca="1">掉落细节配置!AF206</f>
        <v>71</v>
      </c>
      <c r="C208" s="1">
        <f ca="1">掉落细节配置!AG206</f>
        <v>4002100</v>
      </c>
      <c r="D208" s="1" t="str">
        <f ca="1">掉落细节配置!AH206</f>
        <v>{3}</v>
      </c>
      <c r="E208" s="1">
        <f ca="1">掉落细节配置!AI206</f>
        <v>3500</v>
      </c>
    </row>
    <row r="209" spans="1:5" x14ac:dyDescent="0.25">
      <c r="A209" s="1">
        <f ca="1">掉落细节配置!AE207</f>
        <v>7102</v>
      </c>
      <c r="B209" s="1">
        <f ca="1">掉落细节配置!AF207</f>
        <v>71</v>
      </c>
      <c r="C209" s="1">
        <f ca="1">掉落细节配置!AG207</f>
        <v>4003100</v>
      </c>
      <c r="D209" s="1" t="str">
        <f ca="1">掉落细节配置!AH207</f>
        <v>{1}</v>
      </c>
      <c r="E209" s="1">
        <f ca="1">掉落细节配置!AI207</f>
        <v>4000</v>
      </c>
    </row>
    <row r="210" spans="1:5" x14ac:dyDescent="0.25">
      <c r="A210" s="1">
        <f ca="1">掉落细节配置!AE208</f>
        <v>7103</v>
      </c>
      <c r="B210" s="1">
        <f ca="1">掉落细节配置!AF208</f>
        <v>71</v>
      </c>
      <c r="C210" s="1">
        <f ca="1">掉落细节配置!AG208</f>
        <v>4003100</v>
      </c>
      <c r="D210" s="1" t="str">
        <f ca="1">掉落细节配置!AH208</f>
        <v>{2}</v>
      </c>
      <c r="E210" s="1">
        <f ca="1">掉落细节配置!AI208</f>
        <v>2500</v>
      </c>
    </row>
    <row r="211" spans="1:5" x14ac:dyDescent="0.25">
      <c r="A211" s="1">
        <f ca="1">掉落细节配置!AE209</f>
        <v>7201</v>
      </c>
      <c r="B211" s="1">
        <f ca="1">掉落细节配置!AF209</f>
        <v>72</v>
      </c>
      <c r="C211" s="1">
        <f ca="1">掉落细节配置!AG209</f>
        <v>81110</v>
      </c>
      <c r="D211" s="1" t="str">
        <f ca="1">掉落细节配置!AH209</f>
        <v>{20}</v>
      </c>
      <c r="E211" s="1">
        <f ca="1">掉落细节配置!AI209</f>
        <v>10000</v>
      </c>
    </row>
    <row r="212" spans="1:5" x14ac:dyDescent="0.25">
      <c r="A212" s="1">
        <f ca="1">掉落细节配置!AE210</f>
        <v>7301</v>
      </c>
      <c r="B212" s="1">
        <f ca="1">掉落细节配置!AF210</f>
        <v>73</v>
      </c>
      <c r="C212" s="1">
        <f ca="1">掉落细节配置!AG210</f>
        <v>91120</v>
      </c>
      <c r="D212" s="1" t="str">
        <f ca="1">掉落细节配置!AH210</f>
        <v>{15}</v>
      </c>
      <c r="E212" s="1">
        <f ca="1">掉落细节配置!AI210</f>
        <v>2000</v>
      </c>
    </row>
    <row r="213" spans="1:5" x14ac:dyDescent="0.25">
      <c r="A213" s="1">
        <f ca="1">掉落细节配置!AE211</f>
        <v>7302</v>
      </c>
      <c r="B213" s="1">
        <f ca="1">掉落细节配置!AF211</f>
        <v>73</v>
      </c>
      <c r="C213" s="1">
        <f ca="1">掉落细节配置!AG211</f>
        <v>91220</v>
      </c>
      <c r="D213" s="1" t="str">
        <f ca="1">掉落细节配置!AH211</f>
        <v>{15}</v>
      </c>
      <c r="E213" s="1">
        <f ca="1">掉落细节配置!AI211</f>
        <v>3000</v>
      </c>
    </row>
    <row r="214" spans="1:5" x14ac:dyDescent="0.25">
      <c r="A214" s="1">
        <f ca="1">掉落细节配置!AE212</f>
        <v>7303</v>
      </c>
      <c r="B214" s="1">
        <f ca="1">掉落细节配置!AF212</f>
        <v>73</v>
      </c>
      <c r="C214" s="1">
        <f ca="1">掉落细节配置!AG212</f>
        <v>91320</v>
      </c>
      <c r="D214" s="1" t="str">
        <f ca="1">掉落细节配置!AH212</f>
        <v>{15}</v>
      </c>
      <c r="E214" s="1">
        <f ca="1">掉落细节配置!AI212</f>
        <v>2000</v>
      </c>
    </row>
    <row r="215" spans="1:5" x14ac:dyDescent="0.25">
      <c r="A215" s="1">
        <f ca="1">掉落细节配置!AE213</f>
        <v>7304</v>
      </c>
      <c r="B215" s="1">
        <f ca="1">掉落细节配置!AF213</f>
        <v>73</v>
      </c>
      <c r="C215" s="1">
        <f ca="1">掉落细节配置!AG213</f>
        <v>91420</v>
      </c>
      <c r="D215" s="1" t="str">
        <f ca="1">掉落细节配置!AH213</f>
        <v>{15}</v>
      </c>
      <c r="E215" s="1">
        <f ca="1">掉落细节配置!AI213</f>
        <v>2000</v>
      </c>
    </row>
    <row r="216" spans="1:5" x14ac:dyDescent="0.25">
      <c r="A216" s="1">
        <f ca="1">掉落细节配置!AE214</f>
        <v>7305</v>
      </c>
      <c r="B216" s="1">
        <f ca="1">掉落细节配置!AF214</f>
        <v>73</v>
      </c>
      <c r="C216" s="1">
        <f ca="1">掉落细节配置!AG214</f>
        <v>91520</v>
      </c>
      <c r="D216" s="1" t="str">
        <f ca="1">掉落细节配置!AH214</f>
        <v>{15}</v>
      </c>
      <c r="E216" s="1">
        <f ca="1">掉落细节配置!AI214</f>
        <v>1000</v>
      </c>
    </row>
    <row r="217" spans="1:5" x14ac:dyDescent="0.25">
      <c r="A217" s="1">
        <f ca="1">掉落细节配置!AE215</f>
        <v>7401</v>
      </c>
      <c r="B217" s="1">
        <f ca="1">掉落细节配置!AF215</f>
        <v>74</v>
      </c>
      <c r="C217" s="1">
        <f ca="1">掉落细节配置!AG215</f>
        <v>91130</v>
      </c>
      <c r="D217" s="1" t="str">
        <f ca="1">掉落细节配置!AH215</f>
        <v>{15}</v>
      </c>
      <c r="E217" s="1">
        <f ca="1">掉落细节配置!AI215</f>
        <v>2000</v>
      </c>
    </row>
    <row r="218" spans="1:5" x14ac:dyDescent="0.25">
      <c r="A218" s="1">
        <f ca="1">掉落细节配置!AE216</f>
        <v>7402</v>
      </c>
      <c r="B218" s="1">
        <f ca="1">掉落细节配置!AF216</f>
        <v>74</v>
      </c>
      <c r="C218" s="1">
        <f ca="1">掉落细节配置!AG216</f>
        <v>91230</v>
      </c>
      <c r="D218" s="1" t="str">
        <f ca="1">掉落细节配置!AH216</f>
        <v>{15}</v>
      </c>
      <c r="E218" s="1">
        <f ca="1">掉落细节配置!AI216</f>
        <v>3000</v>
      </c>
    </row>
    <row r="219" spans="1:5" x14ac:dyDescent="0.25">
      <c r="A219" s="1">
        <f ca="1">掉落细节配置!AE217</f>
        <v>7403</v>
      </c>
      <c r="B219" s="1">
        <f ca="1">掉落细节配置!AF217</f>
        <v>74</v>
      </c>
      <c r="C219" s="1">
        <f ca="1">掉落细节配置!AG217</f>
        <v>91330</v>
      </c>
      <c r="D219" s="1" t="str">
        <f ca="1">掉落细节配置!AH217</f>
        <v>{15}</v>
      </c>
      <c r="E219" s="1">
        <f ca="1">掉落细节配置!AI217</f>
        <v>2000</v>
      </c>
    </row>
    <row r="220" spans="1:5" x14ac:dyDescent="0.25">
      <c r="A220" s="1">
        <f ca="1">掉落细节配置!AE218</f>
        <v>7404</v>
      </c>
      <c r="B220" s="1">
        <f ca="1">掉落细节配置!AF218</f>
        <v>74</v>
      </c>
      <c r="C220" s="1">
        <f ca="1">掉落细节配置!AG218</f>
        <v>91430</v>
      </c>
      <c r="D220" s="1" t="str">
        <f ca="1">掉落细节配置!AH218</f>
        <v>{15}</v>
      </c>
      <c r="E220" s="1">
        <f ca="1">掉落细节配置!AI218</f>
        <v>2000</v>
      </c>
    </row>
    <row r="221" spans="1:5" x14ac:dyDescent="0.25">
      <c r="A221" s="1">
        <f ca="1">掉落细节配置!AE219</f>
        <v>7405</v>
      </c>
      <c r="B221" s="1">
        <f ca="1">掉落细节配置!AF219</f>
        <v>74</v>
      </c>
      <c r="C221" s="1">
        <f ca="1">掉落细节配置!AG219</f>
        <v>91530</v>
      </c>
      <c r="D221" s="1" t="str">
        <f ca="1">掉落细节配置!AH219</f>
        <v>{15}</v>
      </c>
      <c r="E221" s="1">
        <f ca="1">掉落细节配置!AI219</f>
        <v>1000</v>
      </c>
    </row>
    <row r="222" spans="1:5" x14ac:dyDescent="0.25">
      <c r="A222" s="1">
        <f ca="1">掉落细节配置!AE220</f>
        <v>7501</v>
      </c>
      <c r="B222" s="1">
        <f ca="1">掉落细节配置!AF220</f>
        <v>75</v>
      </c>
      <c r="C222" s="1">
        <f ca="1">掉落细节配置!AG220</f>
        <v>91140</v>
      </c>
      <c r="D222" s="1" t="str">
        <f ca="1">掉落细节配置!AH220</f>
        <v>{15}</v>
      </c>
      <c r="E222" s="1">
        <f ca="1">掉落细节配置!AI220</f>
        <v>2000</v>
      </c>
    </row>
    <row r="223" spans="1:5" x14ac:dyDescent="0.25">
      <c r="A223" s="1">
        <f ca="1">掉落细节配置!AE221</f>
        <v>7502</v>
      </c>
      <c r="B223" s="1">
        <f ca="1">掉落细节配置!AF221</f>
        <v>75</v>
      </c>
      <c r="C223" s="1">
        <f ca="1">掉落细节配置!AG221</f>
        <v>91240</v>
      </c>
      <c r="D223" s="1" t="str">
        <f ca="1">掉落细节配置!AH221</f>
        <v>{15}</v>
      </c>
      <c r="E223" s="1">
        <f ca="1">掉落细节配置!AI221</f>
        <v>3000</v>
      </c>
    </row>
    <row r="224" spans="1:5" x14ac:dyDescent="0.25">
      <c r="A224" s="1">
        <f ca="1">掉落细节配置!AE222</f>
        <v>7503</v>
      </c>
      <c r="B224" s="1">
        <f ca="1">掉落细节配置!AF222</f>
        <v>75</v>
      </c>
      <c r="C224" s="1">
        <f ca="1">掉落细节配置!AG222</f>
        <v>91340</v>
      </c>
      <c r="D224" s="1" t="str">
        <f ca="1">掉落细节配置!AH222</f>
        <v>{15}</v>
      </c>
      <c r="E224" s="1">
        <f ca="1">掉落细节配置!AI222</f>
        <v>2000</v>
      </c>
    </row>
    <row r="225" spans="1:5" x14ac:dyDescent="0.25">
      <c r="A225" s="1">
        <f ca="1">掉落细节配置!AE223</f>
        <v>7504</v>
      </c>
      <c r="B225" s="1">
        <f ca="1">掉落细节配置!AF223</f>
        <v>75</v>
      </c>
      <c r="C225" s="1">
        <f ca="1">掉落细节配置!AG223</f>
        <v>91440</v>
      </c>
      <c r="D225" s="1" t="str">
        <f ca="1">掉落细节配置!AH223</f>
        <v>{15}</v>
      </c>
      <c r="E225" s="1">
        <f ca="1">掉落细节配置!AI223</f>
        <v>2000</v>
      </c>
    </row>
    <row r="226" spans="1:5" x14ac:dyDescent="0.25">
      <c r="A226" s="1">
        <f ca="1">掉落细节配置!AE224</f>
        <v>7505</v>
      </c>
      <c r="B226" s="1">
        <f ca="1">掉落细节配置!AF224</f>
        <v>75</v>
      </c>
      <c r="C226" s="1">
        <f ca="1">掉落细节配置!AG224</f>
        <v>91540</v>
      </c>
      <c r="D226" s="1" t="str">
        <f ca="1">掉落细节配置!AH224</f>
        <v>{15}</v>
      </c>
      <c r="E226" s="1">
        <f ca="1">掉落细节配置!AI224</f>
        <v>1000</v>
      </c>
    </row>
    <row r="227" spans="1:5" x14ac:dyDescent="0.25">
      <c r="A227" s="1">
        <f ca="1">掉落细节配置!AE225</f>
        <v>7601</v>
      </c>
      <c r="B227" s="1">
        <f ca="1">掉落细节配置!AF225</f>
        <v>76</v>
      </c>
      <c r="C227" s="1">
        <f ca="1">掉落细节配置!AG225</f>
        <v>82110</v>
      </c>
      <c r="D227" s="1" t="str">
        <f ca="1">掉落细节配置!AH225</f>
        <v>{20}</v>
      </c>
      <c r="E227" s="1">
        <f ca="1">掉落细节配置!AI225</f>
        <v>10000</v>
      </c>
    </row>
    <row r="228" spans="1:5" x14ac:dyDescent="0.25">
      <c r="A228" s="1">
        <f ca="1">掉落细节配置!AE226</f>
        <v>7701</v>
      </c>
      <c r="B228" s="1">
        <f ca="1">掉落细节配置!AF226</f>
        <v>77</v>
      </c>
      <c r="C228" s="1">
        <f ca="1">掉落细节配置!AG226</f>
        <v>92120</v>
      </c>
      <c r="D228" s="1" t="str">
        <f ca="1">掉落细节配置!AH226</f>
        <v>{15}</v>
      </c>
      <c r="E228" s="1">
        <f ca="1">掉落细节配置!AI226</f>
        <v>2000</v>
      </c>
    </row>
    <row r="229" spans="1:5" x14ac:dyDescent="0.25">
      <c r="A229" s="1">
        <f ca="1">掉落细节配置!AE227</f>
        <v>7702</v>
      </c>
      <c r="B229" s="1">
        <f ca="1">掉落细节配置!AF227</f>
        <v>77</v>
      </c>
      <c r="C229" s="1">
        <f ca="1">掉落细节配置!AG227</f>
        <v>92220</v>
      </c>
      <c r="D229" s="1" t="str">
        <f ca="1">掉落细节配置!AH227</f>
        <v>{15}</v>
      </c>
      <c r="E229" s="1">
        <f ca="1">掉落细节配置!AI227</f>
        <v>3000</v>
      </c>
    </row>
    <row r="230" spans="1:5" x14ac:dyDescent="0.25">
      <c r="A230" s="1">
        <f ca="1">掉落细节配置!AE228</f>
        <v>7703</v>
      </c>
      <c r="B230" s="1">
        <f ca="1">掉落细节配置!AF228</f>
        <v>77</v>
      </c>
      <c r="C230" s="1">
        <f ca="1">掉落细节配置!AG228</f>
        <v>92320</v>
      </c>
      <c r="D230" s="1" t="str">
        <f ca="1">掉落细节配置!AH228</f>
        <v>{15}</v>
      </c>
      <c r="E230" s="1">
        <f ca="1">掉落细节配置!AI228</f>
        <v>2000</v>
      </c>
    </row>
    <row r="231" spans="1:5" x14ac:dyDescent="0.25">
      <c r="A231" s="1">
        <f ca="1">掉落细节配置!AE229</f>
        <v>7704</v>
      </c>
      <c r="B231" s="1">
        <f ca="1">掉落细节配置!AF229</f>
        <v>77</v>
      </c>
      <c r="C231" s="1">
        <f ca="1">掉落细节配置!AG229</f>
        <v>92420</v>
      </c>
      <c r="D231" s="1" t="str">
        <f ca="1">掉落细节配置!AH229</f>
        <v>{15}</v>
      </c>
      <c r="E231" s="1">
        <f ca="1">掉落细节配置!AI229</f>
        <v>2000</v>
      </c>
    </row>
    <row r="232" spans="1:5" x14ac:dyDescent="0.25">
      <c r="A232" s="1">
        <f ca="1">掉落细节配置!AE230</f>
        <v>7705</v>
      </c>
      <c r="B232" s="1">
        <f ca="1">掉落细节配置!AF230</f>
        <v>77</v>
      </c>
      <c r="C232" s="1">
        <f ca="1">掉落细节配置!AG230</f>
        <v>92520</v>
      </c>
      <c r="D232" s="1" t="str">
        <f ca="1">掉落细节配置!AH230</f>
        <v>{15}</v>
      </c>
      <c r="E232" s="1">
        <f ca="1">掉落细节配置!AI230</f>
        <v>1000</v>
      </c>
    </row>
    <row r="233" spans="1:5" x14ac:dyDescent="0.25">
      <c r="A233" s="1">
        <f ca="1">掉落细节配置!AE231</f>
        <v>7801</v>
      </c>
      <c r="B233" s="1">
        <f ca="1">掉落细节配置!AF231</f>
        <v>78</v>
      </c>
      <c r="C233" s="1">
        <f ca="1">掉落细节配置!AG231</f>
        <v>92130</v>
      </c>
      <c r="D233" s="1" t="str">
        <f ca="1">掉落细节配置!AH231</f>
        <v>{15}</v>
      </c>
      <c r="E233" s="1">
        <f ca="1">掉落细节配置!AI231</f>
        <v>2000</v>
      </c>
    </row>
    <row r="234" spans="1:5" x14ac:dyDescent="0.25">
      <c r="A234" s="1">
        <f ca="1">掉落细节配置!AE232</f>
        <v>7802</v>
      </c>
      <c r="B234" s="1">
        <f ca="1">掉落细节配置!AF232</f>
        <v>78</v>
      </c>
      <c r="C234" s="1">
        <f ca="1">掉落细节配置!AG232</f>
        <v>92230</v>
      </c>
      <c r="D234" s="1" t="str">
        <f ca="1">掉落细节配置!AH232</f>
        <v>{15}</v>
      </c>
      <c r="E234" s="1">
        <f ca="1">掉落细节配置!AI232</f>
        <v>3000</v>
      </c>
    </row>
    <row r="235" spans="1:5" x14ac:dyDescent="0.25">
      <c r="A235" s="1">
        <f ca="1">掉落细节配置!AE233</f>
        <v>7803</v>
      </c>
      <c r="B235" s="1">
        <f ca="1">掉落细节配置!AF233</f>
        <v>78</v>
      </c>
      <c r="C235" s="1">
        <f ca="1">掉落细节配置!AG233</f>
        <v>92330</v>
      </c>
      <c r="D235" s="1" t="str">
        <f ca="1">掉落细节配置!AH233</f>
        <v>{15}</v>
      </c>
      <c r="E235" s="1">
        <f ca="1">掉落细节配置!AI233</f>
        <v>2000</v>
      </c>
    </row>
    <row r="236" spans="1:5" x14ac:dyDescent="0.25">
      <c r="A236" s="1">
        <f ca="1">掉落细节配置!AE234</f>
        <v>7804</v>
      </c>
      <c r="B236" s="1">
        <f ca="1">掉落细节配置!AF234</f>
        <v>78</v>
      </c>
      <c r="C236" s="1">
        <f ca="1">掉落细节配置!AG234</f>
        <v>92430</v>
      </c>
      <c r="D236" s="1" t="str">
        <f ca="1">掉落细节配置!AH234</f>
        <v>{15}</v>
      </c>
      <c r="E236" s="1">
        <f ca="1">掉落细节配置!AI234</f>
        <v>2000</v>
      </c>
    </row>
    <row r="237" spans="1:5" x14ac:dyDescent="0.25">
      <c r="A237" s="1">
        <f ca="1">掉落细节配置!AE235</f>
        <v>7805</v>
      </c>
      <c r="B237" s="1">
        <f ca="1">掉落细节配置!AF235</f>
        <v>78</v>
      </c>
      <c r="C237" s="1">
        <f ca="1">掉落细节配置!AG235</f>
        <v>92530</v>
      </c>
      <c r="D237" s="1" t="str">
        <f ca="1">掉落细节配置!AH235</f>
        <v>{15}</v>
      </c>
      <c r="E237" s="1">
        <f ca="1">掉落细节配置!AI235</f>
        <v>1000</v>
      </c>
    </row>
    <row r="238" spans="1:5" x14ac:dyDescent="0.25">
      <c r="A238" s="1">
        <f ca="1">掉落细节配置!AE236</f>
        <v>7901</v>
      </c>
      <c r="B238" s="1">
        <f ca="1">掉落细节配置!AF236</f>
        <v>79</v>
      </c>
      <c r="C238" s="1">
        <f ca="1">掉落细节配置!AG236</f>
        <v>92140</v>
      </c>
      <c r="D238" s="1" t="str">
        <f ca="1">掉落细节配置!AH236</f>
        <v>{15}</v>
      </c>
      <c r="E238" s="1">
        <f ca="1">掉落细节配置!AI236</f>
        <v>2000</v>
      </c>
    </row>
    <row r="239" spans="1:5" x14ac:dyDescent="0.25">
      <c r="A239" s="1">
        <f ca="1">掉落细节配置!AE237</f>
        <v>7902</v>
      </c>
      <c r="B239" s="1">
        <f ca="1">掉落细节配置!AF237</f>
        <v>79</v>
      </c>
      <c r="C239" s="1">
        <f ca="1">掉落细节配置!AG237</f>
        <v>92240</v>
      </c>
      <c r="D239" s="1" t="str">
        <f ca="1">掉落细节配置!AH237</f>
        <v>{15}</v>
      </c>
      <c r="E239" s="1">
        <f ca="1">掉落细节配置!AI237</f>
        <v>3000</v>
      </c>
    </row>
    <row r="240" spans="1:5" x14ac:dyDescent="0.25">
      <c r="A240" s="1">
        <f ca="1">掉落细节配置!AE238</f>
        <v>7903</v>
      </c>
      <c r="B240" s="1">
        <f ca="1">掉落细节配置!AF238</f>
        <v>79</v>
      </c>
      <c r="C240" s="1">
        <f ca="1">掉落细节配置!AG238</f>
        <v>92340</v>
      </c>
      <c r="D240" s="1" t="str">
        <f ca="1">掉落细节配置!AH238</f>
        <v>{15}</v>
      </c>
      <c r="E240" s="1">
        <f ca="1">掉落细节配置!AI238</f>
        <v>2000</v>
      </c>
    </row>
    <row r="241" spans="1:5" x14ac:dyDescent="0.25">
      <c r="A241" s="1">
        <f ca="1">掉落细节配置!AE239</f>
        <v>7904</v>
      </c>
      <c r="B241" s="1">
        <f ca="1">掉落细节配置!AF239</f>
        <v>79</v>
      </c>
      <c r="C241" s="1">
        <f ca="1">掉落细节配置!AG239</f>
        <v>92440</v>
      </c>
      <c r="D241" s="1" t="str">
        <f ca="1">掉落细节配置!AH239</f>
        <v>{15}</v>
      </c>
      <c r="E241" s="1">
        <f ca="1">掉落细节配置!AI239</f>
        <v>2000</v>
      </c>
    </row>
    <row r="242" spans="1:5" x14ac:dyDescent="0.25">
      <c r="A242" s="1">
        <f ca="1">掉落细节配置!AE240</f>
        <v>7905</v>
      </c>
      <c r="B242" s="1">
        <f ca="1">掉落细节配置!AF240</f>
        <v>79</v>
      </c>
      <c r="C242" s="1">
        <f ca="1">掉落细节配置!AG240</f>
        <v>92540</v>
      </c>
      <c r="D242" s="1" t="str">
        <f ca="1">掉落细节配置!AH240</f>
        <v>{15}</v>
      </c>
      <c r="E242" s="1">
        <f ca="1">掉落细节配置!AI240</f>
        <v>1000</v>
      </c>
    </row>
    <row r="243" spans="1:5" x14ac:dyDescent="0.25">
      <c r="A243" s="1">
        <f ca="1">掉落细节配置!AE241</f>
        <v>8001</v>
      </c>
      <c r="B243" s="1">
        <f ca="1">掉落细节配置!AF241</f>
        <v>80</v>
      </c>
      <c r="C243" s="1">
        <f ca="1">掉落细节配置!AG241</f>
        <v>71310</v>
      </c>
      <c r="D243" s="1" t="str">
        <f ca="1">掉落细节配置!AH241</f>
        <v>{3}</v>
      </c>
      <c r="E243" s="1">
        <f ca="1">掉落细节配置!AI241</f>
        <v>2000</v>
      </c>
    </row>
    <row r="244" spans="1:5" x14ac:dyDescent="0.25">
      <c r="A244" s="1">
        <f ca="1">掉落细节配置!AE242</f>
        <v>8002</v>
      </c>
      <c r="B244" s="1">
        <f ca="1">掉落细节配置!AF242</f>
        <v>80</v>
      </c>
      <c r="C244" s="1">
        <f ca="1">掉落细节配置!AG242</f>
        <v>71410</v>
      </c>
      <c r="D244" s="1" t="str">
        <f ca="1">掉落细节配置!AH242</f>
        <v>{3}</v>
      </c>
      <c r="E244" s="1">
        <f ca="1">掉落细节配置!AI242</f>
        <v>3000</v>
      </c>
    </row>
    <row r="245" spans="1:5" x14ac:dyDescent="0.25">
      <c r="A245" s="1">
        <f ca="1">掉落细节配置!AE243</f>
        <v>8003</v>
      </c>
      <c r="B245" s="1">
        <f ca="1">掉落细节配置!AF243</f>
        <v>80</v>
      </c>
      <c r="C245" s="1">
        <f ca="1">掉落细节配置!AG243</f>
        <v>71510</v>
      </c>
      <c r="D245" s="1" t="str">
        <f ca="1">掉落细节配置!AH243</f>
        <v>{3}</v>
      </c>
      <c r="E245" s="1">
        <f ca="1">掉落细节配置!AI243</f>
        <v>2000</v>
      </c>
    </row>
    <row r="246" spans="1:5" x14ac:dyDescent="0.25">
      <c r="A246" s="1">
        <f ca="1">掉落细节配置!AE244</f>
        <v>8004</v>
      </c>
      <c r="B246" s="1">
        <f ca="1">掉落细节配置!AF244</f>
        <v>80</v>
      </c>
      <c r="C246" s="1">
        <f ca="1">掉落细节配置!AG244</f>
        <v>71610</v>
      </c>
      <c r="D246" s="1" t="str">
        <f ca="1">掉落细节配置!AH244</f>
        <v>{3}</v>
      </c>
      <c r="E246" s="1">
        <f ca="1">掉落细节配置!AI244</f>
        <v>2000</v>
      </c>
    </row>
    <row r="247" spans="1:5" x14ac:dyDescent="0.25">
      <c r="A247" s="1">
        <f ca="1">掉落细节配置!AE245</f>
        <v>8005</v>
      </c>
      <c r="B247" s="1">
        <f ca="1">掉落细节配置!AF245</f>
        <v>80</v>
      </c>
      <c r="C247" s="1">
        <f ca="1">掉落细节配置!AG245</f>
        <v>71710</v>
      </c>
      <c r="D247" s="1" t="str">
        <f ca="1">掉落细节配置!AH245</f>
        <v>{3}</v>
      </c>
      <c r="E247" s="1">
        <f ca="1">掉落细节配置!AI245</f>
        <v>1000</v>
      </c>
    </row>
    <row r="248" spans="1:5" x14ac:dyDescent="0.25">
      <c r="A248" s="1">
        <f ca="1">掉落细节配置!AE246</f>
        <v>8101</v>
      </c>
      <c r="B248" s="1">
        <f ca="1">掉落细节配置!AF246</f>
        <v>81</v>
      </c>
      <c r="C248" s="1">
        <f ca="1">掉落细节配置!AG246</f>
        <v>72310</v>
      </c>
      <c r="D248" s="1" t="str">
        <f ca="1">掉落细节配置!AH246</f>
        <v>{3}</v>
      </c>
      <c r="E248" s="1">
        <f ca="1">掉落细节配置!AI246</f>
        <v>2000</v>
      </c>
    </row>
    <row r="249" spans="1:5" x14ac:dyDescent="0.25">
      <c r="A249" s="1">
        <f ca="1">掉落细节配置!AE247</f>
        <v>8102</v>
      </c>
      <c r="B249" s="1">
        <f ca="1">掉落细节配置!AF247</f>
        <v>81</v>
      </c>
      <c r="C249" s="1">
        <f ca="1">掉落细节配置!AG247</f>
        <v>72410</v>
      </c>
      <c r="D249" s="1" t="str">
        <f ca="1">掉落细节配置!AH247</f>
        <v>{3}</v>
      </c>
      <c r="E249" s="1">
        <f ca="1">掉落细节配置!AI247</f>
        <v>3000</v>
      </c>
    </row>
    <row r="250" spans="1:5" x14ac:dyDescent="0.25">
      <c r="A250" s="1">
        <f ca="1">掉落细节配置!AE248</f>
        <v>8103</v>
      </c>
      <c r="B250" s="1">
        <f ca="1">掉落细节配置!AF248</f>
        <v>81</v>
      </c>
      <c r="C250" s="1">
        <f ca="1">掉落细节配置!AG248</f>
        <v>72510</v>
      </c>
      <c r="D250" s="1" t="str">
        <f ca="1">掉落细节配置!AH248</f>
        <v>{3}</v>
      </c>
      <c r="E250" s="1">
        <f ca="1">掉落细节配置!AI248</f>
        <v>2000</v>
      </c>
    </row>
    <row r="251" spans="1:5" x14ac:dyDescent="0.25">
      <c r="A251" s="1">
        <f ca="1">掉落细节配置!AE249</f>
        <v>8104</v>
      </c>
      <c r="B251" s="1">
        <f ca="1">掉落细节配置!AF249</f>
        <v>81</v>
      </c>
      <c r="C251" s="1">
        <f ca="1">掉落细节配置!AG249</f>
        <v>72610</v>
      </c>
      <c r="D251" s="1" t="str">
        <f ca="1">掉落细节配置!AH249</f>
        <v>{3}</v>
      </c>
      <c r="E251" s="1">
        <f ca="1">掉落细节配置!AI249</f>
        <v>2000</v>
      </c>
    </row>
    <row r="252" spans="1:5" x14ac:dyDescent="0.25">
      <c r="A252" s="1">
        <f ca="1">掉落细节配置!AE250</f>
        <v>8105</v>
      </c>
      <c r="B252" s="1">
        <f ca="1">掉落细节配置!AF250</f>
        <v>81</v>
      </c>
      <c r="C252" s="1">
        <f ca="1">掉落细节配置!AG250</f>
        <v>72720</v>
      </c>
      <c r="D252" s="1" t="str">
        <f ca="1">掉落细节配置!AH250</f>
        <v>{3}</v>
      </c>
      <c r="E252" s="1">
        <f ca="1">掉落细节配置!AI250</f>
        <v>1000</v>
      </c>
    </row>
    <row r="253" spans="1:5" x14ac:dyDescent="0.25">
      <c r="A253" s="1">
        <f ca="1">掉落细节配置!AE251</f>
        <v>8201</v>
      </c>
      <c r="B253" s="1">
        <f ca="1">掉落细节配置!AF251</f>
        <v>82</v>
      </c>
      <c r="C253" s="1">
        <f ca="1">掉落细节配置!AG251</f>
        <v>4002100</v>
      </c>
      <c r="D253" s="1" t="str">
        <f ca="1">掉落细节配置!AH251</f>
        <v>{30}</v>
      </c>
      <c r="E253" s="1">
        <f ca="1">掉落细节配置!AI251</f>
        <v>3500</v>
      </c>
    </row>
    <row r="254" spans="1:5" x14ac:dyDescent="0.25">
      <c r="A254" s="1">
        <f ca="1">掉落细节配置!AE252</f>
        <v>8202</v>
      </c>
      <c r="B254" s="1">
        <f ca="1">掉落细节配置!AF252</f>
        <v>82</v>
      </c>
      <c r="C254" s="1">
        <f ca="1">掉落细节配置!AG252</f>
        <v>4003100</v>
      </c>
      <c r="D254" s="1" t="str">
        <f ca="1">掉落细节配置!AH252</f>
        <v>{20}</v>
      </c>
      <c r="E254" s="1">
        <f ca="1">掉落细节配置!AI252</f>
        <v>4000</v>
      </c>
    </row>
    <row r="255" spans="1:5" x14ac:dyDescent="0.25">
      <c r="A255" s="1">
        <f ca="1">掉落细节配置!AE253</f>
        <v>8203</v>
      </c>
      <c r="B255" s="1">
        <f ca="1">掉落细节配置!AF253</f>
        <v>82</v>
      </c>
      <c r="C255" s="1">
        <f ca="1">掉落细节配置!AG253</f>
        <v>4003100</v>
      </c>
      <c r="D255" s="1" t="str">
        <f ca="1">掉落细节配置!AH253</f>
        <v>{30}</v>
      </c>
      <c r="E255" s="1">
        <f ca="1">掉落细节配置!AI253</f>
        <v>2500</v>
      </c>
    </row>
    <row r="256" spans="1:5" x14ac:dyDescent="0.25">
      <c r="A256" s="1">
        <f ca="1">掉落细节配置!AE254</f>
        <v>8301</v>
      </c>
      <c r="B256" s="1">
        <f ca="1">掉落细节配置!AF254</f>
        <v>83</v>
      </c>
      <c r="C256" s="1">
        <f ca="1">掉落细节配置!AG254</f>
        <v>1009000</v>
      </c>
      <c r="D256" s="1" t="str">
        <f ca="1">掉落细节配置!AH254</f>
        <v>{1}</v>
      </c>
      <c r="E256" s="1">
        <f ca="1">掉落细节配置!AI254</f>
        <v>3000</v>
      </c>
    </row>
    <row r="257" spans="1:5" x14ac:dyDescent="0.25">
      <c r="A257" s="1">
        <f ca="1">掉落细节配置!AE255</f>
        <v>8302</v>
      </c>
      <c r="B257" s="1">
        <f ca="1">掉落细节配置!AF255</f>
        <v>83</v>
      </c>
      <c r="C257" s="1">
        <f ca="1">掉落细节配置!AG255</f>
        <v>1010000</v>
      </c>
      <c r="D257" s="1" t="str">
        <f ca="1">掉落细节配置!AH255</f>
        <v>{1}</v>
      </c>
      <c r="E257" s="1">
        <f ca="1">掉落细节配置!AI255</f>
        <v>4000</v>
      </c>
    </row>
    <row r="258" spans="1:5" x14ac:dyDescent="0.25">
      <c r="A258" s="1">
        <f ca="1">掉落细节配置!AE256</f>
        <v>8303</v>
      </c>
      <c r="B258" s="1">
        <f ca="1">掉落细节配置!AF256</f>
        <v>83</v>
      </c>
      <c r="C258" s="1">
        <f ca="1">掉落细节配置!AG256</f>
        <v>1011000</v>
      </c>
      <c r="D258" s="1" t="str">
        <f ca="1">掉落细节配置!AH256</f>
        <v>{1}</v>
      </c>
      <c r="E258" s="1">
        <f ca="1">掉落细节配置!AI256</f>
        <v>3000</v>
      </c>
    </row>
    <row r="259" spans="1:5" x14ac:dyDescent="0.25">
      <c r="A259" s="1">
        <f ca="1">掉落细节配置!AE257</f>
        <v>8401</v>
      </c>
      <c r="B259" s="1">
        <f ca="1">掉落细节配置!AF257</f>
        <v>84</v>
      </c>
      <c r="C259" s="1">
        <f ca="1">掉落细节配置!AG257</f>
        <v>11009</v>
      </c>
      <c r="D259" s="1" t="str">
        <f ca="1">掉落细节配置!AH257</f>
        <v>{1}</v>
      </c>
      <c r="E259" s="1">
        <f ca="1">掉落细节配置!AI257</f>
        <v>3000</v>
      </c>
    </row>
    <row r="260" spans="1:5" x14ac:dyDescent="0.25">
      <c r="A260" s="1">
        <f ca="1">掉落细节配置!AE258</f>
        <v>8402</v>
      </c>
      <c r="B260" s="1">
        <f ca="1">掉落细节配置!AF258</f>
        <v>84</v>
      </c>
      <c r="C260" s="1">
        <f ca="1">掉落细节配置!AG258</f>
        <v>11010</v>
      </c>
      <c r="D260" s="1" t="str">
        <f ca="1">掉落细节配置!AH258</f>
        <v>{1}</v>
      </c>
      <c r="E260" s="1">
        <f ca="1">掉落细节配置!AI258</f>
        <v>4000</v>
      </c>
    </row>
    <row r="261" spans="1:5" x14ac:dyDescent="0.25">
      <c r="A261" s="1">
        <f ca="1">掉落细节配置!AE259</f>
        <v>8403</v>
      </c>
      <c r="B261" s="1">
        <f ca="1">掉落细节配置!AF259</f>
        <v>84</v>
      </c>
      <c r="C261" s="1">
        <f ca="1">掉落细节配置!AG259</f>
        <v>11011</v>
      </c>
      <c r="D261" s="1" t="str">
        <f ca="1">掉落细节配置!AH259</f>
        <v>{1}</v>
      </c>
      <c r="E261" s="1">
        <f ca="1">掉落细节配置!AI259</f>
        <v>3000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AG800"/>
  <sheetViews>
    <sheetView workbookViewId="0">
      <pane ySplit="2" topLeftCell="A3" activePane="bottomLeft" state="frozen"/>
      <selection pane="bottomLeft" activeCell="U13" sqref="U13"/>
    </sheetView>
  </sheetViews>
  <sheetFormatPr defaultRowHeight="14.4" x14ac:dyDescent="0.25"/>
  <cols>
    <col min="2" max="2" width="14.33203125" bestFit="1" customWidth="1"/>
    <col min="4" max="4" width="11" bestFit="1" customWidth="1"/>
    <col min="5" max="5" width="12.21875" bestFit="1" customWidth="1"/>
    <col min="17" max="25" width="10" bestFit="1" customWidth="1"/>
    <col min="26" max="26" width="11.109375" bestFit="1" customWidth="1"/>
    <col min="29" max="29" width="11.109375" bestFit="1" customWidth="1"/>
    <col min="31" max="31" width="14.33203125" bestFit="1" customWidth="1"/>
  </cols>
  <sheetData>
    <row r="1" spans="1:33" x14ac:dyDescent="0.25">
      <c r="A1" s="3"/>
      <c r="B1" s="3"/>
      <c r="C1" s="3"/>
      <c r="D1" s="3"/>
      <c r="E1" s="3"/>
      <c r="F1" s="3">
        <v>10000</v>
      </c>
      <c r="G1" s="12" t="s">
        <v>70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12">
        <v>10000</v>
      </c>
      <c r="AE1" s="3"/>
      <c r="AF1" s="3"/>
      <c r="AG1" s="3"/>
    </row>
    <row r="2" spans="1:33" ht="15" thickBot="1" x14ac:dyDescent="0.3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18</v>
      </c>
      <c r="T2" s="4" t="s">
        <v>19</v>
      </c>
      <c r="U2" s="4" t="s">
        <v>20</v>
      </c>
      <c r="V2" s="4" t="s">
        <v>21</v>
      </c>
      <c r="W2" s="4" t="s">
        <v>22</v>
      </c>
      <c r="X2" s="4" t="s">
        <v>23</v>
      </c>
      <c r="Y2" s="4" t="s">
        <v>24</v>
      </c>
      <c r="Z2" s="4" t="s">
        <v>25</v>
      </c>
      <c r="AA2" s="5" t="s">
        <v>0</v>
      </c>
      <c r="AB2" s="5" t="s">
        <v>26</v>
      </c>
      <c r="AC2" s="5" t="s">
        <v>28</v>
      </c>
      <c r="AD2" s="5" t="s">
        <v>29</v>
      </c>
      <c r="AE2" s="5" t="s">
        <v>27</v>
      </c>
      <c r="AF2" s="5" t="s">
        <v>30</v>
      </c>
      <c r="AG2" s="5" t="s">
        <v>31</v>
      </c>
    </row>
    <row r="3" spans="1:33" x14ac:dyDescent="0.25">
      <c r="A3" s="6">
        <f ca="1">COUNTIF($F$3:F3,F3)+F3*$F$1</f>
        <v>20001</v>
      </c>
      <c r="B3" s="6" t="str">
        <f ca="1">E3 &amp; COUNTIF($F$3:F3,F3)</f>
        <v>副本1</v>
      </c>
      <c r="C3" s="2">
        <f>COUNTA(G3:P3)</f>
        <v>1</v>
      </c>
      <c r="D3" s="2">
        <f>IF(C3=0,"",SUM(C$3:C3))</f>
        <v>1</v>
      </c>
      <c r="E3" s="6" t="s">
        <v>33</v>
      </c>
      <c r="F3" s="6">
        <f ca="1">OFFSET(参数!$A$1,MATCH($E3,参数!$B$2:$B$16,0),)</f>
        <v>2</v>
      </c>
      <c r="G3" s="14">
        <v>1</v>
      </c>
      <c r="H3" s="14"/>
      <c r="I3" s="14"/>
      <c r="J3" s="14"/>
      <c r="K3" s="14"/>
      <c r="L3" s="14"/>
      <c r="M3" s="14"/>
      <c r="N3" s="14"/>
      <c r="O3" s="14"/>
      <c r="P3" s="14"/>
      <c r="Q3" s="7">
        <v>1</v>
      </c>
      <c r="R3" s="7"/>
      <c r="S3" s="7"/>
      <c r="T3" s="7"/>
      <c r="U3" s="7"/>
      <c r="V3" s="7"/>
      <c r="W3" s="7"/>
      <c r="X3" s="7"/>
      <c r="Y3" s="7"/>
      <c r="Z3" s="7"/>
      <c r="AA3" s="8">
        <f>IF(ROW(A1)&gt;MAX(D:D),"",ROW(A1))</f>
        <v>1</v>
      </c>
      <c r="AB3" s="8">
        <f t="shared" ref="AB3:AB66" ca="1" si="0">OFFSET(A$2,$AF3,)</f>
        <v>20001</v>
      </c>
      <c r="AC3" s="8">
        <f t="shared" ref="AC3:AC66" ca="1" si="1">OFFSET($G$2,$AF3,$AG3)</f>
        <v>1</v>
      </c>
      <c r="AD3" s="9">
        <f t="shared" ref="AD3:AD66" ca="1" si="2">OFFSET($Q$2,$AF3,$AG3)*$AD$1</f>
        <v>10000</v>
      </c>
      <c r="AE3" s="28" t="str">
        <f t="shared" ref="AE3:AE66" ca="1" si="3">OFFSET(B$2,$AF3,)</f>
        <v>副本1</v>
      </c>
      <c r="AF3" s="8">
        <f t="shared" ref="AF3:AF66" si="4">FREQUENCY(D:D,AA3-0.1)+1</f>
        <v>1</v>
      </c>
      <c r="AG3" s="8">
        <f>COUNTIF(AF$3:AF3,AF3)-1</f>
        <v>0</v>
      </c>
    </row>
    <row r="4" spans="1:33" x14ac:dyDescent="0.25">
      <c r="A4" s="27">
        <f ca="1">COUNTIF($F$3:F4,F4)+F4*$F$1</f>
        <v>20002</v>
      </c>
      <c r="B4" s="27" t="str">
        <f ca="1">E4 &amp; COUNTIF($F$3:F4,F4)</f>
        <v>副本2</v>
      </c>
      <c r="C4" s="14">
        <f t="shared" ref="C4:C28" si="5">COUNTA(G4:P4)</f>
        <v>2</v>
      </c>
      <c r="D4" s="14">
        <f>IF(C4=0,"",SUM(C$3:C4))</f>
        <v>3</v>
      </c>
      <c r="E4" s="27" t="s">
        <v>33</v>
      </c>
      <c r="F4" s="27">
        <f ca="1">OFFSET(参数!$A$1,MATCH($E4,参数!$B$2:$B$16,0),)</f>
        <v>2</v>
      </c>
      <c r="G4" s="14">
        <v>1</v>
      </c>
      <c r="H4" s="14">
        <v>2</v>
      </c>
      <c r="I4" s="14"/>
      <c r="J4" s="14"/>
      <c r="K4" s="14"/>
      <c r="L4" s="14"/>
      <c r="M4" s="14"/>
      <c r="N4" s="14"/>
      <c r="O4" s="14"/>
      <c r="P4" s="14"/>
      <c r="Q4" s="7">
        <v>1</v>
      </c>
      <c r="R4" s="7">
        <v>0.9</v>
      </c>
      <c r="S4" s="7"/>
      <c r="T4" s="7"/>
      <c r="U4" s="7"/>
      <c r="V4" s="7"/>
      <c r="W4" s="7"/>
      <c r="X4" s="7"/>
      <c r="Y4" s="7"/>
      <c r="Z4" s="7"/>
      <c r="AA4" s="28">
        <f t="shared" ref="AA4:AA67" si="6">IF(ROW(A2)&gt;MAX(D:D),"",ROW(A2))</f>
        <v>2</v>
      </c>
      <c r="AB4" s="28">
        <f t="shared" ca="1" si="0"/>
        <v>20002</v>
      </c>
      <c r="AC4" s="28">
        <f t="shared" ca="1" si="1"/>
        <v>1</v>
      </c>
      <c r="AD4" s="29">
        <f t="shared" ca="1" si="2"/>
        <v>10000</v>
      </c>
      <c r="AE4" s="28" t="str">
        <f t="shared" ca="1" si="3"/>
        <v>副本2</v>
      </c>
      <c r="AF4" s="28">
        <f t="shared" si="4"/>
        <v>2</v>
      </c>
      <c r="AG4" s="28">
        <f>COUNTIF(AF$3:AF4,AF4)-1</f>
        <v>0</v>
      </c>
    </row>
    <row r="5" spans="1:33" x14ac:dyDescent="0.25">
      <c r="A5" s="27">
        <f ca="1">COUNTIF($F$3:F5,F5)+F5*$F$1</f>
        <v>20003</v>
      </c>
      <c r="B5" s="27" t="str">
        <f ca="1">E5 &amp; COUNTIF($F$3:F5,F5)</f>
        <v>副本3</v>
      </c>
      <c r="C5" s="14">
        <f t="shared" si="5"/>
        <v>2</v>
      </c>
      <c r="D5" s="14">
        <f>IF(C5=0,"",SUM(C$3:C5))</f>
        <v>5</v>
      </c>
      <c r="E5" s="27" t="s">
        <v>33</v>
      </c>
      <c r="F5" s="27">
        <f ca="1">OFFSET(参数!$A$1,MATCH($E5,参数!$B$2:$B$16,0),)</f>
        <v>2</v>
      </c>
      <c r="G5" s="14">
        <v>1</v>
      </c>
      <c r="H5" s="14">
        <v>3</v>
      </c>
      <c r="I5" s="14"/>
      <c r="J5" s="14"/>
      <c r="K5" s="14"/>
      <c r="L5" s="14"/>
      <c r="M5" s="14"/>
      <c r="N5" s="14"/>
      <c r="O5" s="14"/>
      <c r="P5" s="14"/>
      <c r="Q5" s="7">
        <v>1</v>
      </c>
      <c r="R5" s="7">
        <v>0.9</v>
      </c>
      <c r="S5" s="7"/>
      <c r="T5" s="7"/>
      <c r="U5" s="7"/>
      <c r="V5" s="7"/>
      <c r="W5" s="7"/>
      <c r="X5" s="7"/>
      <c r="Y5" s="7"/>
      <c r="Z5" s="7"/>
      <c r="AA5" s="28">
        <f t="shared" si="6"/>
        <v>3</v>
      </c>
      <c r="AB5" s="28">
        <f t="shared" ca="1" si="0"/>
        <v>20002</v>
      </c>
      <c r="AC5" s="28">
        <f t="shared" ca="1" si="1"/>
        <v>2</v>
      </c>
      <c r="AD5" s="29">
        <f t="shared" ca="1" si="2"/>
        <v>9000</v>
      </c>
      <c r="AE5" s="28" t="str">
        <f t="shared" ca="1" si="3"/>
        <v>副本2</v>
      </c>
      <c r="AF5" s="28">
        <f t="shared" si="4"/>
        <v>2</v>
      </c>
      <c r="AG5" s="28">
        <f>COUNTIF(AF$3:AF5,AF5)-1</f>
        <v>1</v>
      </c>
    </row>
    <row r="6" spans="1:33" x14ac:dyDescent="0.25">
      <c r="A6" s="27">
        <f ca="1">COUNTIF($F$3:F6,F6)+F6*$F$1</f>
        <v>20004</v>
      </c>
      <c r="B6" s="27" t="str">
        <f ca="1">E6 &amp; COUNTIF($F$3:F6,F6)</f>
        <v>副本4</v>
      </c>
      <c r="C6" s="14">
        <f t="shared" si="5"/>
        <v>2</v>
      </c>
      <c r="D6" s="14">
        <f>IF(C6=0,"",SUM(C$3:C6))</f>
        <v>7</v>
      </c>
      <c r="E6" s="27" t="s">
        <v>33</v>
      </c>
      <c r="F6" s="27">
        <f ca="1">OFFSET(参数!$A$1,MATCH($E6,参数!$B$2:$B$16,0),)</f>
        <v>2</v>
      </c>
      <c r="G6" s="14">
        <v>1</v>
      </c>
      <c r="H6" s="14">
        <v>4</v>
      </c>
      <c r="I6" s="14"/>
      <c r="J6" s="14"/>
      <c r="K6" s="14"/>
      <c r="L6" s="14"/>
      <c r="M6" s="14"/>
      <c r="N6" s="14"/>
      <c r="O6" s="14"/>
      <c r="P6" s="14"/>
      <c r="Q6" s="7">
        <v>1</v>
      </c>
      <c r="R6" s="7">
        <v>0.9</v>
      </c>
      <c r="S6" s="7"/>
      <c r="T6" s="7"/>
      <c r="U6" s="7"/>
      <c r="V6" s="7"/>
      <c r="W6" s="7"/>
      <c r="X6" s="7"/>
      <c r="Y6" s="7"/>
      <c r="Z6" s="7"/>
      <c r="AA6" s="28">
        <f t="shared" si="6"/>
        <v>4</v>
      </c>
      <c r="AB6" s="28">
        <f t="shared" ca="1" si="0"/>
        <v>20003</v>
      </c>
      <c r="AC6" s="28">
        <f t="shared" ca="1" si="1"/>
        <v>1</v>
      </c>
      <c r="AD6" s="29">
        <f t="shared" ca="1" si="2"/>
        <v>10000</v>
      </c>
      <c r="AE6" s="28" t="str">
        <f t="shared" ca="1" si="3"/>
        <v>副本3</v>
      </c>
      <c r="AF6" s="28">
        <f t="shared" si="4"/>
        <v>3</v>
      </c>
      <c r="AG6" s="28">
        <f>COUNTIF(AF$3:AF6,AF6)-1</f>
        <v>0</v>
      </c>
    </row>
    <row r="7" spans="1:33" x14ac:dyDescent="0.25">
      <c r="A7" s="27">
        <f ca="1">COUNTIF($F$3:F7,F7)+F7*$F$1</f>
        <v>20005</v>
      </c>
      <c r="B7" s="27" t="str">
        <f ca="1">E7 &amp; COUNTIF($F$3:F7,F7)</f>
        <v>副本5</v>
      </c>
      <c r="C7" s="14">
        <f t="shared" si="5"/>
        <v>1</v>
      </c>
      <c r="D7" s="14">
        <f>IF(C7=0,"",SUM(C$3:C7))</f>
        <v>8</v>
      </c>
      <c r="E7" s="27" t="s">
        <v>33</v>
      </c>
      <c r="F7" s="27">
        <f ca="1">OFFSET(参数!$A$1,MATCH($E7,参数!$B$2:$B$16,0),)</f>
        <v>2</v>
      </c>
      <c r="G7" s="14">
        <v>1</v>
      </c>
      <c r="H7" s="14"/>
      <c r="I7" s="14"/>
      <c r="J7" s="14"/>
      <c r="K7" s="14"/>
      <c r="L7" s="14"/>
      <c r="M7" s="14"/>
      <c r="N7" s="14"/>
      <c r="O7" s="14"/>
      <c r="P7" s="14"/>
      <c r="Q7" s="7">
        <v>1</v>
      </c>
      <c r="R7" s="7"/>
      <c r="S7" s="7"/>
      <c r="T7" s="7"/>
      <c r="U7" s="7"/>
      <c r="V7" s="7"/>
      <c r="W7" s="7"/>
      <c r="X7" s="7"/>
      <c r="Y7" s="7"/>
      <c r="Z7" s="7"/>
      <c r="AA7" s="28">
        <f t="shared" si="6"/>
        <v>5</v>
      </c>
      <c r="AB7" s="28">
        <f t="shared" ca="1" si="0"/>
        <v>20003</v>
      </c>
      <c r="AC7" s="28">
        <f t="shared" ca="1" si="1"/>
        <v>3</v>
      </c>
      <c r="AD7" s="29">
        <f t="shared" ca="1" si="2"/>
        <v>9000</v>
      </c>
      <c r="AE7" s="28" t="str">
        <f t="shared" ca="1" si="3"/>
        <v>副本3</v>
      </c>
      <c r="AF7" s="28">
        <f t="shared" si="4"/>
        <v>3</v>
      </c>
      <c r="AG7" s="28">
        <f>COUNTIF(AF$3:AF7,AF7)-1</f>
        <v>1</v>
      </c>
    </row>
    <row r="8" spans="1:33" x14ac:dyDescent="0.25">
      <c r="A8" s="27">
        <f ca="1">COUNTIF($F$3:F8,F8)+F8*$F$1</f>
        <v>20006</v>
      </c>
      <c r="B8" s="27" t="str">
        <f ca="1">E8 &amp; COUNTIF($F$3:F8,F8)</f>
        <v>副本6</v>
      </c>
      <c r="C8" s="14">
        <f t="shared" si="5"/>
        <v>2</v>
      </c>
      <c r="D8" s="14">
        <f>IF(C8=0,"",SUM(C$3:C8))</f>
        <v>10</v>
      </c>
      <c r="E8" s="27" t="s">
        <v>33</v>
      </c>
      <c r="F8" s="27">
        <f ca="1">OFFSET(参数!$A$1,MATCH($E8,参数!$B$2:$B$16,0),)</f>
        <v>2</v>
      </c>
      <c r="G8" s="14">
        <v>1</v>
      </c>
      <c r="H8" s="14">
        <v>2</v>
      </c>
      <c r="I8" s="14"/>
      <c r="J8" s="14"/>
      <c r="K8" s="14"/>
      <c r="L8" s="14"/>
      <c r="M8" s="14"/>
      <c r="N8" s="14"/>
      <c r="O8" s="14"/>
      <c r="P8" s="14"/>
      <c r="Q8" s="7">
        <v>1</v>
      </c>
      <c r="R8" s="7">
        <v>0.9</v>
      </c>
      <c r="S8" s="7"/>
      <c r="T8" s="7"/>
      <c r="U8" s="7"/>
      <c r="V8" s="7"/>
      <c r="W8" s="7"/>
      <c r="X8" s="7"/>
      <c r="Y8" s="7"/>
      <c r="Z8" s="7"/>
      <c r="AA8" s="28">
        <f t="shared" si="6"/>
        <v>6</v>
      </c>
      <c r="AB8" s="28">
        <f t="shared" ca="1" si="0"/>
        <v>20004</v>
      </c>
      <c r="AC8" s="28">
        <f t="shared" ca="1" si="1"/>
        <v>1</v>
      </c>
      <c r="AD8" s="29">
        <f t="shared" ca="1" si="2"/>
        <v>10000</v>
      </c>
      <c r="AE8" s="28" t="str">
        <f t="shared" ca="1" si="3"/>
        <v>副本4</v>
      </c>
      <c r="AF8" s="28">
        <f t="shared" si="4"/>
        <v>4</v>
      </c>
      <c r="AG8" s="28">
        <f>COUNTIF(AF$3:AF8,AF8)-1</f>
        <v>0</v>
      </c>
    </row>
    <row r="9" spans="1:33" x14ac:dyDescent="0.25">
      <c r="A9" s="27">
        <f ca="1">COUNTIF($F$3:F9,F9)+F9*$F$1</f>
        <v>20007</v>
      </c>
      <c r="B9" s="27" t="str">
        <f ca="1">E9 &amp; COUNTIF($F$3:F9,F9)</f>
        <v>副本7</v>
      </c>
      <c r="C9" s="14">
        <f t="shared" si="5"/>
        <v>2</v>
      </c>
      <c r="D9" s="14">
        <f>IF(C9=0,"",SUM(C$3:C9))</f>
        <v>12</v>
      </c>
      <c r="E9" s="27" t="s">
        <v>33</v>
      </c>
      <c r="F9" s="27">
        <f ca="1">OFFSET(参数!$A$1,MATCH($E9,参数!$B$2:$B$16,0),)</f>
        <v>2</v>
      </c>
      <c r="G9" s="14">
        <v>1</v>
      </c>
      <c r="H9" s="14">
        <v>3</v>
      </c>
      <c r="I9" s="14"/>
      <c r="J9" s="14"/>
      <c r="K9" s="14"/>
      <c r="L9" s="14"/>
      <c r="M9" s="14"/>
      <c r="N9" s="14"/>
      <c r="O9" s="14"/>
      <c r="P9" s="14"/>
      <c r="Q9" s="7">
        <v>1</v>
      </c>
      <c r="R9" s="7">
        <v>0.9</v>
      </c>
      <c r="S9" s="7"/>
      <c r="T9" s="7"/>
      <c r="U9" s="7"/>
      <c r="V9" s="7"/>
      <c r="W9" s="7"/>
      <c r="X9" s="7"/>
      <c r="Y9" s="7"/>
      <c r="Z9" s="7"/>
      <c r="AA9" s="28">
        <f t="shared" si="6"/>
        <v>7</v>
      </c>
      <c r="AB9" s="28">
        <f t="shared" ca="1" si="0"/>
        <v>20004</v>
      </c>
      <c r="AC9" s="28">
        <f t="shared" ca="1" si="1"/>
        <v>4</v>
      </c>
      <c r="AD9" s="29">
        <f t="shared" ca="1" si="2"/>
        <v>9000</v>
      </c>
      <c r="AE9" s="28" t="str">
        <f t="shared" ca="1" si="3"/>
        <v>副本4</v>
      </c>
      <c r="AF9" s="28">
        <f t="shared" si="4"/>
        <v>4</v>
      </c>
      <c r="AG9" s="28">
        <f>COUNTIF(AF$3:AF9,AF9)-1</f>
        <v>1</v>
      </c>
    </row>
    <row r="10" spans="1:33" x14ac:dyDescent="0.25">
      <c r="A10" s="27">
        <f ca="1">COUNTIF($F$3:F10,F10)+F10*$F$1</f>
        <v>20008</v>
      </c>
      <c r="B10" s="27" t="str">
        <f ca="1">E10 &amp; COUNTIF($F$3:F10,F10)</f>
        <v>副本8</v>
      </c>
      <c r="C10" s="14">
        <f t="shared" si="5"/>
        <v>2</v>
      </c>
      <c r="D10" s="14">
        <f>IF(C10=0,"",SUM(C$3:C10))</f>
        <v>14</v>
      </c>
      <c r="E10" s="27" t="s">
        <v>33</v>
      </c>
      <c r="F10" s="27">
        <f ca="1">OFFSET(参数!$A$1,MATCH($E10,参数!$B$2:$B$16,0),)</f>
        <v>2</v>
      </c>
      <c r="G10" s="14">
        <v>1</v>
      </c>
      <c r="H10" s="14">
        <v>4</v>
      </c>
      <c r="I10" s="14"/>
      <c r="J10" s="14"/>
      <c r="K10" s="14"/>
      <c r="L10" s="14"/>
      <c r="M10" s="14"/>
      <c r="N10" s="14"/>
      <c r="O10" s="14"/>
      <c r="P10" s="14"/>
      <c r="Q10" s="7">
        <v>1</v>
      </c>
      <c r="R10" s="7">
        <v>0.9</v>
      </c>
      <c r="S10" s="7"/>
      <c r="T10" s="7"/>
      <c r="U10" s="7"/>
      <c r="V10" s="7"/>
      <c r="W10" s="7"/>
      <c r="X10" s="7"/>
      <c r="Y10" s="7"/>
      <c r="Z10" s="7"/>
      <c r="AA10" s="28">
        <f t="shared" si="6"/>
        <v>8</v>
      </c>
      <c r="AB10" s="28">
        <f t="shared" ca="1" si="0"/>
        <v>20005</v>
      </c>
      <c r="AC10" s="28">
        <f t="shared" ca="1" si="1"/>
        <v>1</v>
      </c>
      <c r="AD10" s="29">
        <f t="shared" ca="1" si="2"/>
        <v>10000</v>
      </c>
      <c r="AE10" s="28" t="str">
        <f t="shared" ca="1" si="3"/>
        <v>副本5</v>
      </c>
      <c r="AF10" s="28">
        <f t="shared" si="4"/>
        <v>5</v>
      </c>
      <c r="AG10" s="28">
        <f>COUNTIF(AF$3:AF10,AF10)-1</f>
        <v>0</v>
      </c>
    </row>
    <row r="11" spans="1:33" x14ac:dyDescent="0.25">
      <c r="A11" s="27">
        <f ca="1">COUNTIF($F$3:F11,F11)+F11*$F$1</f>
        <v>20009</v>
      </c>
      <c r="B11" s="27" t="str">
        <f ca="1">E11 &amp; COUNTIF($F$3:F11,F11)</f>
        <v>副本9</v>
      </c>
      <c r="C11" s="14">
        <f t="shared" si="5"/>
        <v>1</v>
      </c>
      <c r="D11" s="14">
        <f>IF(C11=0,"",SUM(C$3:C11))</f>
        <v>15</v>
      </c>
      <c r="E11" s="27" t="s">
        <v>33</v>
      </c>
      <c r="F11" s="27">
        <f ca="1">OFFSET(参数!$A$1,MATCH($E11,参数!$B$2:$B$16,0),)</f>
        <v>2</v>
      </c>
      <c r="G11" s="14">
        <v>1</v>
      </c>
      <c r="H11" s="14"/>
      <c r="I11" s="14"/>
      <c r="J11" s="14"/>
      <c r="K11" s="14"/>
      <c r="L11" s="14"/>
      <c r="M11" s="14"/>
      <c r="N11" s="14"/>
      <c r="O11" s="14"/>
      <c r="P11" s="14"/>
      <c r="Q11" s="7">
        <v>1</v>
      </c>
      <c r="R11" s="7"/>
      <c r="S11" s="7"/>
      <c r="T11" s="7"/>
      <c r="U11" s="7"/>
      <c r="V11" s="7"/>
      <c r="W11" s="7"/>
      <c r="X11" s="7"/>
      <c r="Y11" s="7"/>
      <c r="Z11" s="7"/>
      <c r="AA11" s="28">
        <f t="shared" si="6"/>
        <v>9</v>
      </c>
      <c r="AB11" s="28">
        <f t="shared" ca="1" si="0"/>
        <v>20006</v>
      </c>
      <c r="AC11" s="28">
        <f t="shared" ca="1" si="1"/>
        <v>1</v>
      </c>
      <c r="AD11" s="29">
        <f t="shared" ca="1" si="2"/>
        <v>10000</v>
      </c>
      <c r="AE11" s="28" t="str">
        <f t="shared" ca="1" si="3"/>
        <v>副本6</v>
      </c>
      <c r="AF11" s="28">
        <f t="shared" si="4"/>
        <v>6</v>
      </c>
      <c r="AG11" s="28">
        <f>COUNTIF(AF$3:AF11,AF11)-1</f>
        <v>0</v>
      </c>
    </row>
    <row r="12" spans="1:33" x14ac:dyDescent="0.25">
      <c r="A12" s="27">
        <f ca="1">COUNTIF($F$3:F12,F12)+F12*$F$1</f>
        <v>20010</v>
      </c>
      <c r="B12" s="27" t="str">
        <f ca="1">E12 &amp; COUNTIF($F$3:F12,F12)</f>
        <v>副本10</v>
      </c>
      <c r="C12" s="14">
        <f t="shared" si="5"/>
        <v>2</v>
      </c>
      <c r="D12" s="14">
        <f>IF(C12=0,"",SUM(C$3:C12))</f>
        <v>17</v>
      </c>
      <c r="E12" s="27" t="s">
        <v>33</v>
      </c>
      <c r="F12" s="27">
        <f ca="1">OFFSET(参数!$A$1,MATCH($E12,参数!$B$2:$B$16,0),)</f>
        <v>2</v>
      </c>
      <c r="G12" s="14">
        <v>1</v>
      </c>
      <c r="H12" s="14">
        <v>2</v>
      </c>
      <c r="I12" s="14"/>
      <c r="J12" s="14"/>
      <c r="K12" s="14"/>
      <c r="L12" s="14"/>
      <c r="M12" s="14"/>
      <c r="N12" s="14"/>
      <c r="O12" s="14"/>
      <c r="P12" s="14"/>
      <c r="Q12" s="7">
        <v>1</v>
      </c>
      <c r="R12" s="7">
        <v>0.9</v>
      </c>
      <c r="S12" s="7"/>
      <c r="T12" s="7"/>
      <c r="U12" s="7"/>
      <c r="V12" s="7"/>
      <c r="W12" s="7"/>
      <c r="X12" s="7"/>
      <c r="Y12" s="7"/>
      <c r="Z12" s="7"/>
      <c r="AA12" s="28">
        <f t="shared" si="6"/>
        <v>10</v>
      </c>
      <c r="AB12" s="28">
        <f t="shared" ca="1" si="0"/>
        <v>20006</v>
      </c>
      <c r="AC12" s="28">
        <f t="shared" ca="1" si="1"/>
        <v>2</v>
      </c>
      <c r="AD12" s="29">
        <f t="shared" ca="1" si="2"/>
        <v>9000</v>
      </c>
      <c r="AE12" s="28" t="str">
        <f t="shared" ca="1" si="3"/>
        <v>副本6</v>
      </c>
      <c r="AF12" s="28">
        <f t="shared" si="4"/>
        <v>6</v>
      </c>
      <c r="AG12" s="28">
        <f>COUNTIF(AF$3:AF12,AF12)-1</f>
        <v>1</v>
      </c>
    </row>
    <row r="13" spans="1:33" x14ac:dyDescent="0.25">
      <c r="A13" s="27">
        <f ca="1">COUNTIF($F$3:F13,F13)+F13*$F$1</f>
        <v>20011</v>
      </c>
      <c r="B13" s="27" t="str">
        <f ca="1">E13 &amp; COUNTIF($F$3:F13,F13)</f>
        <v>副本11</v>
      </c>
      <c r="C13" s="14">
        <f t="shared" si="5"/>
        <v>2</v>
      </c>
      <c r="D13" s="14">
        <f>IF(C13=0,"",SUM(C$3:C13))</f>
        <v>19</v>
      </c>
      <c r="E13" s="27" t="s">
        <v>33</v>
      </c>
      <c r="F13" s="27">
        <f ca="1">OFFSET(参数!$A$1,MATCH($E13,参数!$B$2:$B$16,0),)</f>
        <v>2</v>
      </c>
      <c r="G13" s="14">
        <v>1</v>
      </c>
      <c r="H13" s="14">
        <v>3</v>
      </c>
      <c r="I13" s="14"/>
      <c r="J13" s="14"/>
      <c r="K13" s="14"/>
      <c r="L13" s="14"/>
      <c r="M13" s="14"/>
      <c r="N13" s="14"/>
      <c r="O13" s="14"/>
      <c r="P13" s="14"/>
      <c r="Q13" s="7">
        <v>1</v>
      </c>
      <c r="R13" s="7">
        <v>0.9</v>
      </c>
      <c r="S13" s="7"/>
      <c r="T13" s="7"/>
      <c r="U13" s="7"/>
      <c r="V13" s="7"/>
      <c r="W13" s="7"/>
      <c r="X13" s="7"/>
      <c r="Y13" s="7"/>
      <c r="Z13" s="7"/>
      <c r="AA13" s="28">
        <f t="shared" si="6"/>
        <v>11</v>
      </c>
      <c r="AB13" s="28">
        <f t="shared" ca="1" si="0"/>
        <v>20007</v>
      </c>
      <c r="AC13" s="28">
        <f t="shared" ca="1" si="1"/>
        <v>1</v>
      </c>
      <c r="AD13" s="29">
        <f t="shared" ca="1" si="2"/>
        <v>10000</v>
      </c>
      <c r="AE13" s="28" t="str">
        <f t="shared" ca="1" si="3"/>
        <v>副本7</v>
      </c>
      <c r="AF13" s="28">
        <f t="shared" si="4"/>
        <v>7</v>
      </c>
      <c r="AG13" s="28">
        <f>COUNTIF(AF$3:AF13,AF13)-1</f>
        <v>0</v>
      </c>
    </row>
    <row r="14" spans="1:33" x14ac:dyDescent="0.25">
      <c r="A14" s="27">
        <f ca="1">COUNTIF($F$3:F14,F14)+F14*$F$1</f>
        <v>20012</v>
      </c>
      <c r="B14" s="27" t="str">
        <f ca="1">E14 &amp; COUNTIF($F$3:F14,F14)</f>
        <v>副本12</v>
      </c>
      <c r="C14" s="14">
        <f t="shared" si="5"/>
        <v>2</v>
      </c>
      <c r="D14" s="14">
        <f>IF(C14=0,"",SUM(C$3:C14))</f>
        <v>21</v>
      </c>
      <c r="E14" s="27" t="s">
        <v>33</v>
      </c>
      <c r="F14" s="27">
        <f ca="1">OFFSET(参数!$A$1,MATCH($E14,参数!$B$2:$B$16,0),)</f>
        <v>2</v>
      </c>
      <c r="G14" s="14">
        <v>1</v>
      </c>
      <c r="H14" s="14">
        <v>4</v>
      </c>
      <c r="I14" s="14"/>
      <c r="J14" s="14"/>
      <c r="K14" s="14"/>
      <c r="L14" s="14"/>
      <c r="M14" s="14"/>
      <c r="N14" s="14"/>
      <c r="O14" s="14"/>
      <c r="P14" s="14"/>
      <c r="Q14" s="7">
        <v>1</v>
      </c>
      <c r="R14" s="7">
        <v>0.9</v>
      </c>
      <c r="S14" s="7"/>
      <c r="T14" s="7"/>
      <c r="U14" s="7"/>
      <c r="V14" s="7"/>
      <c r="W14" s="7"/>
      <c r="X14" s="7"/>
      <c r="Y14" s="7"/>
      <c r="Z14" s="7"/>
      <c r="AA14" s="28">
        <f t="shared" si="6"/>
        <v>12</v>
      </c>
      <c r="AB14" s="28">
        <f t="shared" ca="1" si="0"/>
        <v>20007</v>
      </c>
      <c r="AC14" s="28">
        <f t="shared" ca="1" si="1"/>
        <v>3</v>
      </c>
      <c r="AD14" s="29">
        <f t="shared" ca="1" si="2"/>
        <v>9000</v>
      </c>
      <c r="AE14" s="28" t="str">
        <f t="shared" ca="1" si="3"/>
        <v>副本7</v>
      </c>
      <c r="AF14" s="28">
        <f t="shared" si="4"/>
        <v>7</v>
      </c>
      <c r="AG14" s="28">
        <f>COUNTIF(AF$3:AF14,AF14)-1</f>
        <v>1</v>
      </c>
    </row>
    <row r="15" spans="1:33" x14ac:dyDescent="0.25">
      <c r="A15" s="27">
        <f ca="1">COUNTIF($F$3:F15,F15)+F15*$F$1</f>
        <v>20013</v>
      </c>
      <c r="B15" s="27" t="str">
        <f ca="1">E15 &amp; COUNTIF($F$3:F15,F15)</f>
        <v>副本13</v>
      </c>
      <c r="C15" s="14">
        <f t="shared" si="5"/>
        <v>1</v>
      </c>
      <c r="D15" s="14">
        <f>IF(C15=0,"",SUM(C$3:C15))</f>
        <v>22</v>
      </c>
      <c r="E15" s="27" t="s">
        <v>33</v>
      </c>
      <c r="F15" s="27">
        <f ca="1">OFFSET(参数!$A$1,MATCH($E15,参数!$B$2:$B$16,0),)</f>
        <v>2</v>
      </c>
      <c r="G15" s="14">
        <v>1</v>
      </c>
      <c r="H15" s="14"/>
      <c r="I15" s="14"/>
      <c r="J15" s="14"/>
      <c r="K15" s="14"/>
      <c r="L15" s="14"/>
      <c r="M15" s="14"/>
      <c r="N15" s="14"/>
      <c r="O15" s="14"/>
      <c r="P15" s="14"/>
      <c r="Q15" s="7">
        <v>1</v>
      </c>
      <c r="R15" s="7"/>
      <c r="S15" s="7"/>
      <c r="T15" s="7"/>
      <c r="U15" s="7"/>
      <c r="V15" s="7"/>
      <c r="W15" s="7"/>
      <c r="X15" s="7"/>
      <c r="Y15" s="7"/>
      <c r="Z15" s="7"/>
      <c r="AA15" s="28">
        <f t="shared" si="6"/>
        <v>13</v>
      </c>
      <c r="AB15" s="28">
        <f t="shared" ca="1" si="0"/>
        <v>20008</v>
      </c>
      <c r="AC15" s="28">
        <f t="shared" ca="1" si="1"/>
        <v>1</v>
      </c>
      <c r="AD15" s="29">
        <f t="shared" ca="1" si="2"/>
        <v>10000</v>
      </c>
      <c r="AE15" s="28" t="str">
        <f t="shared" ca="1" si="3"/>
        <v>副本8</v>
      </c>
      <c r="AF15" s="28">
        <f t="shared" si="4"/>
        <v>8</v>
      </c>
      <c r="AG15" s="28">
        <f>COUNTIF(AF$3:AF15,AF15)-1</f>
        <v>0</v>
      </c>
    </row>
    <row r="16" spans="1:33" x14ac:dyDescent="0.25">
      <c r="A16" s="27">
        <f ca="1">COUNTIF($F$3:F16,F16)+F16*$F$1</f>
        <v>20014</v>
      </c>
      <c r="B16" s="27" t="str">
        <f ca="1">E16 &amp; COUNTIF($F$3:F16,F16)</f>
        <v>副本14</v>
      </c>
      <c r="C16" s="14">
        <f t="shared" si="5"/>
        <v>2</v>
      </c>
      <c r="D16" s="14">
        <f>IF(C16=0,"",SUM(C$3:C16))</f>
        <v>24</v>
      </c>
      <c r="E16" s="27" t="s">
        <v>33</v>
      </c>
      <c r="F16" s="27">
        <f ca="1">OFFSET(参数!$A$1,MATCH($E16,参数!$B$2:$B$16,0),)</f>
        <v>2</v>
      </c>
      <c r="G16" s="14">
        <v>1</v>
      </c>
      <c r="H16" s="14">
        <v>2</v>
      </c>
      <c r="I16" s="14"/>
      <c r="J16" s="14"/>
      <c r="K16" s="14"/>
      <c r="L16" s="14"/>
      <c r="M16" s="14"/>
      <c r="N16" s="14"/>
      <c r="O16" s="14"/>
      <c r="P16" s="14"/>
      <c r="Q16" s="7">
        <v>1</v>
      </c>
      <c r="R16" s="7">
        <v>0.9</v>
      </c>
      <c r="S16" s="7"/>
      <c r="T16" s="7"/>
      <c r="U16" s="7"/>
      <c r="V16" s="7"/>
      <c r="W16" s="7"/>
      <c r="X16" s="7"/>
      <c r="Y16" s="7"/>
      <c r="Z16" s="7"/>
      <c r="AA16" s="28">
        <f t="shared" si="6"/>
        <v>14</v>
      </c>
      <c r="AB16" s="28">
        <f t="shared" ca="1" si="0"/>
        <v>20008</v>
      </c>
      <c r="AC16" s="28">
        <f t="shared" ca="1" si="1"/>
        <v>4</v>
      </c>
      <c r="AD16" s="29">
        <f t="shared" ca="1" si="2"/>
        <v>9000</v>
      </c>
      <c r="AE16" s="28" t="str">
        <f t="shared" ca="1" si="3"/>
        <v>副本8</v>
      </c>
      <c r="AF16" s="28">
        <f t="shared" si="4"/>
        <v>8</v>
      </c>
      <c r="AG16" s="28">
        <f>COUNTIF(AF$3:AF16,AF16)-1</f>
        <v>1</v>
      </c>
    </row>
    <row r="17" spans="1:33" x14ac:dyDescent="0.25">
      <c r="A17" s="27">
        <f ca="1">COUNTIF($F$3:F17,F17)+F17*$F$1</f>
        <v>20015</v>
      </c>
      <c r="B17" s="27" t="str">
        <f ca="1">E17 &amp; COUNTIF($F$3:F17,F17)</f>
        <v>副本15</v>
      </c>
      <c r="C17" s="14">
        <f t="shared" si="5"/>
        <v>2</v>
      </c>
      <c r="D17" s="14">
        <f>IF(C17=0,"",SUM(C$3:C17))</f>
        <v>26</v>
      </c>
      <c r="E17" s="27" t="s">
        <v>33</v>
      </c>
      <c r="F17" s="27">
        <f ca="1">OFFSET(参数!$A$1,MATCH($E17,参数!$B$2:$B$16,0),)</f>
        <v>2</v>
      </c>
      <c r="G17" s="14">
        <v>1</v>
      </c>
      <c r="H17" s="14">
        <v>3</v>
      </c>
      <c r="I17" s="14"/>
      <c r="J17" s="14"/>
      <c r="K17" s="14"/>
      <c r="L17" s="14"/>
      <c r="M17" s="14"/>
      <c r="N17" s="14"/>
      <c r="O17" s="14"/>
      <c r="P17" s="14"/>
      <c r="Q17" s="7">
        <v>1</v>
      </c>
      <c r="R17" s="7">
        <v>0.9</v>
      </c>
      <c r="S17" s="7"/>
      <c r="T17" s="7"/>
      <c r="U17" s="7"/>
      <c r="V17" s="7"/>
      <c r="W17" s="7"/>
      <c r="X17" s="7"/>
      <c r="Y17" s="7"/>
      <c r="Z17" s="7"/>
      <c r="AA17" s="28">
        <f t="shared" si="6"/>
        <v>15</v>
      </c>
      <c r="AB17" s="28">
        <f t="shared" ca="1" si="0"/>
        <v>20009</v>
      </c>
      <c r="AC17" s="28">
        <f t="shared" ca="1" si="1"/>
        <v>1</v>
      </c>
      <c r="AD17" s="29">
        <f t="shared" ca="1" si="2"/>
        <v>10000</v>
      </c>
      <c r="AE17" s="28" t="str">
        <f t="shared" ca="1" si="3"/>
        <v>副本9</v>
      </c>
      <c r="AF17" s="28">
        <f t="shared" si="4"/>
        <v>9</v>
      </c>
      <c r="AG17" s="28">
        <f>COUNTIF(AF$3:AF17,AF17)-1</f>
        <v>0</v>
      </c>
    </row>
    <row r="18" spans="1:33" x14ac:dyDescent="0.25">
      <c r="A18" s="27">
        <f ca="1">COUNTIF($F$3:F18,F18)+F18*$F$1</f>
        <v>20016</v>
      </c>
      <c r="B18" s="27" t="str">
        <f ca="1">E18 &amp; COUNTIF($F$3:F18,F18)</f>
        <v>副本16</v>
      </c>
      <c r="C18" s="14">
        <f t="shared" si="5"/>
        <v>2</v>
      </c>
      <c r="D18" s="14">
        <f>IF(C18=0,"",SUM(C$3:C18))</f>
        <v>28</v>
      </c>
      <c r="E18" s="27" t="s">
        <v>33</v>
      </c>
      <c r="F18" s="27">
        <f ca="1">OFFSET(参数!$A$1,MATCH($E18,参数!$B$2:$B$16,0),)</f>
        <v>2</v>
      </c>
      <c r="G18" s="14">
        <v>1</v>
      </c>
      <c r="H18" s="14">
        <v>4</v>
      </c>
      <c r="I18" s="14"/>
      <c r="J18" s="14"/>
      <c r="K18" s="14"/>
      <c r="L18" s="14"/>
      <c r="M18" s="14"/>
      <c r="N18" s="14"/>
      <c r="O18" s="14"/>
      <c r="P18" s="14"/>
      <c r="Q18" s="7">
        <v>1</v>
      </c>
      <c r="R18" s="7">
        <v>0.9</v>
      </c>
      <c r="S18" s="7"/>
      <c r="T18" s="7"/>
      <c r="U18" s="7"/>
      <c r="V18" s="7"/>
      <c r="W18" s="7"/>
      <c r="X18" s="7"/>
      <c r="Y18" s="7"/>
      <c r="Z18" s="7"/>
      <c r="AA18" s="28">
        <f t="shared" si="6"/>
        <v>16</v>
      </c>
      <c r="AB18" s="28">
        <f t="shared" ca="1" si="0"/>
        <v>20010</v>
      </c>
      <c r="AC18" s="28">
        <f t="shared" ca="1" si="1"/>
        <v>1</v>
      </c>
      <c r="AD18" s="29">
        <f t="shared" ca="1" si="2"/>
        <v>10000</v>
      </c>
      <c r="AE18" s="28" t="str">
        <f t="shared" ca="1" si="3"/>
        <v>副本10</v>
      </c>
      <c r="AF18" s="28">
        <f t="shared" si="4"/>
        <v>10</v>
      </c>
      <c r="AG18" s="28">
        <f>COUNTIF(AF$3:AF18,AF18)-1</f>
        <v>0</v>
      </c>
    </row>
    <row r="19" spans="1:33" x14ac:dyDescent="0.25">
      <c r="A19" s="27">
        <f ca="1">COUNTIF($F$3:F19,F19)+F19*$F$1</f>
        <v>20017</v>
      </c>
      <c r="B19" s="27" t="str">
        <f ca="1">E19 &amp; COUNTIF($F$3:F19,F19)</f>
        <v>副本17</v>
      </c>
      <c r="C19" s="14">
        <f t="shared" si="5"/>
        <v>1</v>
      </c>
      <c r="D19" s="14">
        <f>IF(C19=0,"",SUM(C$3:C19))</f>
        <v>29</v>
      </c>
      <c r="E19" s="27" t="s">
        <v>33</v>
      </c>
      <c r="F19" s="27">
        <f ca="1">OFFSET(参数!$A$1,MATCH($E19,参数!$B$2:$B$16,0),)</f>
        <v>2</v>
      </c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7">
        <v>1</v>
      </c>
      <c r="R19" s="7"/>
      <c r="S19" s="7"/>
      <c r="T19" s="7"/>
      <c r="U19" s="7"/>
      <c r="V19" s="7"/>
      <c r="W19" s="7"/>
      <c r="X19" s="7"/>
      <c r="Y19" s="7"/>
      <c r="Z19" s="7"/>
      <c r="AA19" s="28">
        <f t="shared" si="6"/>
        <v>17</v>
      </c>
      <c r="AB19" s="28">
        <f t="shared" ca="1" si="0"/>
        <v>20010</v>
      </c>
      <c r="AC19" s="28">
        <f t="shared" ca="1" si="1"/>
        <v>2</v>
      </c>
      <c r="AD19" s="29">
        <f t="shared" ca="1" si="2"/>
        <v>9000</v>
      </c>
      <c r="AE19" s="28" t="str">
        <f t="shared" ca="1" si="3"/>
        <v>副本10</v>
      </c>
      <c r="AF19" s="28">
        <f t="shared" si="4"/>
        <v>10</v>
      </c>
      <c r="AG19" s="28">
        <f>COUNTIF(AF$3:AF19,AF19)-1</f>
        <v>1</v>
      </c>
    </row>
    <row r="20" spans="1:33" x14ac:dyDescent="0.25">
      <c r="A20" s="27">
        <f ca="1">COUNTIF($F$3:F20,F20)+F20*$F$1</f>
        <v>20018</v>
      </c>
      <c r="B20" s="27" t="str">
        <f ca="1">E20 &amp; COUNTIF($F$3:F20,F20)</f>
        <v>副本18</v>
      </c>
      <c r="C20" s="14">
        <f t="shared" si="5"/>
        <v>1</v>
      </c>
      <c r="D20" s="14">
        <f>IF(C20=0,"",SUM(C$3:C20))</f>
        <v>30</v>
      </c>
      <c r="E20" s="27" t="s">
        <v>33</v>
      </c>
      <c r="F20" s="27">
        <f ca="1">OFFSET(参数!$A$1,MATCH($E20,参数!$B$2:$B$16,0),)</f>
        <v>2</v>
      </c>
      <c r="G20" s="14">
        <v>1</v>
      </c>
      <c r="H20" s="14"/>
      <c r="I20" s="14"/>
      <c r="J20" s="14"/>
      <c r="K20" s="14"/>
      <c r="L20" s="14"/>
      <c r="M20" s="14"/>
      <c r="N20" s="14"/>
      <c r="O20" s="14"/>
      <c r="P20" s="14"/>
      <c r="Q20" s="7">
        <v>1</v>
      </c>
      <c r="R20" s="7"/>
      <c r="S20" s="7"/>
      <c r="T20" s="7"/>
      <c r="U20" s="7"/>
      <c r="V20" s="7"/>
      <c r="W20" s="7"/>
      <c r="X20" s="7"/>
      <c r="Y20" s="7"/>
      <c r="Z20" s="7"/>
      <c r="AA20" s="28">
        <f t="shared" si="6"/>
        <v>18</v>
      </c>
      <c r="AB20" s="28">
        <f t="shared" ca="1" si="0"/>
        <v>20011</v>
      </c>
      <c r="AC20" s="28">
        <f t="shared" ca="1" si="1"/>
        <v>1</v>
      </c>
      <c r="AD20" s="29">
        <f t="shared" ca="1" si="2"/>
        <v>10000</v>
      </c>
      <c r="AE20" s="28" t="str">
        <f t="shared" ca="1" si="3"/>
        <v>副本11</v>
      </c>
      <c r="AF20" s="28">
        <f t="shared" si="4"/>
        <v>11</v>
      </c>
      <c r="AG20" s="28">
        <f>COUNTIF(AF$3:AF20,AF20)-1</f>
        <v>0</v>
      </c>
    </row>
    <row r="21" spans="1:33" x14ac:dyDescent="0.25">
      <c r="A21" s="27">
        <f ca="1">COUNTIF($F$3:F21,F21)+F21*$F$1</f>
        <v>20019</v>
      </c>
      <c r="B21" s="27" t="str">
        <f ca="1">E21 &amp; COUNTIF($F$3:F21,F21)</f>
        <v>副本19</v>
      </c>
      <c r="C21" s="14">
        <f t="shared" si="5"/>
        <v>3</v>
      </c>
      <c r="D21" s="14">
        <f>IF(C21=0,"",SUM(C$3:C21))</f>
        <v>33</v>
      </c>
      <c r="E21" s="27" t="s">
        <v>33</v>
      </c>
      <c r="F21" s="27">
        <f ca="1">OFFSET(参数!$A$1,MATCH($E21,参数!$B$2:$B$16,0),)</f>
        <v>2</v>
      </c>
      <c r="G21" s="14">
        <v>1</v>
      </c>
      <c r="H21" s="14">
        <v>5</v>
      </c>
      <c r="I21" s="14">
        <v>3</v>
      </c>
      <c r="J21" s="14"/>
      <c r="K21" s="14"/>
      <c r="L21" s="14"/>
      <c r="M21" s="14"/>
      <c r="N21" s="14"/>
      <c r="O21" s="14"/>
      <c r="P21" s="14"/>
      <c r="Q21" s="7">
        <v>1</v>
      </c>
      <c r="R21" s="7">
        <v>0.8</v>
      </c>
      <c r="S21" s="7">
        <v>0.9</v>
      </c>
      <c r="T21" s="7"/>
      <c r="U21" s="7"/>
      <c r="V21" s="7"/>
      <c r="W21" s="7"/>
      <c r="X21" s="7"/>
      <c r="Y21" s="7"/>
      <c r="Z21" s="7"/>
      <c r="AA21" s="28">
        <f t="shared" si="6"/>
        <v>19</v>
      </c>
      <c r="AB21" s="28">
        <f t="shared" ca="1" si="0"/>
        <v>20011</v>
      </c>
      <c r="AC21" s="28">
        <f t="shared" ca="1" si="1"/>
        <v>3</v>
      </c>
      <c r="AD21" s="29">
        <f t="shared" ca="1" si="2"/>
        <v>9000</v>
      </c>
      <c r="AE21" s="28" t="str">
        <f t="shared" ca="1" si="3"/>
        <v>副本11</v>
      </c>
      <c r="AF21" s="28">
        <f t="shared" si="4"/>
        <v>11</v>
      </c>
      <c r="AG21" s="28">
        <f>COUNTIF(AF$3:AF21,AF21)-1</f>
        <v>1</v>
      </c>
    </row>
    <row r="22" spans="1:33" x14ac:dyDescent="0.25">
      <c r="A22" s="27">
        <f ca="1">COUNTIF($F$3:F22,F22)+F22*$F$1</f>
        <v>20020</v>
      </c>
      <c r="B22" s="27" t="str">
        <f ca="1">E22 &amp; COUNTIF($F$3:F22,F22)</f>
        <v>副本20</v>
      </c>
      <c r="C22" s="14">
        <f t="shared" si="5"/>
        <v>3</v>
      </c>
      <c r="D22" s="14">
        <f>IF(C22=0,"",SUM(C$3:C22))</f>
        <v>36</v>
      </c>
      <c r="E22" s="27" t="s">
        <v>33</v>
      </c>
      <c r="F22" s="27">
        <f ca="1">OFFSET(参数!$A$1,MATCH($E22,参数!$B$2:$B$16,0),)</f>
        <v>2</v>
      </c>
      <c r="G22" s="14">
        <v>1</v>
      </c>
      <c r="H22" s="14">
        <v>5</v>
      </c>
      <c r="I22" s="14">
        <v>3</v>
      </c>
      <c r="J22" s="14"/>
      <c r="K22" s="14"/>
      <c r="L22" s="14"/>
      <c r="M22" s="14"/>
      <c r="N22" s="14"/>
      <c r="O22" s="14"/>
      <c r="P22" s="14"/>
      <c r="Q22" s="7">
        <v>1</v>
      </c>
      <c r="R22" s="7">
        <v>0.8</v>
      </c>
      <c r="S22" s="7">
        <v>0.9</v>
      </c>
      <c r="T22" s="7"/>
      <c r="U22" s="7"/>
      <c r="V22" s="7"/>
      <c r="W22" s="7"/>
      <c r="X22" s="7"/>
      <c r="Y22" s="7"/>
      <c r="Z22" s="7"/>
      <c r="AA22" s="28">
        <f t="shared" si="6"/>
        <v>20</v>
      </c>
      <c r="AB22" s="28">
        <f t="shared" ca="1" si="0"/>
        <v>20012</v>
      </c>
      <c r="AC22" s="28">
        <f t="shared" ca="1" si="1"/>
        <v>1</v>
      </c>
      <c r="AD22" s="29">
        <f t="shared" ca="1" si="2"/>
        <v>10000</v>
      </c>
      <c r="AE22" s="28" t="str">
        <f t="shared" ca="1" si="3"/>
        <v>副本12</v>
      </c>
      <c r="AF22" s="28">
        <f t="shared" si="4"/>
        <v>12</v>
      </c>
      <c r="AG22" s="28">
        <f>COUNTIF(AF$3:AF22,AF22)-1</f>
        <v>0</v>
      </c>
    </row>
    <row r="23" spans="1:33" x14ac:dyDescent="0.25">
      <c r="A23" s="27">
        <f ca="1">COUNTIF($F$3:F23,F23)+F23*$F$1</f>
        <v>20021</v>
      </c>
      <c r="B23" s="27" t="str">
        <f ca="1">E23 &amp; COUNTIF($F$3:F23,F23)</f>
        <v>副本21</v>
      </c>
      <c r="C23" s="14">
        <f t="shared" si="5"/>
        <v>3</v>
      </c>
      <c r="D23" s="14">
        <f>IF(C23=0,"",SUM(C$3:C23))</f>
        <v>39</v>
      </c>
      <c r="E23" s="27" t="s">
        <v>33</v>
      </c>
      <c r="F23" s="27">
        <f ca="1">OFFSET(参数!$A$1,MATCH($E23,参数!$B$2:$B$16,0),)</f>
        <v>2</v>
      </c>
      <c r="G23" s="14">
        <v>1</v>
      </c>
      <c r="H23" s="14">
        <v>6</v>
      </c>
      <c r="I23" s="14">
        <v>4</v>
      </c>
      <c r="J23" s="14"/>
      <c r="K23" s="14"/>
      <c r="L23" s="14"/>
      <c r="M23" s="14"/>
      <c r="N23" s="14"/>
      <c r="O23" s="14"/>
      <c r="P23" s="14"/>
      <c r="Q23" s="7">
        <v>1</v>
      </c>
      <c r="R23" s="7">
        <v>0.8</v>
      </c>
      <c r="S23" s="7">
        <v>0.9</v>
      </c>
      <c r="T23" s="7"/>
      <c r="U23" s="7"/>
      <c r="V23" s="7"/>
      <c r="W23" s="7"/>
      <c r="X23" s="7"/>
      <c r="Y23" s="7"/>
      <c r="Z23" s="7"/>
      <c r="AA23" s="28">
        <f t="shared" si="6"/>
        <v>21</v>
      </c>
      <c r="AB23" s="28">
        <f t="shared" ca="1" si="0"/>
        <v>20012</v>
      </c>
      <c r="AC23" s="28">
        <f t="shared" ca="1" si="1"/>
        <v>4</v>
      </c>
      <c r="AD23" s="29">
        <f t="shared" ca="1" si="2"/>
        <v>9000</v>
      </c>
      <c r="AE23" s="28" t="str">
        <f t="shared" ca="1" si="3"/>
        <v>副本12</v>
      </c>
      <c r="AF23" s="28">
        <f t="shared" si="4"/>
        <v>12</v>
      </c>
      <c r="AG23" s="28">
        <f>COUNTIF(AF$3:AF23,AF23)-1</f>
        <v>1</v>
      </c>
    </row>
    <row r="24" spans="1:33" x14ac:dyDescent="0.25">
      <c r="A24" s="27">
        <f ca="1">COUNTIF($F$3:F24,F24)+F24*$F$1</f>
        <v>20022</v>
      </c>
      <c r="B24" s="27" t="str">
        <f ca="1">E24 &amp; COUNTIF($F$3:F24,F24)</f>
        <v>副本22</v>
      </c>
      <c r="C24" s="14">
        <f t="shared" si="5"/>
        <v>3</v>
      </c>
      <c r="D24" s="14">
        <f>IF(C24=0,"",SUM(C$3:C24))</f>
        <v>42</v>
      </c>
      <c r="E24" s="27" t="s">
        <v>33</v>
      </c>
      <c r="F24" s="27">
        <f ca="1">OFFSET(参数!$A$1,MATCH($E24,参数!$B$2:$B$16,0),)</f>
        <v>2</v>
      </c>
      <c r="G24" s="14">
        <v>1</v>
      </c>
      <c r="H24" s="14">
        <v>6</v>
      </c>
      <c r="I24" s="14">
        <v>4</v>
      </c>
      <c r="J24" s="14"/>
      <c r="K24" s="14"/>
      <c r="L24" s="14"/>
      <c r="M24" s="14"/>
      <c r="N24" s="14"/>
      <c r="O24" s="14"/>
      <c r="P24" s="14"/>
      <c r="Q24" s="7">
        <v>1</v>
      </c>
      <c r="R24" s="7">
        <v>0.8</v>
      </c>
      <c r="S24" s="7">
        <v>0.9</v>
      </c>
      <c r="T24" s="7"/>
      <c r="U24" s="7"/>
      <c r="V24" s="7"/>
      <c r="W24" s="7"/>
      <c r="X24" s="7"/>
      <c r="Y24" s="7"/>
      <c r="Z24" s="7"/>
      <c r="AA24" s="28">
        <f t="shared" si="6"/>
        <v>22</v>
      </c>
      <c r="AB24" s="28">
        <f t="shared" ca="1" si="0"/>
        <v>20013</v>
      </c>
      <c r="AC24" s="28">
        <f t="shared" ca="1" si="1"/>
        <v>1</v>
      </c>
      <c r="AD24" s="29">
        <f t="shared" ca="1" si="2"/>
        <v>10000</v>
      </c>
      <c r="AE24" s="28" t="str">
        <f t="shared" ca="1" si="3"/>
        <v>副本13</v>
      </c>
      <c r="AF24" s="28">
        <f t="shared" si="4"/>
        <v>13</v>
      </c>
      <c r="AG24" s="28">
        <f>COUNTIF(AF$3:AF24,AF24)-1</f>
        <v>0</v>
      </c>
    </row>
    <row r="25" spans="1:33" x14ac:dyDescent="0.25">
      <c r="A25" s="27">
        <f ca="1">COUNTIF($F$3:F25,F25)+F25*$F$1</f>
        <v>20023</v>
      </c>
      <c r="B25" s="27" t="str">
        <f ca="1">E25 &amp; COUNTIF($F$3:F25,F25)</f>
        <v>副本23</v>
      </c>
      <c r="C25" s="14">
        <f t="shared" si="5"/>
        <v>3</v>
      </c>
      <c r="D25" s="14">
        <f>IF(C25=0,"",SUM(C$3:C25))</f>
        <v>45</v>
      </c>
      <c r="E25" s="27" t="s">
        <v>33</v>
      </c>
      <c r="F25" s="27">
        <f ca="1">OFFSET(参数!$A$1,MATCH($E25,参数!$B$2:$B$16,0),)</f>
        <v>2</v>
      </c>
      <c r="G25" s="14">
        <v>1</v>
      </c>
      <c r="H25" s="14">
        <v>7</v>
      </c>
      <c r="I25" s="14">
        <v>2</v>
      </c>
      <c r="J25" s="14"/>
      <c r="K25" s="14"/>
      <c r="L25" s="14"/>
      <c r="M25" s="14"/>
      <c r="N25" s="14"/>
      <c r="O25" s="14"/>
      <c r="P25" s="14"/>
      <c r="Q25" s="7">
        <v>1</v>
      </c>
      <c r="R25" s="7">
        <v>0.8</v>
      </c>
      <c r="S25" s="7">
        <v>0.9</v>
      </c>
      <c r="T25" s="7"/>
      <c r="U25" s="7"/>
      <c r="V25" s="7"/>
      <c r="W25" s="7"/>
      <c r="X25" s="7"/>
      <c r="Y25" s="7"/>
      <c r="Z25" s="7"/>
      <c r="AA25" s="28">
        <f t="shared" si="6"/>
        <v>23</v>
      </c>
      <c r="AB25" s="28">
        <f t="shared" ca="1" si="0"/>
        <v>20014</v>
      </c>
      <c r="AC25" s="28">
        <f t="shared" ca="1" si="1"/>
        <v>1</v>
      </c>
      <c r="AD25" s="29">
        <f t="shared" ca="1" si="2"/>
        <v>10000</v>
      </c>
      <c r="AE25" s="28" t="str">
        <f t="shared" ca="1" si="3"/>
        <v>副本14</v>
      </c>
      <c r="AF25" s="28">
        <f t="shared" si="4"/>
        <v>14</v>
      </c>
      <c r="AG25" s="28">
        <f>COUNTIF(AF$3:AF25,AF25)-1</f>
        <v>0</v>
      </c>
    </row>
    <row r="26" spans="1:33" x14ac:dyDescent="0.25">
      <c r="A26" s="27">
        <f ca="1">COUNTIF($F$3:F26,F26)+F26*$F$1</f>
        <v>20024</v>
      </c>
      <c r="B26" s="27" t="str">
        <f ca="1">E26 &amp; COUNTIF($F$3:F26,F26)</f>
        <v>副本24</v>
      </c>
      <c r="C26" s="14">
        <f t="shared" si="5"/>
        <v>3</v>
      </c>
      <c r="D26" s="14">
        <f>IF(C26=0,"",SUM(C$3:C26))</f>
        <v>48</v>
      </c>
      <c r="E26" s="27" t="s">
        <v>33</v>
      </c>
      <c r="F26" s="27">
        <f ca="1">OFFSET(参数!$A$1,MATCH($E26,参数!$B$2:$B$16,0),)</f>
        <v>2</v>
      </c>
      <c r="G26" s="14">
        <v>1</v>
      </c>
      <c r="H26" s="14">
        <v>7</v>
      </c>
      <c r="I26" s="14">
        <v>2</v>
      </c>
      <c r="J26" s="14"/>
      <c r="K26" s="14"/>
      <c r="L26" s="14"/>
      <c r="M26" s="14"/>
      <c r="N26" s="14"/>
      <c r="O26" s="14"/>
      <c r="P26" s="14"/>
      <c r="Q26" s="7">
        <v>1</v>
      </c>
      <c r="R26" s="7">
        <v>0.8</v>
      </c>
      <c r="S26" s="7">
        <v>0.9</v>
      </c>
      <c r="T26" s="7"/>
      <c r="U26" s="7"/>
      <c r="V26" s="7"/>
      <c r="W26" s="7"/>
      <c r="X26" s="7"/>
      <c r="Y26" s="7"/>
      <c r="Z26" s="7"/>
      <c r="AA26" s="28">
        <f t="shared" si="6"/>
        <v>24</v>
      </c>
      <c r="AB26" s="28">
        <f t="shared" ca="1" si="0"/>
        <v>20014</v>
      </c>
      <c r="AC26" s="28">
        <f t="shared" ca="1" si="1"/>
        <v>2</v>
      </c>
      <c r="AD26" s="29">
        <f t="shared" ca="1" si="2"/>
        <v>9000</v>
      </c>
      <c r="AE26" s="28" t="str">
        <f t="shared" ca="1" si="3"/>
        <v>副本14</v>
      </c>
      <c r="AF26" s="28">
        <f t="shared" si="4"/>
        <v>14</v>
      </c>
      <c r="AG26" s="28">
        <f>COUNTIF(AF$3:AF26,AF26)-1</f>
        <v>1</v>
      </c>
    </row>
    <row r="27" spans="1:33" x14ac:dyDescent="0.25">
      <c r="A27" s="27">
        <f ca="1">COUNTIF($F$3:F27,F27)+F27*$F$1</f>
        <v>20025</v>
      </c>
      <c r="B27" s="27" t="str">
        <f ca="1">E27 &amp; COUNTIF($F$3:F27,F27)</f>
        <v>副本25</v>
      </c>
      <c r="C27" s="14">
        <f t="shared" si="5"/>
        <v>1</v>
      </c>
      <c r="D27" s="14">
        <f>IF(C27=0,"",SUM(C$3:C27))</f>
        <v>49</v>
      </c>
      <c r="E27" s="27" t="s">
        <v>33</v>
      </c>
      <c r="F27" s="27">
        <f ca="1">OFFSET(参数!$A$1,MATCH($E27,参数!$B$2:$B$16,0),)</f>
        <v>2</v>
      </c>
      <c r="G27" s="14">
        <v>1</v>
      </c>
      <c r="H27" s="14"/>
      <c r="I27" s="14"/>
      <c r="J27" s="14"/>
      <c r="K27" s="14"/>
      <c r="L27" s="14"/>
      <c r="M27" s="14"/>
      <c r="N27" s="14"/>
      <c r="O27" s="14"/>
      <c r="P27" s="14"/>
      <c r="Q27" s="7">
        <v>1</v>
      </c>
      <c r="R27" s="7"/>
      <c r="S27" s="7"/>
      <c r="T27" s="7"/>
      <c r="U27" s="7"/>
      <c r="V27" s="7"/>
      <c r="W27" s="7"/>
      <c r="X27" s="7"/>
      <c r="Y27" s="7"/>
      <c r="Z27" s="7"/>
      <c r="AA27" s="28">
        <f t="shared" si="6"/>
        <v>25</v>
      </c>
      <c r="AB27" s="28">
        <f t="shared" ca="1" si="0"/>
        <v>20015</v>
      </c>
      <c r="AC27" s="28">
        <f t="shared" ca="1" si="1"/>
        <v>1</v>
      </c>
      <c r="AD27" s="29">
        <f t="shared" ca="1" si="2"/>
        <v>10000</v>
      </c>
      <c r="AE27" s="28" t="str">
        <f t="shared" ca="1" si="3"/>
        <v>副本15</v>
      </c>
      <c r="AF27" s="28">
        <f t="shared" si="4"/>
        <v>15</v>
      </c>
      <c r="AG27" s="28">
        <f>COUNTIF(AF$3:AF27,AF27)-1</f>
        <v>0</v>
      </c>
    </row>
    <row r="28" spans="1:33" x14ac:dyDescent="0.25">
      <c r="A28" s="27">
        <f ca="1">COUNTIF($F$3:F28,F28)+F28*$F$1</f>
        <v>20026</v>
      </c>
      <c r="B28" s="27" t="str">
        <f ca="1">E28 &amp; COUNTIF($F$3:F28,F28)</f>
        <v>副本26</v>
      </c>
      <c r="C28" s="14">
        <f t="shared" si="5"/>
        <v>3</v>
      </c>
      <c r="D28" s="14">
        <f>IF(C28=0,"",SUM(C$3:C28))</f>
        <v>52</v>
      </c>
      <c r="E28" s="27" t="s">
        <v>33</v>
      </c>
      <c r="F28" s="27">
        <f ca="1">OFFSET(参数!$A$1,MATCH($E28,参数!$B$2:$B$16,0),)</f>
        <v>2</v>
      </c>
      <c r="G28" s="14">
        <v>1</v>
      </c>
      <c r="H28" s="14">
        <v>5</v>
      </c>
      <c r="I28" s="14">
        <v>3</v>
      </c>
      <c r="J28" s="14"/>
      <c r="K28" s="14"/>
      <c r="L28" s="14"/>
      <c r="M28" s="14"/>
      <c r="N28" s="14"/>
      <c r="O28" s="14"/>
      <c r="P28" s="14"/>
      <c r="Q28" s="7">
        <v>1</v>
      </c>
      <c r="R28" s="7">
        <v>0.8</v>
      </c>
      <c r="S28" s="7">
        <v>0.9</v>
      </c>
      <c r="T28" s="7"/>
      <c r="U28" s="7"/>
      <c r="V28" s="7"/>
      <c r="W28" s="7"/>
      <c r="X28" s="7"/>
      <c r="Y28" s="7"/>
      <c r="Z28" s="7"/>
      <c r="AA28" s="28">
        <f t="shared" si="6"/>
        <v>26</v>
      </c>
      <c r="AB28" s="28">
        <f t="shared" ca="1" si="0"/>
        <v>20015</v>
      </c>
      <c r="AC28" s="28">
        <f t="shared" ca="1" si="1"/>
        <v>3</v>
      </c>
      <c r="AD28" s="29">
        <f t="shared" ca="1" si="2"/>
        <v>9000</v>
      </c>
      <c r="AE28" s="28" t="str">
        <f t="shared" ca="1" si="3"/>
        <v>副本15</v>
      </c>
      <c r="AF28" s="28">
        <f t="shared" si="4"/>
        <v>15</v>
      </c>
      <c r="AG28" s="28">
        <f>COUNTIF(AF$3:AF28,AF28)-1</f>
        <v>1</v>
      </c>
    </row>
    <row r="29" spans="1:33" x14ac:dyDescent="0.25">
      <c r="A29" s="27">
        <f ca="1">COUNTIF($F$3:F29,F29)+F29*$F$1</f>
        <v>20027</v>
      </c>
      <c r="B29" s="27" t="str">
        <f ca="1">E29 &amp; COUNTIF($F$3:F29,F29)</f>
        <v>副本27</v>
      </c>
      <c r="C29" s="14">
        <f t="shared" ref="C29:C92" si="7">COUNTA(G29:P29)</f>
        <v>3</v>
      </c>
      <c r="D29" s="14">
        <f>IF(C29=0,"",SUM(C$3:C29))</f>
        <v>55</v>
      </c>
      <c r="E29" s="27" t="s">
        <v>33</v>
      </c>
      <c r="F29" s="27">
        <f ca="1">OFFSET(参数!$A$1,MATCH($E29,参数!$B$2:$B$16,0),)</f>
        <v>2</v>
      </c>
      <c r="G29" s="14">
        <v>1</v>
      </c>
      <c r="H29" s="14">
        <v>5</v>
      </c>
      <c r="I29" s="14">
        <v>3</v>
      </c>
      <c r="J29" s="14"/>
      <c r="K29" s="14"/>
      <c r="L29" s="14"/>
      <c r="M29" s="14"/>
      <c r="N29" s="14"/>
      <c r="O29" s="14"/>
      <c r="P29" s="14"/>
      <c r="Q29" s="7">
        <v>1</v>
      </c>
      <c r="R29" s="7">
        <v>0.8</v>
      </c>
      <c r="S29" s="7">
        <v>0.9</v>
      </c>
      <c r="T29" s="7"/>
      <c r="U29" s="7"/>
      <c r="V29" s="7"/>
      <c r="W29" s="7"/>
      <c r="X29" s="7"/>
      <c r="Y29" s="7"/>
      <c r="Z29" s="7"/>
      <c r="AA29" s="28">
        <f t="shared" si="6"/>
        <v>27</v>
      </c>
      <c r="AB29" s="28">
        <f t="shared" ca="1" si="0"/>
        <v>20016</v>
      </c>
      <c r="AC29" s="28">
        <f t="shared" ca="1" si="1"/>
        <v>1</v>
      </c>
      <c r="AD29" s="29">
        <f t="shared" ca="1" si="2"/>
        <v>10000</v>
      </c>
      <c r="AE29" s="28" t="str">
        <f t="shared" ca="1" si="3"/>
        <v>副本16</v>
      </c>
      <c r="AF29" s="28">
        <f t="shared" si="4"/>
        <v>16</v>
      </c>
      <c r="AG29" s="28">
        <f>COUNTIF(AF$3:AF29,AF29)-1</f>
        <v>0</v>
      </c>
    </row>
    <row r="30" spans="1:33" x14ac:dyDescent="0.25">
      <c r="A30" s="27">
        <f ca="1">COUNTIF($F$3:F30,F30)+F30*$F$1</f>
        <v>20028</v>
      </c>
      <c r="B30" s="27" t="str">
        <f ca="1">E30 &amp; COUNTIF($F$3:F30,F30)</f>
        <v>副本28</v>
      </c>
      <c r="C30" s="14">
        <f t="shared" si="7"/>
        <v>3</v>
      </c>
      <c r="D30" s="14">
        <f>IF(C30=0,"",SUM(C$3:C30))</f>
        <v>58</v>
      </c>
      <c r="E30" s="27" t="s">
        <v>33</v>
      </c>
      <c r="F30" s="27">
        <f ca="1">OFFSET(参数!$A$1,MATCH($E30,参数!$B$2:$B$16,0),)</f>
        <v>2</v>
      </c>
      <c r="G30" s="14">
        <v>1</v>
      </c>
      <c r="H30" s="14">
        <v>5</v>
      </c>
      <c r="I30" s="14">
        <v>3</v>
      </c>
      <c r="J30" s="14"/>
      <c r="K30" s="14"/>
      <c r="L30" s="14"/>
      <c r="M30" s="14"/>
      <c r="N30" s="14"/>
      <c r="O30" s="14"/>
      <c r="P30" s="14"/>
      <c r="Q30" s="7">
        <v>1</v>
      </c>
      <c r="R30" s="7">
        <v>0.8</v>
      </c>
      <c r="S30" s="7">
        <v>0.9</v>
      </c>
      <c r="T30" s="7"/>
      <c r="U30" s="7"/>
      <c r="V30" s="7"/>
      <c r="W30" s="7"/>
      <c r="X30" s="7"/>
      <c r="Y30" s="7"/>
      <c r="Z30" s="7"/>
      <c r="AA30" s="28">
        <f t="shared" si="6"/>
        <v>28</v>
      </c>
      <c r="AB30" s="28">
        <f t="shared" ca="1" si="0"/>
        <v>20016</v>
      </c>
      <c r="AC30" s="28">
        <f t="shared" ca="1" si="1"/>
        <v>4</v>
      </c>
      <c r="AD30" s="29">
        <f t="shared" ca="1" si="2"/>
        <v>9000</v>
      </c>
      <c r="AE30" s="28" t="str">
        <f t="shared" ca="1" si="3"/>
        <v>副本16</v>
      </c>
      <c r="AF30" s="28">
        <f t="shared" si="4"/>
        <v>16</v>
      </c>
      <c r="AG30" s="28">
        <f>COUNTIF(AF$3:AF30,AF30)-1</f>
        <v>1</v>
      </c>
    </row>
    <row r="31" spans="1:33" x14ac:dyDescent="0.25">
      <c r="A31" s="27">
        <f ca="1">COUNTIF($F$3:F31,F31)+F31*$F$1</f>
        <v>20029</v>
      </c>
      <c r="B31" s="27" t="str">
        <f ca="1">E31 &amp; COUNTIF($F$3:F31,F31)</f>
        <v>副本29</v>
      </c>
      <c r="C31" s="14">
        <f t="shared" si="7"/>
        <v>3</v>
      </c>
      <c r="D31" s="14">
        <f>IF(C31=0,"",SUM(C$3:C31))</f>
        <v>61</v>
      </c>
      <c r="E31" s="27" t="s">
        <v>33</v>
      </c>
      <c r="F31" s="27">
        <f ca="1">OFFSET(参数!$A$1,MATCH($E31,参数!$B$2:$B$16,0),)</f>
        <v>2</v>
      </c>
      <c r="G31" s="14">
        <v>1</v>
      </c>
      <c r="H31" s="14">
        <v>6</v>
      </c>
      <c r="I31" s="14">
        <v>2</v>
      </c>
      <c r="J31" s="14"/>
      <c r="K31" s="14"/>
      <c r="L31" s="14"/>
      <c r="M31" s="14"/>
      <c r="N31" s="14"/>
      <c r="O31" s="14"/>
      <c r="P31" s="14"/>
      <c r="Q31" s="7">
        <v>1</v>
      </c>
      <c r="R31" s="7">
        <v>0.8</v>
      </c>
      <c r="S31" s="7">
        <v>0.9</v>
      </c>
      <c r="T31" s="7"/>
      <c r="U31" s="7"/>
      <c r="V31" s="7"/>
      <c r="W31" s="7"/>
      <c r="X31" s="7"/>
      <c r="Y31" s="7"/>
      <c r="Z31" s="7"/>
      <c r="AA31" s="28">
        <f t="shared" si="6"/>
        <v>29</v>
      </c>
      <c r="AB31" s="28">
        <f t="shared" ca="1" si="0"/>
        <v>20017</v>
      </c>
      <c r="AC31" s="28">
        <f t="shared" ca="1" si="1"/>
        <v>1</v>
      </c>
      <c r="AD31" s="29">
        <f t="shared" ca="1" si="2"/>
        <v>10000</v>
      </c>
      <c r="AE31" s="28" t="str">
        <f t="shared" ca="1" si="3"/>
        <v>副本17</v>
      </c>
      <c r="AF31" s="28">
        <f t="shared" si="4"/>
        <v>17</v>
      </c>
      <c r="AG31" s="28">
        <f>COUNTIF(AF$3:AF31,AF31)-1</f>
        <v>0</v>
      </c>
    </row>
    <row r="32" spans="1:33" x14ac:dyDescent="0.25">
      <c r="A32" s="27">
        <f ca="1">COUNTIF($F$3:F32,F32)+F32*$F$1</f>
        <v>20030</v>
      </c>
      <c r="B32" s="27" t="str">
        <f ca="1">E32 &amp; COUNTIF($F$3:F32,F32)</f>
        <v>副本30</v>
      </c>
      <c r="C32" s="14">
        <f t="shared" si="7"/>
        <v>3</v>
      </c>
      <c r="D32" s="14">
        <f>IF(C32=0,"",SUM(C$3:C32))</f>
        <v>64</v>
      </c>
      <c r="E32" s="27" t="s">
        <v>33</v>
      </c>
      <c r="F32" s="27">
        <f ca="1">OFFSET(参数!$A$1,MATCH($E32,参数!$B$2:$B$16,0),)</f>
        <v>2</v>
      </c>
      <c r="G32" s="14">
        <v>1</v>
      </c>
      <c r="H32" s="14">
        <v>6</v>
      </c>
      <c r="I32" s="14">
        <v>2</v>
      </c>
      <c r="J32" s="14"/>
      <c r="K32" s="14"/>
      <c r="L32" s="14"/>
      <c r="M32" s="14"/>
      <c r="N32" s="14"/>
      <c r="O32" s="14"/>
      <c r="P32" s="14"/>
      <c r="Q32" s="7">
        <v>1</v>
      </c>
      <c r="R32" s="7">
        <v>0.8</v>
      </c>
      <c r="S32" s="7">
        <v>0.9</v>
      </c>
      <c r="T32" s="7"/>
      <c r="U32" s="7"/>
      <c r="V32" s="7"/>
      <c r="W32" s="7"/>
      <c r="X32" s="7"/>
      <c r="Y32" s="7"/>
      <c r="Z32" s="7"/>
      <c r="AA32" s="28">
        <f t="shared" si="6"/>
        <v>30</v>
      </c>
      <c r="AB32" s="28">
        <f t="shared" ca="1" si="0"/>
        <v>20018</v>
      </c>
      <c r="AC32" s="28">
        <f t="shared" ca="1" si="1"/>
        <v>1</v>
      </c>
      <c r="AD32" s="29">
        <f t="shared" ca="1" si="2"/>
        <v>10000</v>
      </c>
      <c r="AE32" s="28" t="str">
        <f t="shared" ca="1" si="3"/>
        <v>副本18</v>
      </c>
      <c r="AF32" s="28">
        <f t="shared" si="4"/>
        <v>18</v>
      </c>
      <c r="AG32" s="28">
        <f>COUNTIF(AF$3:AF32,AF32)-1</f>
        <v>0</v>
      </c>
    </row>
    <row r="33" spans="1:33" x14ac:dyDescent="0.25">
      <c r="A33" s="27">
        <f ca="1">COUNTIF($F$3:F33,F33)+F33*$F$1</f>
        <v>20031</v>
      </c>
      <c r="B33" s="27" t="str">
        <f ca="1">E33 &amp; COUNTIF($F$3:F33,F33)</f>
        <v>副本31</v>
      </c>
      <c r="C33" s="14">
        <f t="shared" si="7"/>
        <v>3</v>
      </c>
      <c r="D33" s="14">
        <f>IF(C33=0,"",SUM(C$3:C33))</f>
        <v>67</v>
      </c>
      <c r="E33" s="27" t="s">
        <v>33</v>
      </c>
      <c r="F33" s="27">
        <f ca="1">OFFSET(参数!$A$1,MATCH($E33,参数!$B$2:$B$16,0),)</f>
        <v>2</v>
      </c>
      <c r="G33" s="14">
        <v>1</v>
      </c>
      <c r="H33" s="14">
        <v>6</v>
      </c>
      <c r="I33" s="14">
        <v>2</v>
      </c>
      <c r="J33" s="14"/>
      <c r="K33" s="14"/>
      <c r="L33" s="14"/>
      <c r="M33" s="14"/>
      <c r="N33" s="14"/>
      <c r="O33" s="14"/>
      <c r="P33" s="14"/>
      <c r="Q33" s="7">
        <v>1</v>
      </c>
      <c r="R33" s="7">
        <v>0.8</v>
      </c>
      <c r="S33" s="7">
        <v>0.9</v>
      </c>
      <c r="T33" s="7"/>
      <c r="U33" s="7"/>
      <c r="V33" s="7"/>
      <c r="W33" s="7"/>
      <c r="X33" s="7"/>
      <c r="Y33" s="7"/>
      <c r="Z33" s="7"/>
      <c r="AA33" s="28">
        <f t="shared" si="6"/>
        <v>31</v>
      </c>
      <c r="AB33" s="28">
        <f t="shared" ca="1" si="0"/>
        <v>20019</v>
      </c>
      <c r="AC33" s="28">
        <f t="shared" ca="1" si="1"/>
        <v>1</v>
      </c>
      <c r="AD33" s="29">
        <f t="shared" ca="1" si="2"/>
        <v>10000</v>
      </c>
      <c r="AE33" s="28" t="str">
        <f t="shared" ca="1" si="3"/>
        <v>副本19</v>
      </c>
      <c r="AF33" s="28">
        <f t="shared" si="4"/>
        <v>19</v>
      </c>
      <c r="AG33" s="28">
        <f>COUNTIF(AF$3:AF33,AF33)-1</f>
        <v>0</v>
      </c>
    </row>
    <row r="34" spans="1:33" x14ac:dyDescent="0.25">
      <c r="A34" s="27">
        <f ca="1">COUNTIF($F$3:F34,F34)+F34*$F$1</f>
        <v>20032</v>
      </c>
      <c r="B34" s="27" t="str">
        <f ca="1">E34 &amp; COUNTIF($F$3:F34,F34)</f>
        <v>副本32</v>
      </c>
      <c r="C34" s="14">
        <f t="shared" si="7"/>
        <v>3</v>
      </c>
      <c r="D34" s="14">
        <f>IF(C34=0,"",SUM(C$3:C34))</f>
        <v>70</v>
      </c>
      <c r="E34" s="27" t="s">
        <v>33</v>
      </c>
      <c r="F34" s="27">
        <f ca="1">OFFSET(参数!$A$1,MATCH($E34,参数!$B$2:$B$16,0),)</f>
        <v>2</v>
      </c>
      <c r="G34" s="14">
        <v>1</v>
      </c>
      <c r="H34" s="14">
        <v>7</v>
      </c>
      <c r="I34" s="14">
        <v>4</v>
      </c>
      <c r="J34" s="14"/>
      <c r="K34" s="14"/>
      <c r="L34" s="14"/>
      <c r="M34" s="14"/>
      <c r="N34" s="14"/>
      <c r="O34" s="14"/>
      <c r="P34" s="14"/>
      <c r="Q34" s="7">
        <v>1</v>
      </c>
      <c r="R34" s="7">
        <v>0.8</v>
      </c>
      <c r="S34" s="7">
        <v>0.9</v>
      </c>
      <c r="T34" s="7"/>
      <c r="U34" s="7"/>
      <c r="V34" s="7"/>
      <c r="W34" s="7"/>
      <c r="X34" s="7"/>
      <c r="Y34" s="7"/>
      <c r="Z34" s="7"/>
      <c r="AA34" s="28">
        <f t="shared" si="6"/>
        <v>32</v>
      </c>
      <c r="AB34" s="28">
        <f t="shared" ca="1" si="0"/>
        <v>20019</v>
      </c>
      <c r="AC34" s="28">
        <f t="shared" ca="1" si="1"/>
        <v>5</v>
      </c>
      <c r="AD34" s="29">
        <f t="shared" ca="1" si="2"/>
        <v>8000</v>
      </c>
      <c r="AE34" s="28" t="str">
        <f t="shared" ca="1" si="3"/>
        <v>副本19</v>
      </c>
      <c r="AF34" s="28">
        <f t="shared" si="4"/>
        <v>19</v>
      </c>
      <c r="AG34" s="28">
        <f>COUNTIF(AF$3:AF34,AF34)-1</f>
        <v>1</v>
      </c>
    </row>
    <row r="35" spans="1:33" x14ac:dyDescent="0.25">
      <c r="A35" s="27">
        <f ca="1">COUNTIF($F$3:F35,F35)+F35*$F$1</f>
        <v>20033</v>
      </c>
      <c r="B35" s="27" t="str">
        <f ca="1">E35 &amp; COUNTIF($F$3:F35,F35)</f>
        <v>副本33</v>
      </c>
      <c r="C35" s="14">
        <f t="shared" si="7"/>
        <v>3</v>
      </c>
      <c r="D35" s="14">
        <f>IF(C35=0,"",SUM(C$3:C35))</f>
        <v>73</v>
      </c>
      <c r="E35" s="27" t="s">
        <v>33</v>
      </c>
      <c r="F35" s="27">
        <f ca="1">OFFSET(参数!$A$1,MATCH($E35,参数!$B$2:$B$16,0),)</f>
        <v>2</v>
      </c>
      <c r="G35" s="14">
        <v>1</v>
      </c>
      <c r="H35" s="14">
        <v>7</v>
      </c>
      <c r="I35" s="14">
        <v>4</v>
      </c>
      <c r="J35" s="14"/>
      <c r="K35" s="14"/>
      <c r="L35" s="14"/>
      <c r="M35" s="14"/>
      <c r="N35" s="14"/>
      <c r="O35" s="14"/>
      <c r="P35" s="14"/>
      <c r="Q35" s="7">
        <v>1</v>
      </c>
      <c r="R35" s="7">
        <v>0.8</v>
      </c>
      <c r="S35" s="7">
        <v>0.9</v>
      </c>
      <c r="T35" s="7"/>
      <c r="U35" s="7"/>
      <c r="V35" s="7"/>
      <c r="W35" s="7"/>
      <c r="X35" s="7"/>
      <c r="Y35" s="7"/>
      <c r="Z35" s="7"/>
      <c r="AA35" s="28">
        <f t="shared" si="6"/>
        <v>33</v>
      </c>
      <c r="AB35" s="28">
        <f t="shared" ca="1" si="0"/>
        <v>20019</v>
      </c>
      <c r="AC35" s="28">
        <f t="shared" ca="1" si="1"/>
        <v>3</v>
      </c>
      <c r="AD35" s="29">
        <f t="shared" ca="1" si="2"/>
        <v>9000</v>
      </c>
      <c r="AE35" s="28" t="str">
        <f t="shared" ca="1" si="3"/>
        <v>副本19</v>
      </c>
      <c r="AF35" s="28">
        <f t="shared" si="4"/>
        <v>19</v>
      </c>
      <c r="AG35" s="28">
        <f>COUNTIF(AF$3:AF35,AF35)-1</f>
        <v>2</v>
      </c>
    </row>
    <row r="36" spans="1:33" x14ac:dyDescent="0.25">
      <c r="A36" s="27">
        <f ca="1">COUNTIF($F$3:F36,F36)+F36*$F$1</f>
        <v>20034</v>
      </c>
      <c r="B36" s="27" t="str">
        <f ca="1">E36 &amp; COUNTIF($F$3:F36,F36)</f>
        <v>副本34</v>
      </c>
      <c r="C36" s="14">
        <f t="shared" si="7"/>
        <v>3</v>
      </c>
      <c r="D36" s="14">
        <f>IF(C36=0,"",SUM(C$3:C36))</f>
        <v>76</v>
      </c>
      <c r="E36" s="27" t="s">
        <v>33</v>
      </c>
      <c r="F36" s="27">
        <f ca="1">OFFSET(参数!$A$1,MATCH($E36,参数!$B$2:$B$16,0),)</f>
        <v>2</v>
      </c>
      <c r="G36" s="14">
        <v>1</v>
      </c>
      <c r="H36" s="14">
        <v>7</v>
      </c>
      <c r="I36" s="14">
        <v>4</v>
      </c>
      <c r="J36" s="14"/>
      <c r="K36" s="14"/>
      <c r="L36" s="14"/>
      <c r="M36" s="14"/>
      <c r="N36" s="14"/>
      <c r="O36" s="14"/>
      <c r="P36" s="14"/>
      <c r="Q36" s="7">
        <v>1</v>
      </c>
      <c r="R36" s="7">
        <v>0.8</v>
      </c>
      <c r="S36" s="7">
        <v>0.9</v>
      </c>
      <c r="T36" s="7"/>
      <c r="U36" s="7"/>
      <c r="V36" s="7"/>
      <c r="W36" s="7"/>
      <c r="X36" s="7"/>
      <c r="Y36" s="7"/>
      <c r="Z36" s="7"/>
      <c r="AA36" s="28">
        <f t="shared" si="6"/>
        <v>34</v>
      </c>
      <c r="AB36" s="28">
        <f t="shared" ca="1" si="0"/>
        <v>20020</v>
      </c>
      <c r="AC36" s="28">
        <f t="shared" ca="1" si="1"/>
        <v>1</v>
      </c>
      <c r="AD36" s="29">
        <f t="shared" ca="1" si="2"/>
        <v>10000</v>
      </c>
      <c r="AE36" s="28" t="str">
        <f t="shared" ca="1" si="3"/>
        <v>副本20</v>
      </c>
      <c r="AF36" s="28">
        <f t="shared" si="4"/>
        <v>20</v>
      </c>
      <c r="AG36" s="28">
        <f>COUNTIF(AF$3:AF36,AF36)-1</f>
        <v>0</v>
      </c>
    </row>
    <row r="37" spans="1:33" x14ac:dyDescent="0.25">
      <c r="A37" s="27">
        <f ca="1">COUNTIF($F$3:F37,F37)+F37*$F$1</f>
        <v>20035</v>
      </c>
      <c r="B37" s="27" t="str">
        <f ca="1">E37 &amp; COUNTIF($F$3:F37,F37)</f>
        <v>副本35</v>
      </c>
      <c r="C37" s="14">
        <f t="shared" si="7"/>
        <v>1</v>
      </c>
      <c r="D37" s="14">
        <f>IF(C37=0,"",SUM(C$3:C37))</f>
        <v>77</v>
      </c>
      <c r="E37" s="27" t="s">
        <v>33</v>
      </c>
      <c r="F37" s="27">
        <f ca="1">OFFSET(参数!$A$1,MATCH($E37,参数!$B$2:$B$16,0),)</f>
        <v>2</v>
      </c>
      <c r="G37" s="14">
        <v>1</v>
      </c>
      <c r="H37" s="14"/>
      <c r="I37" s="14"/>
      <c r="J37" s="14"/>
      <c r="K37" s="14"/>
      <c r="L37" s="14"/>
      <c r="M37" s="14"/>
      <c r="N37" s="14"/>
      <c r="O37" s="14"/>
      <c r="P37" s="14"/>
      <c r="Q37" s="7">
        <v>1</v>
      </c>
      <c r="R37" s="7"/>
      <c r="S37" s="7"/>
      <c r="T37" s="7"/>
      <c r="U37" s="7"/>
      <c r="V37" s="7"/>
      <c r="W37" s="7"/>
      <c r="X37" s="7"/>
      <c r="Y37" s="7"/>
      <c r="Z37" s="7"/>
      <c r="AA37" s="28">
        <f t="shared" si="6"/>
        <v>35</v>
      </c>
      <c r="AB37" s="28">
        <f t="shared" ca="1" si="0"/>
        <v>20020</v>
      </c>
      <c r="AC37" s="28">
        <f t="shared" ca="1" si="1"/>
        <v>5</v>
      </c>
      <c r="AD37" s="29">
        <f t="shared" ca="1" si="2"/>
        <v>8000</v>
      </c>
      <c r="AE37" s="28" t="str">
        <f t="shared" ca="1" si="3"/>
        <v>副本20</v>
      </c>
      <c r="AF37" s="28">
        <f t="shared" si="4"/>
        <v>20</v>
      </c>
      <c r="AG37" s="28">
        <f>COUNTIF(AF$3:AF37,AF37)-1</f>
        <v>1</v>
      </c>
    </row>
    <row r="38" spans="1:33" x14ac:dyDescent="0.25">
      <c r="A38" s="27">
        <f ca="1">COUNTIF($F$3:F38,F38)+F38*$F$1</f>
        <v>20036</v>
      </c>
      <c r="B38" s="27" t="str">
        <f ca="1">E38 &amp; COUNTIF($F$3:F38,F38)</f>
        <v>副本36</v>
      </c>
      <c r="C38" s="14">
        <f t="shared" si="7"/>
        <v>3</v>
      </c>
      <c r="D38" s="14">
        <f>IF(C38=0,"",SUM(C$3:C38))</f>
        <v>80</v>
      </c>
      <c r="E38" s="27" t="s">
        <v>33</v>
      </c>
      <c r="F38" s="27">
        <f ca="1">OFFSET(参数!$A$1,MATCH($E38,参数!$B$2:$B$16,0),)</f>
        <v>2</v>
      </c>
      <c r="G38" s="14">
        <v>1</v>
      </c>
      <c r="H38" s="14">
        <v>5</v>
      </c>
      <c r="I38" s="14">
        <v>4</v>
      </c>
      <c r="J38" s="14"/>
      <c r="K38" s="14"/>
      <c r="L38" s="14"/>
      <c r="M38" s="14"/>
      <c r="N38" s="14"/>
      <c r="O38" s="14"/>
      <c r="P38" s="14"/>
      <c r="Q38" s="7">
        <v>1</v>
      </c>
      <c r="R38" s="7">
        <v>0.8</v>
      </c>
      <c r="S38" s="7">
        <v>0.9</v>
      </c>
      <c r="T38" s="7"/>
      <c r="U38" s="7"/>
      <c r="V38" s="7"/>
      <c r="W38" s="7"/>
      <c r="X38" s="7"/>
      <c r="Y38" s="7"/>
      <c r="Z38" s="7"/>
      <c r="AA38" s="28">
        <f t="shared" si="6"/>
        <v>36</v>
      </c>
      <c r="AB38" s="28">
        <f t="shared" ca="1" si="0"/>
        <v>20020</v>
      </c>
      <c r="AC38" s="28">
        <f t="shared" ca="1" si="1"/>
        <v>3</v>
      </c>
      <c r="AD38" s="29">
        <f t="shared" ca="1" si="2"/>
        <v>9000</v>
      </c>
      <c r="AE38" s="28" t="str">
        <f t="shared" ca="1" si="3"/>
        <v>副本20</v>
      </c>
      <c r="AF38" s="28">
        <f t="shared" si="4"/>
        <v>20</v>
      </c>
      <c r="AG38" s="28">
        <f>COUNTIF(AF$3:AF38,AF38)-1</f>
        <v>2</v>
      </c>
    </row>
    <row r="39" spans="1:33" x14ac:dyDescent="0.25">
      <c r="A39" s="27">
        <f ca="1">COUNTIF($F$3:F39,F39)+F39*$F$1</f>
        <v>20037</v>
      </c>
      <c r="B39" s="27" t="str">
        <f ca="1">E39 &amp; COUNTIF($F$3:F39,F39)</f>
        <v>副本37</v>
      </c>
      <c r="C39" s="14">
        <f t="shared" si="7"/>
        <v>3</v>
      </c>
      <c r="D39" s="14">
        <f>IF(C39=0,"",SUM(C$3:C39))</f>
        <v>83</v>
      </c>
      <c r="E39" s="27" t="s">
        <v>33</v>
      </c>
      <c r="F39" s="27">
        <f ca="1">OFFSET(参数!$A$1,MATCH($E39,参数!$B$2:$B$16,0),)</f>
        <v>2</v>
      </c>
      <c r="G39" s="14">
        <v>1</v>
      </c>
      <c r="H39" s="14">
        <v>5</v>
      </c>
      <c r="I39" s="14">
        <v>4</v>
      </c>
      <c r="J39" s="14"/>
      <c r="K39" s="14"/>
      <c r="L39" s="14"/>
      <c r="M39" s="14"/>
      <c r="N39" s="14"/>
      <c r="O39" s="14"/>
      <c r="P39" s="14"/>
      <c r="Q39" s="7">
        <v>1</v>
      </c>
      <c r="R39" s="7">
        <v>0.8</v>
      </c>
      <c r="S39" s="7">
        <v>0.9</v>
      </c>
      <c r="T39" s="7"/>
      <c r="U39" s="7"/>
      <c r="V39" s="7"/>
      <c r="W39" s="7"/>
      <c r="X39" s="7"/>
      <c r="Y39" s="7"/>
      <c r="Z39" s="7"/>
      <c r="AA39" s="28">
        <f t="shared" si="6"/>
        <v>37</v>
      </c>
      <c r="AB39" s="28">
        <f t="shared" ca="1" si="0"/>
        <v>20021</v>
      </c>
      <c r="AC39" s="28">
        <f t="shared" ca="1" si="1"/>
        <v>1</v>
      </c>
      <c r="AD39" s="29">
        <f t="shared" ca="1" si="2"/>
        <v>10000</v>
      </c>
      <c r="AE39" s="28" t="str">
        <f t="shared" ca="1" si="3"/>
        <v>副本21</v>
      </c>
      <c r="AF39" s="28">
        <f t="shared" si="4"/>
        <v>21</v>
      </c>
      <c r="AG39" s="28">
        <f>COUNTIF(AF$3:AF39,AF39)-1</f>
        <v>0</v>
      </c>
    </row>
    <row r="40" spans="1:33" x14ac:dyDescent="0.25">
      <c r="A40" s="27">
        <f ca="1">COUNTIF($F$3:F40,F40)+F40*$F$1</f>
        <v>20038</v>
      </c>
      <c r="B40" s="27" t="str">
        <f ca="1">E40 &amp; COUNTIF($F$3:F40,F40)</f>
        <v>副本38</v>
      </c>
      <c r="C40" s="14">
        <f t="shared" si="7"/>
        <v>3</v>
      </c>
      <c r="D40" s="14">
        <f>IF(C40=0,"",SUM(C$3:C40))</f>
        <v>86</v>
      </c>
      <c r="E40" s="27" t="s">
        <v>33</v>
      </c>
      <c r="F40" s="27">
        <f ca="1">OFFSET(参数!$A$1,MATCH($E40,参数!$B$2:$B$16,0),)</f>
        <v>2</v>
      </c>
      <c r="G40" s="14">
        <v>1</v>
      </c>
      <c r="H40" s="14">
        <v>5</v>
      </c>
      <c r="I40" s="14">
        <v>4</v>
      </c>
      <c r="J40" s="14"/>
      <c r="K40" s="14"/>
      <c r="L40" s="14"/>
      <c r="M40" s="14"/>
      <c r="N40" s="14"/>
      <c r="O40" s="14"/>
      <c r="P40" s="14"/>
      <c r="Q40" s="7">
        <v>1</v>
      </c>
      <c r="R40" s="7">
        <v>0.8</v>
      </c>
      <c r="S40" s="7">
        <v>0.9</v>
      </c>
      <c r="T40" s="7"/>
      <c r="U40" s="7"/>
      <c r="V40" s="7"/>
      <c r="W40" s="7"/>
      <c r="X40" s="7"/>
      <c r="Y40" s="7"/>
      <c r="Z40" s="7"/>
      <c r="AA40" s="28">
        <f t="shared" si="6"/>
        <v>38</v>
      </c>
      <c r="AB40" s="28">
        <f t="shared" ca="1" si="0"/>
        <v>20021</v>
      </c>
      <c r="AC40" s="28">
        <f t="shared" ca="1" si="1"/>
        <v>6</v>
      </c>
      <c r="AD40" s="29">
        <f t="shared" ca="1" si="2"/>
        <v>8000</v>
      </c>
      <c r="AE40" s="28" t="str">
        <f t="shared" ca="1" si="3"/>
        <v>副本21</v>
      </c>
      <c r="AF40" s="28">
        <f t="shared" si="4"/>
        <v>21</v>
      </c>
      <c r="AG40" s="28">
        <f>COUNTIF(AF$3:AF40,AF40)-1</f>
        <v>1</v>
      </c>
    </row>
    <row r="41" spans="1:33" x14ac:dyDescent="0.25">
      <c r="A41" s="27">
        <f ca="1">COUNTIF($F$3:F41,F41)+F41*$F$1</f>
        <v>20039</v>
      </c>
      <c r="B41" s="27" t="str">
        <f ca="1">E41 &amp; COUNTIF($F$3:F41,F41)</f>
        <v>副本39</v>
      </c>
      <c r="C41" s="14">
        <f t="shared" si="7"/>
        <v>3</v>
      </c>
      <c r="D41" s="14">
        <f>IF(C41=0,"",SUM(C$3:C41))</f>
        <v>89</v>
      </c>
      <c r="E41" s="27" t="s">
        <v>33</v>
      </c>
      <c r="F41" s="27">
        <f ca="1">OFFSET(参数!$A$1,MATCH($E41,参数!$B$2:$B$16,0),)</f>
        <v>2</v>
      </c>
      <c r="G41" s="14">
        <v>1</v>
      </c>
      <c r="H41" s="14">
        <v>6</v>
      </c>
      <c r="I41" s="14">
        <v>2</v>
      </c>
      <c r="J41" s="14"/>
      <c r="K41" s="14"/>
      <c r="L41" s="14"/>
      <c r="M41" s="14"/>
      <c r="N41" s="14"/>
      <c r="O41" s="14"/>
      <c r="P41" s="14"/>
      <c r="Q41" s="7">
        <v>1</v>
      </c>
      <c r="R41" s="7">
        <v>0.8</v>
      </c>
      <c r="S41" s="7">
        <v>0.9</v>
      </c>
      <c r="T41" s="7"/>
      <c r="U41" s="7"/>
      <c r="V41" s="7"/>
      <c r="W41" s="7"/>
      <c r="X41" s="7"/>
      <c r="Y41" s="7"/>
      <c r="Z41" s="7"/>
      <c r="AA41" s="28">
        <f t="shared" si="6"/>
        <v>39</v>
      </c>
      <c r="AB41" s="28">
        <f t="shared" ca="1" si="0"/>
        <v>20021</v>
      </c>
      <c r="AC41" s="28">
        <f t="shared" ca="1" si="1"/>
        <v>4</v>
      </c>
      <c r="AD41" s="29">
        <f t="shared" ca="1" si="2"/>
        <v>9000</v>
      </c>
      <c r="AE41" s="28" t="str">
        <f t="shared" ca="1" si="3"/>
        <v>副本21</v>
      </c>
      <c r="AF41" s="28">
        <f t="shared" si="4"/>
        <v>21</v>
      </c>
      <c r="AG41" s="28">
        <f>COUNTIF(AF$3:AF41,AF41)-1</f>
        <v>2</v>
      </c>
    </row>
    <row r="42" spans="1:33" x14ac:dyDescent="0.25">
      <c r="A42" s="27">
        <f ca="1">COUNTIF($F$3:F42,F42)+F42*$F$1</f>
        <v>20040</v>
      </c>
      <c r="B42" s="27" t="str">
        <f ca="1">E42 &amp; COUNTIF($F$3:F42,F42)</f>
        <v>副本40</v>
      </c>
      <c r="C42" s="14">
        <f t="shared" si="7"/>
        <v>3</v>
      </c>
      <c r="D42" s="14">
        <f>IF(C42=0,"",SUM(C$3:C42))</f>
        <v>92</v>
      </c>
      <c r="E42" s="27" t="s">
        <v>33</v>
      </c>
      <c r="F42" s="27">
        <f ca="1">OFFSET(参数!$A$1,MATCH($E42,参数!$B$2:$B$16,0),)</f>
        <v>2</v>
      </c>
      <c r="G42" s="14">
        <v>1</v>
      </c>
      <c r="H42" s="14">
        <v>6</v>
      </c>
      <c r="I42" s="14">
        <v>2</v>
      </c>
      <c r="J42" s="14"/>
      <c r="K42" s="14"/>
      <c r="L42" s="14"/>
      <c r="M42" s="14"/>
      <c r="N42" s="14"/>
      <c r="O42" s="14"/>
      <c r="P42" s="14"/>
      <c r="Q42" s="7">
        <v>1</v>
      </c>
      <c r="R42" s="7">
        <v>0.8</v>
      </c>
      <c r="S42" s="7">
        <v>0.9</v>
      </c>
      <c r="T42" s="7"/>
      <c r="U42" s="7"/>
      <c r="V42" s="7"/>
      <c r="W42" s="7"/>
      <c r="X42" s="7"/>
      <c r="Y42" s="7"/>
      <c r="Z42" s="7"/>
      <c r="AA42" s="28">
        <f t="shared" si="6"/>
        <v>40</v>
      </c>
      <c r="AB42" s="28">
        <f t="shared" ca="1" si="0"/>
        <v>20022</v>
      </c>
      <c r="AC42" s="28">
        <f t="shared" ca="1" si="1"/>
        <v>1</v>
      </c>
      <c r="AD42" s="29">
        <f t="shared" ca="1" si="2"/>
        <v>10000</v>
      </c>
      <c r="AE42" s="28" t="str">
        <f t="shared" ca="1" si="3"/>
        <v>副本22</v>
      </c>
      <c r="AF42" s="28">
        <f t="shared" si="4"/>
        <v>22</v>
      </c>
      <c r="AG42" s="28">
        <f>COUNTIF(AF$3:AF42,AF42)-1</f>
        <v>0</v>
      </c>
    </row>
    <row r="43" spans="1:33" x14ac:dyDescent="0.25">
      <c r="A43" s="27">
        <f ca="1">COUNTIF($F$3:F43,F43)+F43*$F$1</f>
        <v>20041</v>
      </c>
      <c r="B43" s="27" t="str">
        <f ca="1">E43 &amp; COUNTIF($F$3:F43,F43)</f>
        <v>副本41</v>
      </c>
      <c r="C43" s="14">
        <f t="shared" si="7"/>
        <v>3</v>
      </c>
      <c r="D43" s="14">
        <f>IF(C43=0,"",SUM(C$3:C43))</f>
        <v>95</v>
      </c>
      <c r="E43" s="27" t="s">
        <v>33</v>
      </c>
      <c r="F43" s="27">
        <f ca="1">OFFSET(参数!$A$1,MATCH($E43,参数!$B$2:$B$16,0),)</f>
        <v>2</v>
      </c>
      <c r="G43" s="14">
        <v>1</v>
      </c>
      <c r="H43" s="14">
        <v>6</v>
      </c>
      <c r="I43" s="14">
        <v>2</v>
      </c>
      <c r="J43" s="14"/>
      <c r="K43" s="14"/>
      <c r="L43" s="14"/>
      <c r="M43" s="14"/>
      <c r="N43" s="14"/>
      <c r="O43" s="14"/>
      <c r="P43" s="14"/>
      <c r="Q43" s="7">
        <v>1</v>
      </c>
      <c r="R43" s="7">
        <v>0.8</v>
      </c>
      <c r="S43" s="7">
        <v>0.9</v>
      </c>
      <c r="T43" s="7"/>
      <c r="U43" s="7"/>
      <c r="V43" s="7"/>
      <c r="W43" s="7"/>
      <c r="X43" s="7"/>
      <c r="Y43" s="7"/>
      <c r="Z43" s="7"/>
      <c r="AA43" s="28">
        <f t="shared" si="6"/>
        <v>41</v>
      </c>
      <c r="AB43" s="28">
        <f t="shared" ca="1" si="0"/>
        <v>20022</v>
      </c>
      <c r="AC43" s="28">
        <f t="shared" ca="1" si="1"/>
        <v>6</v>
      </c>
      <c r="AD43" s="29">
        <f t="shared" ca="1" si="2"/>
        <v>8000</v>
      </c>
      <c r="AE43" s="28" t="str">
        <f t="shared" ca="1" si="3"/>
        <v>副本22</v>
      </c>
      <c r="AF43" s="28">
        <f t="shared" si="4"/>
        <v>22</v>
      </c>
      <c r="AG43" s="28">
        <f>COUNTIF(AF$3:AF43,AF43)-1</f>
        <v>1</v>
      </c>
    </row>
    <row r="44" spans="1:33" x14ac:dyDescent="0.25">
      <c r="A44" s="27">
        <f ca="1">COUNTIF($F$3:F44,F44)+F44*$F$1</f>
        <v>20042</v>
      </c>
      <c r="B44" s="27" t="str">
        <f ca="1">E44 &amp; COUNTIF($F$3:F44,F44)</f>
        <v>副本42</v>
      </c>
      <c r="C44" s="14">
        <f t="shared" si="7"/>
        <v>3</v>
      </c>
      <c r="D44" s="14">
        <f>IF(C44=0,"",SUM(C$3:C44))</f>
        <v>98</v>
      </c>
      <c r="E44" s="27" t="s">
        <v>33</v>
      </c>
      <c r="F44" s="27">
        <f ca="1">OFFSET(参数!$A$1,MATCH($E44,参数!$B$2:$B$16,0),)</f>
        <v>2</v>
      </c>
      <c r="G44" s="14">
        <v>1</v>
      </c>
      <c r="H44" s="14">
        <v>7</v>
      </c>
      <c r="I44" s="14">
        <v>3</v>
      </c>
      <c r="J44" s="14"/>
      <c r="K44" s="14"/>
      <c r="L44" s="14"/>
      <c r="M44" s="14"/>
      <c r="N44" s="14"/>
      <c r="O44" s="14"/>
      <c r="P44" s="14"/>
      <c r="Q44" s="7">
        <v>1</v>
      </c>
      <c r="R44" s="7">
        <v>0.8</v>
      </c>
      <c r="S44" s="7">
        <v>0.9</v>
      </c>
      <c r="T44" s="7"/>
      <c r="U44" s="7"/>
      <c r="V44" s="7"/>
      <c r="W44" s="7"/>
      <c r="X44" s="7"/>
      <c r="Y44" s="7"/>
      <c r="Z44" s="7"/>
      <c r="AA44" s="28">
        <f t="shared" si="6"/>
        <v>42</v>
      </c>
      <c r="AB44" s="28">
        <f t="shared" ca="1" si="0"/>
        <v>20022</v>
      </c>
      <c r="AC44" s="28">
        <f t="shared" ca="1" si="1"/>
        <v>4</v>
      </c>
      <c r="AD44" s="29">
        <f t="shared" ca="1" si="2"/>
        <v>9000</v>
      </c>
      <c r="AE44" s="28" t="str">
        <f t="shared" ca="1" si="3"/>
        <v>副本22</v>
      </c>
      <c r="AF44" s="28">
        <f t="shared" si="4"/>
        <v>22</v>
      </c>
      <c r="AG44" s="28">
        <f>COUNTIF(AF$3:AF44,AF44)-1</f>
        <v>2</v>
      </c>
    </row>
    <row r="45" spans="1:33" x14ac:dyDescent="0.25">
      <c r="A45" s="27">
        <f ca="1">COUNTIF($F$3:F45,F45)+F45*$F$1</f>
        <v>20043</v>
      </c>
      <c r="B45" s="27" t="str">
        <f ca="1">E45 &amp; COUNTIF($F$3:F45,F45)</f>
        <v>副本43</v>
      </c>
      <c r="C45" s="14">
        <f t="shared" si="7"/>
        <v>3</v>
      </c>
      <c r="D45" s="14">
        <f>IF(C45=0,"",SUM(C$3:C45))</f>
        <v>101</v>
      </c>
      <c r="E45" s="27" t="s">
        <v>33</v>
      </c>
      <c r="F45" s="27">
        <f ca="1">OFFSET(参数!$A$1,MATCH($E45,参数!$B$2:$B$16,0),)</f>
        <v>2</v>
      </c>
      <c r="G45" s="14">
        <v>1</v>
      </c>
      <c r="H45" s="14">
        <v>7</v>
      </c>
      <c r="I45" s="14">
        <v>3</v>
      </c>
      <c r="J45" s="14"/>
      <c r="K45" s="14"/>
      <c r="L45" s="14"/>
      <c r="M45" s="14"/>
      <c r="N45" s="14"/>
      <c r="O45" s="14"/>
      <c r="P45" s="14"/>
      <c r="Q45" s="7">
        <v>1</v>
      </c>
      <c r="R45" s="7">
        <v>0.8</v>
      </c>
      <c r="S45" s="7">
        <v>0.9</v>
      </c>
      <c r="T45" s="7"/>
      <c r="U45" s="7"/>
      <c r="V45" s="7"/>
      <c r="W45" s="7"/>
      <c r="X45" s="7"/>
      <c r="Y45" s="7"/>
      <c r="Z45" s="7"/>
      <c r="AA45" s="28">
        <f t="shared" si="6"/>
        <v>43</v>
      </c>
      <c r="AB45" s="28">
        <f t="shared" ca="1" si="0"/>
        <v>20023</v>
      </c>
      <c r="AC45" s="28">
        <f t="shared" ca="1" si="1"/>
        <v>1</v>
      </c>
      <c r="AD45" s="29">
        <f t="shared" ca="1" si="2"/>
        <v>10000</v>
      </c>
      <c r="AE45" s="28" t="str">
        <f t="shared" ca="1" si="3"/>
        <v>副本23</v>
      </c>
      <c r="AF45" s="28">
        <f t="shared" si="4"/>
        <v>23</v>
      </c>
      <c r="AG45" s="28">
        <f>COUNTIF(AF$3:AF45,AF45)-1</f>
        <v>0</v>
      </c>
    </row>
    <row r="46" spans="1:33" x14ac:dyDescent="0.25">
      <c r="A46" s="27">
        <f ca="1">COUNTIF($F$3:F46,F46)+F46*$F$1</f>
        <v>20044</v>
      </c>
      <c r="B46" s="27" t="str">
        <f ca="1">E46 &amp; COUNTIF($F$3:F46,F46)</f>
        <v>副本44</v>
      </c>
      <c r="C46" s="14">
        <f t="shared" si="7"/>
        <v>3</v>
      </c>
      <c r="D46" s="14">
        <f>IF(C46=0,"",SUM(C$3:C46))</f>
        <v>104</v>
      </c>
      <c r="E46" s="27" t="s">
        <v>33</v>
      </c>
      <c r="F46" s="27">
        <f ca="1">OFFSET(参数!$A$1,MATCH($E46,参数!$B$2:$B$16,0),)</f>
        <v>2</v>
      </c>
      <c r="G46" s="14">
        <v>1</v>
      </c>
      <c r="H46" s="14">
        <v>7</v>
      </c>
      <c r="I46" s="14">
        <v>3</v>
      </c>
      <c r="J46" s="14"/>
      <c r="K46" s="14"/>
      <c r="L46" s="14"/>
      <c r="M46" s="14"/>
      <c r="N46" s="14"/>
      <c r="O46" s="14"/>
      <c r="P46" s="14"/>
      <c r="Q46" s="7">
        <v>1</v>
      </c>
      <c r="R46" s="7">
        <v>0.8</v>
      </c>
      <c r="S46" s="7">
        <v>0.9</v>
      </c>
      <c r="T46" s="7"/>
      <c r="U46" s="7"/>
      <c r="V46" s="7"/>
      <c r="W46" s="7"/>
      <c r="X46" s="7"/>
      <c r="Y46" s="7"/>
      <c r="Z46" s="7"/>
      <c r="AA46" s="28">
        <f t="shared" si="6"/>
        <v>44</v>
      </c>
      <c r="AB46" s="28">
        <f t="shared" ca="1" si="0"/>
        <v>20023</v>
      </c>
      <c r="AC46" s="28">
        <f t="shared" ca="1" si="1"/>
        <v>7</v>
      </c>
      <c r="AD46" s="29">
        <f t="shared" ca="1" si="2"/>
        <v>8000</v>
      </c>
      <c r="AE46" s="28" t="str">
        <f t="shared" ca="1" si="3"/>
        <v>副本23</v>
      </c>
      <c r="AF46" s="28">
        <f t="shared" si="4"/>
        <v>23</v>
      </c>
      <c r="AG46" s="28">
        <f>COUNTIF(AF$3:AF46,AF46)-1</f>
        <v>1</v>
      </c>
    </row>
    <row r="47" spans="1:33" x14ac:dyDescent="0.25">
      <c r="A47" s="27">
        <f ca="1">COUNTIF($F$3:F47,F47)+F47*$F$1</f>
        <v>20045</v>
      </c>
      <c r="B47" s="27" t="str">
        <f ca="1">E47 &amp; COUNTIF($F$3:F47,F47)</f>
        <v>副本45</v>
      </c>
      <c r="C47" s="14">
        <f t="shared" si="7"/>
        <v>1</v>
      </c>
      <c r="D47" s="14">
        <f>IF(C47=0,"",SUM(C$3:C47))</f>
        <v>105</v>
      </c>
      <c r="E47" s="27" t="s">
        <v>33</v>
      </c>
      <c r="F47" s="27">
        <f ca="1">OFFSET(参数!$A$1,MATCH($E47,参数!$B$2:$B$16,0),)</f>
        <v>2</v>
      </c>
      <c r="G47" s="14">
        <v>1</v>
      </c>
      <c r="H47" s="14"/>
      <c r="I47" s="14"/>
      <c r="J47" s="14"/>
      <c r="K47" s="14"/>
      <c r="L47" s="14"/>
      <c r="M47" s="14"/>
      <c r="N47" s="14"/>
      <c r="O47" s="14"/>
      <c r="P47" s="14"/>
      <c r="Q47" s="7">
        <v>1</v>
      </c>
      <c r="R47" s="7"/>
      <c r="S47" s="7"/>
      <c r="T47" s="7"/>
      <c r="U47" s="7"/>
      <c r="V47" s="7"/>
      <c r="W47" s="7"/>
      <c r="X47" s="7"/>
      <c r="Y47" s="7"/>
      <c r="Z47" s="7"/>
      <c r="AA47" s="28">
        <f t="shared" si="6"/>
        <v>45</v>
      </c>
      <c r="AB47" s="28">
        <f t="shared" ca="1" si="0"/>
        <v>20023</v>
      </c>
      <c r="AC47" s="28">
        <f t="shared" ca="1" si="1"/>
        <v>2</v>
      </c>
      <c r="AD47" s="29">
        <f t="shared" ca="1" si="2"/>
        <v>9000</v>
      </c>
      <c r="AE47" s="28" t="str">
        <f t="shared" ca="1" si="3"/>
        <v>副本23</v>
      </c>
      <c r="AF47" s="28">
        <f t="shared" si="4"/>
        <v>23</v>
      </c>
      <c r="AG47" s="28">
        <f>COUNTIF(AF$3:AF47,AF47)-1</f>
        <v>2</v>
      </c>
    </row>
    <row r="48" spans="1:33" x14ac:dyDescent="0.25">
      <c r="A48" s="27">
        <f ca="1">COUNTIF($F$3:F48,F48)+F48*$F$1</f>
        <v>20046</v>
      </c>
      <c r="B48" s="27" t="str">
        <f ca="1">E48 &amp; COUNTIF($F$3:F48,F48)</f>
        <v>副本46</v>
      </c>
      <c r="C48" s="14">
        <f t="shared" si="7"/>
        <v>4</v>
      </c>
      <c r="D48" s="14">
        <f>IF(C48=0,"",SUM(C$3:C48))</f>
        <v>109</v>
      </c>
      <c r="E48" s="27" t="s">
        <v>33</v>
      </c>
      <c r="F48" s="27">
        <f ca="1">OFFSET(参数!$A$1,MATCH($E48,参数!$B$2:$B$16,0),)</f>
        <v>2</v>
      </c>
      <c r="G48" s="14">
        <v>1</v>
      </c>
      <c r="H48" s="14">
        <v>8</v>
      </c>
      <c r="I48" s="14">
        <v>6</v>
      </c>
      <c r="J48" s="14">
        <v>4</v>
      </c>
      <c r="K48" s="14"/>
      <c r="L48" s="14"/>
      <c r="M48" s="14"/>
      <c r="N48" s="14"/>
      <c r="O48" s="14"/>
      <c r="P48" s="14"/>
      <c r="Q48" s="7">
        <v>1</v>
      </c>
      <c r="R48" s="7">
        <v>0.7</v>
      </c>
      <c r="S48" s="7">
        <v>0.8</v>
      </c>
      <c r="T48" s="7">
        <v>0.9</v>
      </c>
      <c r="U48" s="7"/>
      <c r="V48" s="7"/>
      <c r="W48" s="7"/>
      <c r="X48" s="7"/>
      <c r="Y48" s="7"/>
      <c r="Z48" s="7"/>
      <c r="AA48" s="28">
        <f t="shared" si="6"/>
        <v>46</v>
      </c>
      <c r="AB48" s="28">
        <f t="shared" ca="1" si="0"/>
        <v>20024</v>
      </c>
      <c r="AC48" s="28">
        <f t="shared" ca="1" si="1"/>
        <v>1</v>
      </c>
      <c r="AD48" s="29">
        <f t="shared" ca="1" si="2"/>
        <v>10000</v>
      </c>
      <c r="AE48" s="28" t="str">
        <f t="shared" ca="1" si="3"/>
        <v>副本24</v>
      </c>
      <c r="AF48" s="28">
        <f t="shared" si="4"/>
        <v>24</v>
      </c>
      <c r="AG48" s="28">
        <f>COUNTIF(AF$3:AF48,AF48)-1</f>
        <v>0</v>
      </c>
    </row>
    <row r="49" spans="1:33" x14ac:dyDescent="0.25">
      <c r="A49" s="27">
        <f ca="1">COUNTIF($F$3:F49,F49)+F49*$F$1</f>
        <v>20047</v>
      </c>
      <c r="B49" s="27" t="str">
        <f ca="1">E49 &amp; COUNTIF($F$3:F49,F49)</f>
        <v>副本47</v>
      </c>
      <c r="C49" s="14">
        <f t="shared" si="7"/>
        <v>4</v>
      </c>
      <c r="D49" s="14">
        <f>IF(C49=0,"",SUM(C$3:C49))</f>
        <v>113</v>
      </c>
      <c r="E49" s="27" t="s">
        <v>33</v>
      </c>
      <c r="F49" s="27">
        <f ca="1">OFFSET(参数!$A$1,MATCH($E49,参数!$B$2:$B$16,0),)</f>
        <v>2</v>
      </c>
      <c r="G49" s="14">
        <v>1</v>
      </c>
      <c r="H49" s="14">
        <v>8</v>
      </c>
      <c r="I49" s="14">
        <v>6</v>
      </c>
      <c r="J49" s="14">
        <v>4</v>
      </c>
      <c r="K49" s="14"/>
      <c r="L49" s="14"/>
      <c r="M49" s="14"/>
      <c r="N49" s="14"/>
      <c r="O49" s="14"/>
      <c r="P49" s="14"/>
      <c r="Q49" s="7">
        <v>1</v>
      </c>
      <c r="R49" s="7">
        <v>0.7</v>
      </c>
      <c r="S49" s="7">
        <v>0.8</v>
      </c>
      <c r="T49" s="7">
        <v>0.9</v>
      </c>
      <c r="U49" s="7"/>
      <c r="V49" s="7"/>
      <c r="W49" s="7"/>
      <c r="X49" s="7"/>
      <c r="Y49" s="7"/>
      <c r="Z49" s="7"/>
      <c r="AA49" s="28">
        <f t="shared" si="6"/>
        <v>47</v>
      </c>
      <c r="AB49" s="28">
        <f t="shared" ca="1" si="0"/>
        <v>20024</v>
      </c>
      <c r="AC49" s="28">
        <f t="shared" ca="1" si="1"/>
        <v>7</v>
      </c>
      <c r="AD49" s="29">
        <f t="shared" ca="1" si="2"/>
        <v>8000</v>
      </c>
      <c r="AE49" s="28" t="str">
        <f t="shared" ca="1" si="3"/>
        <v>副本24</v>
      </c>
      <c r="AF49" s="28">
        <f t="shared" si="4"/>
        <v>24</v>
      </c>
      <c r="AG49" s="28">
        <f>COUNTIF(AF$3:AF49,AF49)-1</f>
        <v>1</v>
      </c>
    </row>
    <row r="50" spans="1:33" x14ac:dyDescent="0.25">
      <c r="A50" s="27">
        <f ca="1">COUNTIF($F$3:F50,F50)+F50*$F$1</f>
        <v>20048</v>
      </c>
      <c r="B50" s="27" t="str">
        <f ca="1">E50 &amp; COUNTIF($F$3:F50,F50)</f>
        <v>副本48</v>
      </c>
      <c r="C50" s="14">
        <f t="shared" si="7"/>
        <v>4</v>
      </c>
      <c r="D50" s="14">
        <f>IF(C50=0,"",SUM(C$3:C50))</f>
        <v>117</v>
      </c>
      <c r="E50" s="27" t="s">
        <v>33</v>
      </c>
      <c r="F50" s="27">
        <f ca="1">OFFSET(参数!$A$1,MATCH($E50,参数!$B$2:$B$16,0),)</f>
        <v>2</v>
      </c>
      <c r="G50" s="14">
        <v>1</v>
      </c>
      <c r="H50" s="14">
        <v>8</v>
      </c>
      <c r="I50" s="14">
        <v>6</v>
      </c>
      <c r="J50" s="14">
        <v>4</v>
      </c>
      <c r="K50" s="14"/>
      <c r="L50" s="14"/>
      <c r="M50" s="14"/>
      <c r="N50" s="14"/>
      <c r="O50" s="14"/>
      <c r="P50" s="14"/>
      <c r="Q50" s="7">
        <v>1</v>
      </c>
      <c r="R50" s="7">
        <v>0.7</v>
      </c>
      <c r="S50" s="7">
        <v>0.8</v>
      </c>
      <c r="T50" s="7">
        <v>0.9</v>
      </c>
      <c r="U50" s="7"/>
      <c r="V50" s="7"/>
      <c r="W50" s="7"/>
      <c r="X50" s="7"/>
      <c r="Y50" s="7"/>
      <c r="Z50" s="7"/>
      <c r="AA50" s="28">
        <f t="shared" si="6"/>
        <v>48</v>
      </c>
      <c r="AB50" s="28">
        <f t="shared" ca="1" si="0"/>
        <v>20024</v>
      </c>
      <c r="AC50" s="28">
        <f t="shared" ca="1" si="1"/>
        <v>2</v>
      </c>
      <c r="AD50" s="29">
        <f t="shared" ca="1" si="2"/>
        <v>9000</v>
      </c>
      <c r="AE50" s="28" t="str">
        <f t="shared" ca="1" si="3"/>
        <v>副本24</v>
      </c>
      <c r="AF50" s="28">
        <f t="shared" si="4"/>
        <v>24</v>
      </c>
      <c r="AG50" s="28">
        <f>COUNTIF(AF$3:AF50,AF50)-1</f>
        <v>2</v>
      </c>
    </row>
    <row r="51" spans="1:33" x14ac:dyDescent="0.25">
      <c r="A51" s="27">
        <f ca="1">COUNTIF($F$3:F51,F51)+F51*$F$1</f>
        <v>20049</v>
      </c>
      <c r="B51" s="27" t="str">
        <f ca="1">E51 &amp; COUNTIF($F$3:F51,F51)</f>
        <v>副本49</v>
      </c>
      <c r="C51" s="14">
        <f t="shared" si="7"/>
        <v>4</v>
      </c>
      <c r="D51" s="14">
        <f>IF(C51=0,"",SUM(C$3:C51))</f>
        <v>121</v>
      </c>
      <c r="E51" s="27" t="s">
        <v>33</v>
      </c>
      <c r="F51" s="27">
        <f ca="1">OFFSET(参数!$A$1,MATCH($E51,参数!$B$2:$B$16,0),)</f>
        <v>2</v>
      </c>
      <c r="G51" s="14">
        <v>1</v>
      </c>
      <c r="H51" s="14">
        <v>9</v>
      </c>
      <c r="I51" s="14">
        <v>7</v>
      </c>
      <c r="J51" s="14">
        <v>3</v>
      </c>
      <c r="K51" s="14"/>
      <c r="L51" s="14"/>
      <c r="M51" s="14"/>
      <c r="N51" s="14"/>
      <c r="O51" s="14"/>
      <c r="P51" s="14"/>
      <c r="Q51" s="7">
        <v>1</v>
      </c>
      <c r="R51" s="7">
        <v>0.7</v>
      </c>
      <c r="S51" s="7">
        <v>0.8</v>
      </c>
      <c r="T51" s="7">
        <v>0.9</v>
      </c>
      <c r="U51" s="7"/>
      <c r="V51" s="7"/>
      <c r="W51" s="7"/>
      <c r="X51" s="7"/>
      <c r="Y51" s="7"/>
      <c r="Z51" s="7"/>
      <c r="AA51" s="28">
        <f t="shared" si="6"/>
        <v>49</v>
      </c>
      <c r="AB51" s="28">
        <f t="shared" ca="1" si="0"/>
        <v>20025</v>
      </c>
      <c r="AC51" s="28">
        <f t="shared" ca="1" si="1"/>
        <v>1</v>
      </c>
      <c r="AD51" s="29">
        <f t="shared" ca="1" si="2"/>
        <v>10000</v>
      </c>
      <c r="AE51" s="28" t="str">
        <f t="shared" ca="1" si="3"/>
        <v>副本25</v>
      </c>
      <c r="AF51" s="28">
        <f t="shared" si="4"/>
        <v>25</v>
      </c>
      <c r="AG51" s="28">
        <f>COUNTIF(AF$3:AF51,AF51)-1</f>
        <v>0</v>
      </c>
    </row>
    <row r="52" spans="1:33" x14ac:dyDescent="0.25">
      <c r="A52" s="27">
        <f ca="1">COUNTIF($F$3:F52,F52)+F52*$F$1</f>
        <v>20050</v>
      </c>
      <c r="B52" s="27" t="str">
        <f ca="1">E52 &amp; COUNTIF($F$3:F52,F52)</f>
        <v>副本50</v>
      </c>
      <c r="C52" s="14">
        <f t="shared" si="7"/>
        <v>4</v>
      </c>
      <c r="D52" s="14">
        <f>IF(C52=0,"",SUM(C$3:C52))</f>
        <v>125</v>
      </c>
      <c r="E52" s="27" t="s">
        <v>33</v>
      </c>
      <c r="F52" s="27">
        <f ca="1">OFFSET(参数!$A$1,MATCH($E52,参数!$B$2:$B$16,0),)</f>
        <v>2</v>
      </c>
      <c r="G52" s="14">
        <v>1</v>
      </c>
      <c r="H52" s="14">
        <v>9</v>
      </c>
      <c r="I52" s="14">
        <v>7</v>
      </c>
      <c r="J52" s="14">
        <v>3</v>
      </c>
      <c r="K52" s="14"/>
      <c r="L52" s="14"/>
      <c r="M52" s="14"/>
      <c r="N52" s="14"/>
      <c r="O52" s="14"/>
      <c r="P52" s="14"/>
      <c r="Q52" s="7">
        <v>1</v>
      </c>
      <c r="R52" s="7">
        <v>0.7</v>
      </c>
      <c r="S52" s="7">
        <v>0.8</v>
      </c>
      <c r="T52" s="7">
        <v>0.9</v>
      </c>
      <c r="U52" s="7"/>
      <c r="V52" s="7"/>
      <c r="W52" s="7"/>
      <c r="X52" s="7"/>
      <c r="Y52" s="7"/>
      <c r="Z52" s="7"/>
      <c r="AA52" s="28">
        <f t="shared" si="6"/>
        <v>50</v>
      </c>
      <c r="AB52" s="28">
        <f t="shared" ca="1" si="0"/>
        <v>20026</v>
      </c>
      <c r="AC52" s="28">
        <f t="shared" ca="1" si="1"/>
        <v>1</v>
      </c>
      <c r="AD52" s="29">
        <f t="shared" ca="1" si="2"/>
        <v>10000</v>
      </c>
      <c r="AE52" s="28" t="str">
        <f t="shared" ca="1" si="3"/>
        <v>副本26</v>
      </c>
      <c r="AF52" s="28">
        <f t="shared" si="4"/>
        <v>26</v>
      </c>
      <c r="AG52" s="28">
        <f>COUNTIF(AF$3:AF52,AF52)-1</f>
        <v>0</v>
      </c>
    </row>
    <row r="53" spans="1:33" x14ac:dyDescent="0.25">
      <c r="A53" s="27">
        <f ca="1">COUNTIF($F$3:F53,F53)+F53*$F$1</f>
        <v>20051</v>
      </c>
      <c r="B53" s="27" t="str">
        <f ca="1">E53 &amp; COUNTIF($F$3:F53,F53)</f>
        <v>副本51</v>
      </c>
      <c r="C53" s="14">
        <f t="shared" si="7"/>
        <v>4</v>
      </c>
      <c r="D53" s="14">
        <f>IF(C53=0,"",SUM(C$3:C53))</f>
        <v>129</v>
      </c>
      <c r="E53" s="27" t="s">
        <v>33</v>
      </c>
      <c r="F53" s="27">
        <f ca="1">OFFSET(参数!$A$1,MATCH($E53,参数!$B$2:$B$16,0),)</f>
        <v>2</v>
      </c>
      <c r="G53" s="14">
        <v>1</v>
      </c>
      <c r="H53" s="14">
        <v>9</v>
      </c>
      <c r="I53" s="14">
        <v>7</v>
      </c>
      <c r="J53" s="14">
        <v>3</v>
      </c>
      <c r="K53" s="14"/>
      <c r="L53" s="14"/>
      <c r="M53" s="14"/>
      <c r="N53" s="14"/>
      <c r="O53" s="14"/>
      <c r="P53" s="14"/>
      <c r="Q53" s="7">
        <v>1</v>
      </c>
      <c r="R53" s="7">
        <v>0.7</v>
      </c>
      <c r="S53" s="7">
        <v>0.8</v>
      </c>
      <c r="T53" s="7">
        <v>0.9</v>
      </c>
      <c r="U53" s="7"/>
      <c r="V53" s="7"/>
      <c r="W53" s="7"/>
      <c r="X53" s="7"/>
      <c r="Y53" s="7"/>
      <c r="Z53" s="7"/>
      <c r="AA53" s="28">
        <f t="shared" si="6"/>
        <v>51</v>
      </c>
      <c r="AB53" s="28">
        <f t="shared" ca="1" si="0"/>
        <v>20026</v>
      </c>
      <c r="AC53" s="28">
        <f t="shared" ca="1" si="1"/>
        <v>5</v>
      </c>
      <c r="AD53" s="29">
        <f t="shared" ca="1" si="2"/>
        <v>8000</v>
      </c>
      <c r="AE53" s="28" t="str">
        <f t="shared" ca="1" si="3"/>
        <v>副本26</v>
      </c>
      <c r="AF53" s="28">
        <f t="shared" si="4"/>
        <v>26</v>
      </c>
      <c r="AG53" s="28">
        <f>COUNTIF(AF$3:AF53,AF53)-1</f>
        <v>1</v>
      </c>
    </row>
    <row r="54" spans="1:33" x14ac:dyDescent="0.25">
      <c r="A54" s="27">
        <f ca="1">COUNTIF($F$3:F54,F54)+F54*$F$1</f>
        <v>20052</v>
      </c>
      <c r="B54" s="27" t="str">
        <f ca="1">E54 &amp; COUNTIF($F$3:F54,F54)</f>
        <v>副本52</v>
      </c>
      <c r="C54" s="14">
        <f t="shared" si="7"/>
        <v>4</v>
      </c>
      <c r="D54" s="14">
        <f>IF(C54=0,"",SUM(C$3:C54))</f>
        <v>133</v>
      </c>
      <c r="E54" s="27" t="s">
        <v>33</v>
      </c>
      <c r="F54" s="27">
        <f ca="1">OFFSET(参数!$A$1,MATCH($E54,参数!$B$2:$B$16,0),)</f>
        <v>2</v>
      </c>
      <c r="G54" s="14">
        <v>1</v>
      </c>
      <c r="H54" s="14">
        <v>10</v>
      </c>
      <c r="I54" s="14">
        <v>5</v>
      </c>
      <c r="J54" s="14">
        <v>2</v>
      </c>
      <c r="K54" s="14"/>
      <c r="L54" s="14"/>
      <c r="M54" s="14"/>
      <c r="N54" s="14"/>
      <c r="O54" s="14"/>
      <c r="P54" s="14"/>
      <c r="Q54" s="7">
        <v>1</v>
      </c>
      <c r="R54" s="7">
        <v>0.7</v>
      </c>
      <c r="S54" s="7">
        <v>0.8</v>
      </c>
      <c r="T54" s="7">
        <v>0.9</v>
      </c>
      <c r="U54" s="7"/>
      <c r="V54" s="7"/>
      <c r="W54" s="7"/>
      <c r="X54" s="7"/>
      <c r="Y54" s="7"/>
      <c r="Z54" s="7"/>
      <c r="AA54" s="28">
        <f t="shared" si="6"/>
        <v>52</v>
      </c>
      <c r="AB54" s="28">
        <f t="shared" ca="1" si="0"/>
        <v>20026</v>
      </c>
      <c r="AC54" s="28">
        <f t="shared" ca="1" si="1"/>
        <v>3</v>
      </c>
      <c r="AD54" s="29">
        <f t="shared" ca="1" si="2"/>
        <v>9000</v>
      </c>
      <c r="AE54" s="28" t="str">
        <f t="shared" ca="1" si="3"/>
        <v>副本26</v>
      </c>
      <c r="AF54" s="28">
        <f t="shared" si="4"/>
        <v>26</v>
      </c>
      <c r="AG54" s="28">
        <f>COUNTIF(AF$3:AF54,AF54)-1</f>
        <v>2</v>
      </c>
    </row>
    <row r="55" spans="1:33" x14ac:dyDescent="0.25">
      <c r="A55" s="27">
        <f ca="1">COUNTIF($F$3:F55,F55)+F55*$F$1</f>
        <v>20053</v>
      </c>
      <c r="B55" s="27" t="str">
        <f ca="1">E55 &amp; COUNTIF($F$3:F55,F55)</f>
        <v>副本53</v>
      </c>
      <c r="C55" s="14">
        <f t="shared" si="7"/>
        <v>4</v>
      </c>
      <c r="D55" s="14">
        <f>IF(C55=0,"",SUM(C$3:C55))</f>
        <v>137</v>
      </c>
      <c r="E55" s="27" t="s">
        <v>33</v>
      </c>
      <c r="F55" s="27">
        <f ca="1">OFFSET(参数!$A$1,MATCH($E55,参数!$B$2:$B$16,0),)</f>
        <v>2</v>
      </c>
      <c r="G55" s="14">
        <v>1</v>
      </c>
      <c r="H55" s="14">
        <v>10</v>
      </c>
      <c r="I55" s="14">
        <v>5</v>
      </c>
      <c r="J55" s="14">
        <v>2</v>
      </c>
      <c r="K55" s="14"/>
      <c r="L55" s="14"/>
      <c r="M55" s="14"/>
      <c r="N55" s="14"/>
      <c r="O55" s="14"/>
      <c r="P55" s="14"/>
      <c r="Q55" s="7">
        <v>1</v>
      </c>
      <c r="R55" s="7">
        <v>0.7</v>
      </c>
      <c r="S55" s="7">
        <v>0.8</v>
      </c>
      <c r="T55" s="7">
        <v>0.9</v>
      </c>
      <c r="U55" s="7"/>
      <c r="V55" s="7"/>
      <c r="W55" s="7"/>
      <c r="X55" s="7"/>
      <c r="Y55" s="7"/>
      <c r="Z55" s="7"/>
      <c r="AA55" s="28">
        <f t="shared" si="6"/>
        <v>53</v>
      </c>
      <c r="AB55" s="28">
        <f t="shared" ca="1" si="0"/>
        <v>20027</v>
      </c>
      <c r="AC55" s="28">
        <f t="shared" ca="1" si="1"/>
        <v>1</v>
      </c>
      <c r="AD55" s="29">
        <f t="shared" ca="1" si="2"/>
        <v>10000</v>
      </c>
      <c r="AE55" s="28" t="str">
        <f t="shared" ca="1" si="3"/>
        <v>副本27</v>
      </c>
      <c r="AF55" s="28">
        <f t="shared" si="4"/>
        <v>27</v>
      </c>
      <c r="AG55" s="28">
        <f>COUNTIF(AF$3:AF55,AF55)-1</f>
        <v>0</v>
      </c>
    </row>
    <row r="56" spans="1:33" x14ac:dyDescent="0.25">
      <c r="A56" s="27">
        <f ca="1">COUNTIF($F$3:F56,F56)+F56*$F$1</f>
        <v>20054</v>
      </c>
      <c r="B56" s="27" t="str">
        <f ca="1">E56 &amp; COUNTIF($F$3:F56,F56)</f>
        <v>副本54</v>
      </c>
      <c r="C56" s="14">
        <f t="shared" si="7"/>
        <v>4</v>
      </c>
      <c r="D56" s="14">
        <f>IF(C56=0,"",SUM(C$3:C56))</f>
        <v>141</v>
      </c>
      <c r="E56" s="27" t="s">
        <v>33</v>
      </c>
      <c r="F56" s="27">
        <f ca="1">OFFSET(参数!$A$1,MATCH($E56,参数!$B$2:$B$16,0),)</f>
        <v>2</v>
      </c>
      <c r="G56" s="14">
        <v>1</v>
      </c>
      <c r="H56" s="14">
        <v>10</v>
      </c>
      <c r="I56" s="14">
        <v>5</v>
      </c>
      <c r="J56" s="14">
        <v>2</v>
      </c>
      <c r="K56" s="14"/>
      <c r="L56" s="14"/>
      <c r="M56" s="14"/>
      <c r="N56" s="14"/>
      <c r="O56" s="14"/>
      <c r="P56" s="14"/>
      <c r="Q56" s="7">
        <v>1</v>
      </c>
      <c r="R56" s="7">
        <v>0.7</v>
      </c>
      <c r="S56" s="7">
        <v>0.8</v>
      </c>
      <c r="T56" s="7">
        <v>0.9</v>
      </c>
      <c r="U56" s="7"/>
      <c r="V56" s="7"/>
      <c r="W56" s="7"/>
      <c r="X56" s="7"/>
      <c r="Y56" s="7"/>
      <c r="Z56" s="7"/>
      <c r="AA56" s="28">
        <f t="shared" si="6"/>
        <v>54</v>
      </c>
      <c r="AB56" s="28">
        <f t="shared" ca="1" si="0"/>
        <v>20027</v>
      </c>
      <c r="AC56" s="28">
        <f t="shared" ca="1" si="1"/>
        <v>5</v>
      </c>
      <c r="AD56" s="29">
        <f t="shared" ca="1" si="2"/>
        <v>8000</v>
      </c>
      <c r="AE56" s="28" t="str">
        <f t="shared" ca="1" si="3"/>
        <v>副本27</v>
      </c>
      <c r="AF56" s="28">
        <f t="shared" si="4"/>
        <v>27</v>
      </c>
      <c r="AG56" s="28">
        <f>COUNTIF(AF$3:AF56,AF56)-1</f>
        <v>1</v>
      </c>
    </row>
    <row r="57" spans="1:33" x14ac:dyDescent="0.25">
      <c r="A57" s="27">
        <f ca="1">COUNTIF($F$3:F57,F57)+F57*$F$1</f>
        <v>20055</v>
      </c>
      <c r="B57" s="27" t="str">
        <f ca="1">E57 &amp; COUNTIF($F$3:F57,F57)</f>
        <v>副本55</v>
      </c>
      <c r="C57" s="14">
        <f t="shared" si="7"/>
        <v>1</v>
      </c>
      <c r="D57" s="14">
        <f>IF(C57=0,"",SUM(C$3:C57))</f>
        <v>142</v>
      </c>
      <c r="E57" s="27" t="s">
        <v>33</v>
      </c>
      <c r="F57" s="27">
        <f ca="1">OFFSET(参数!$A$1,MATCH($E57,参数!$B$2:$B$16,0),)</f>
        <v>2</v>
      </c>
      <c r="G57" s="14">
        <v>1</v>
      </c>
      <c r="H57" s="14"/>
      <c r="I57" s="14"/>
      <c r="J57" s="14"/>
      <c r="K57" s="14"/>
      <c r="L57" s="14"/>
      <c r="M57" s="14"/>
      <c r="N57" s="14"/>
      <c r="O57" s="14"/>
      <c r="P57" s="14"/>
      <c r="Q57" s="7">
        <v>1</v>
      </c>
      <c r="R57" s="7"/>
      <c r="S57" s="7"/>
      <c r="T57" s="7"/>
      <c r="U57" s="7"/>
      <c r="V57" s="7"/>
      <c r="W57" s="7"/>
      <c r="X57" s="7"/>
      <c r="Y57" s="7"/>
      <c r="Z57" s="7"/>
      <c r="AA57" s="28">
        <f t="shared" si="6"/>
        <v>55</v>
      </c>
      <c r="AB57" s="28">
        <f t="shared" ca="1" si="0"/>
        <v>20027</v>
      </c>
      <c r="AC57" s="28">
        <f t="shared" ca="1" si="1"/>
        <v>3</v>
      </c>
      <c r="AD57" s="29">
        <f t="shared" ca="1" si="2"/>
        <v>9000</v>
      </c>
      <c r="AE57" s="28" t="str">
        <f t="shared" ca="1" si="3"/>
        <v>副本27</v>
      </c>
      <c r="AF57" s="28">
        <f t="shared" si="4"/>
        <v>27</v>
      </c>
      <c r="AG57" s="28">
        <f>COUNTIF(AF$3:AF57,AF57)-1</f>
        <v>2</v>
      </c>
    </row>
    <row r="58" spans="1:33" x14ac:dyDescent="0.25">
      <c r="A58" s="27">
        <f ca="1">COUNTIF($F$3:F58,F58)+F58*$F$1</f>
        <v>20056</v>
      </c>
      <c r="B58" s="27" t="str">
        <f ca="1">E58 &amp; COUNTIF($F$3:F58,F58)</f>
        <v>副本56</v>
      </c>
      <c r="C58" s="14">
        <f t="shared" si="7"/>
        <v>4</v>
      </c>
      <c r="D58" s="14">
        <f>IF(C58=0,"",SUM(C$3:C58))</f>
        <v>146</v>
      </c>
      <c r="E58" s="27" t="s">
        <v>33</v>
      </c>
      <c r="F58" s="27">
        <f ca="1">OFFSET(参数!$A$1,MATCH($E58,参数!$B$2:$B$16,0),)</f>
        <v>2</v>
      </c>
      <c r="G58" s="14">
        <v>1</v>
      </c>
      <c r="H58" s="14">
        <v>8</v>
      </c>
      <c r="I58" s="14">
        <v>6</v>
      </c>
      <c r="J58" s="14">
        <v>4</v>
      </c>
      <c r="K58" s="14"/>
      <c r="L58" s="14"/>
      <c r="M58" s="14"/>
      <c r="N58" s="14"/>
      <c r="O58" s="14"/>
      <c r="P58" s="14"/>
      <c r="Q58" s="7">
        <v>1</v>
      </c>
      <c r="R58" s="7">
        <v>0.7</v>
      </c>
      <c r="S58" s="7">
        <v>0.8</v>
      </c>
      <c r="T58" s="7">
        <v>0.9</v>
      </c>
      <c r="U58" s="7"/>
      <c r="V58" s="7"/>
      <c r="W58" s="7"/>
      <c r="X58" s="7"/>
      <c r="Y58" s="7"/>
      <c r="Z58" s="7"/>
      <c r="AA58" s="28">
        <f t="shared" si="6"/>
        <v>56</v>
      </c>
      <c r="AB58" s="28">
        <f t="shared" ca="1" si="0"/>
        <v>20028</v>
      </c>
      <c r="AC58" s="28">
        <f t="shared" ca="1" si="1"/>
        <v>1</v>
      </c>
      <c r="AD58" s="29">
        <f t="shared" ca="1" si="2"/>
        <v>10000</v>
      </c>
      <c r="AE58" s="28" t="str">
        <f t="shared" ca="1" si="3"/>
        <v>副本28</v>
      </c>
      <c r="AF58" s="28">
        <f t="shared" si="4"/>
        <v>28</v>
      </c>
      <c r="AG58" s="28">
        <f>COUNTIF(AF$3:AF58,AF58)-1</f>
        <v>0</v>
      </c>
    </row>
    <row r="59" spans="1:33" x14ac:dyDescent="0.25">
      <c r="A59" s="27">
        <f ca="1">COUNTIF($F$3:F59,F59)+F59*$F$1</f>
        <v>20057</v>
      </c>
      <c r="B59" s="27" t="str">
        <f ca="1">E59 &amp; COUNTIF($F$3:F59,F59)</f>
        <v>副本57</v>
      </c>
      <c r="C59" s="14">
        <f t="shared" si="7"/>
        <v>4</v>
      </c>
      <c r="D59" s="14">
        <f>IF(C59=0,"",SUM(C$3:C59))</f>
        <v>150</v>
      </c>
      <c r="E59" s="27" t="s">
        <v>33</v>
      </c>
      <c r="F59" s="27">
        <f ca="1">OFFSET(参数!$A$1,MATCH($E59,参数!$B$2:$B$16,0),)</f>
        <v>2</v>
      </c>
      <c r="G59" s="14">
        <v>1</v>
      </c>
      <c r="H59" s="14">
        <v>8</v>
      </c>
      <c r="I59" s="14">
        <v>6</v>
      </c>
      <c r="J59" s="14">
        <v>4</v>
      </c>
      <c r="K59" s="14"/>
      <c r="L59" s="14"/>
      <c r="M59" s="14"/>
      <c r="N59" s="14"/>
      <c r="O59" s="14"/>
      <c r="P59" s="14"/>
      <c r="Q59" s="7">
        <v>1</v>
      </c>
      <c r="R59" s="7">
        <v>0.7</v>
      </c>
      <c r="S59" s="7">
        <v>0.8</v>
      </c>
      <c r="T59" s="7">
        <v>0.9</v>
      </c>
      <c r="U59" s="7"/>
      <c r="V59" s="7"/>
      <c r="W59" s="7"/>
      <c r="X59" s="7"/>
      <c r="Y59" s="7"/>
      <c r="Z59" s="7"/>
      <c r="AA59" s="28">
        <f t="shared" si="6"/>
        <v>57</v>
      </c>
      <c r="AB59" s="28">
        <f t="shared" ca="1" si="0"/>
        <v>20028</v>
      </c>
      <c r="AC59" s="28">
        <f t="shared" ca="1" si="1"/>
        <v>5</v>
      </c>
      <c r="AD59" s="29">
        <f t="shared" ca="1" si="2"/>
        <v>8000</v>
      </c>
      <c r="AE59" s="28" t="str">
        <f t="shared" ca="1" si="3"/>
        <v>副本28</v>
      </c>
      <c r="AF59" s="28">
        <f t="shared" si="4"/>
        <v>28</v>
      </c>
      <c r="AG59" s="28">
        <f>COUNTIF(AF$3:AF59,AF59)-1</f>
        <v>1</v>
      </c>
    </row>
    <row r="60" spans="1:33" x14ac:dyDescent="0.25">
      <c r="A60" s="27">
        <f ca="1">COUNTIF($F$3:F60,F60)+F60*$F$1</f>
        <v>20058</v>
      </c>
      <c r="B60" s="27" t="str">
        <f ca="1">E60 &amp; COUNTIF($F$3:F60,F60)</f>
        <v>副本58</v>
      </c>
      <c r="C60" s="14">
        <f t="shared" si="7"/>
        <v>4</v>
      </c>
      <c r="D60" s="14">
        <f>IF(C60=0,"",SUM(C$3:C60))</f>
        <v>154</v>
      </c>
      <c r="E60" s="27" t="s">
        <v>33</v>
      </c>
      <c r="F60" s="27">
        <f ca="1">OFFSET(参数!$A$1,MATCH($E60,参数!$B$2:$B$16,0),)</f>
        <v>2</v>
      </c>
      <c r="G60" s="14">
        <v>1</v>
      </c>
      <c r="H60" s="14">
        <v>8</v>
      </c>
      <c r="I60" s="14">
        <v>6</v>
      </c>
      <c r="J60" s="14">
        <v>4</v>
      </c>
      <c r="K60" s="14"/>
      <c r="L60" s="14"/>
      <c r="M60" s="14"/>
      <c r="N60" s="14"/>
      <c r="O60" s="14"/>
      <c r="P60" s="14"/>
      <c r="Q60" s="7">
        <v>1</v>
      </c>
      <c r="R60" s="7">
        <v>0.7</v>
      </c>
      <c r="S60" s="7">
        <v>0.8</v>
      </c>
      <c r="T60" s="7">
        <v>0.9</v>
      </c>
      <c r="U60" s="7"/>
      <c r="V60" s="7"/>
      <c r="W60" s="7"/>
      <c r="X60" s="7"/>
      <c r="Y60" s="7"/>
      <c r="Z60" s="7"/>
      <c r="AA60" s="28">
        <f t="shared" si="6"/>
        <v>58</v>
      </c>
      <c r="AB60" s="28">
        <f t="shared" ca="1" si="0"/>
        <v>20028</v>
      </c>
      <c r="AC60" s="28">
        <f t="shared" ca="1" si="1"/>
        <v>3</v>
      </c>
      <c r="AD60" s="29">
        <f t="shared" ca="1" si="2"/>
        <v>9000</v>
      </c>
      <c r="AE60" s="28" t="str">
        <f t="shared" ca="1" si="3"/>
        <v>副本28</v>
      </c>
      <c r="AF60" s="28">
        <f t="shared" si="4"/>
        <v>28</v>
      </c>
      <c r="AG60" s="28">
        <f>COUNTIF(AF$3:AF60,AF60)-1</f>
        <v>2</v>
      </c>
    </row>
    <row r="61" spans="1:33" x14ac:dyDescent="0.25">
      <c r="A61" s="27">
        <f ca="1">COUNTIF($F$3:F61,F61)+F61*$F$1</f>
        <v>20059</v>
      </c>
      <c r="B61" s="27" t="str">
        <f ca="1">E61 &amp; COUNTIF($F$3:F61,F61)</f>
        <v>副本59</v>
      </c>
      <c r="C61" s="14">
        <f t="shared" si="7"/>
        <v>4</v>
      </c>
      <c r="D61" s="14">
        <f>IF(C61=0,"",SUM(C$3:C61))</f>
        <v>158</v>
      </c>
      <c r="E61" s="27" t="s">
        <v>33</v>
      </c>
      <c r="F61" s="27">
        <f ca="1">OFFSET(参数!$A$1,MATCH($E61,参数!$B$2:$B$16,0),)</f>
        <v>2</v>
      </c>
      <c r="G61" s="14">
        <v>1</v>
      </c>
      <c r="H61" s="14">
        <v>9</v>
      </c>
      <c r="I61" s="14">
        <v>7</v>
      </c>
      <c r="J61" s="14">
        <v>3</v>
      </c>
      <c r="K61" s="14"/>
      <c r="L61" s="14"/>
      <c r="M61" s="14"/>
      <c r="N61" s="14"/>
      <c r="O61" s="14"/>
      <c r="P61" s="14"/>
      <c r="Q61" s="7">
        <v>1</v>
      </c>
      <c r="R61" s="7">
        <v>0.7</v>
      </c>
      <c r="S61" s="7">
        <v>0.8</v>
      </c>
      <c r="T61" s="7">
        <v>0.9</v>
      </c>
      <c r="U61" s="7"/>
      <c r="V61" s="7"/>
      <c r="W61" s="7"/>
      <c r="X61" s="7"/>
      <c r="Y61" s="7"/>
      <c r="Z61" s="7"/>
      <c r="AA61" s="28">
        <f t="shared" si="6"/>
        <v>59</v>
      </c>
      <c r="AB61" s="28">
        <f t="shared" ca="1" si="0"/>
        <v>20029</v>
      </c>
      <c r="AC61" s="28">
        <f t="shared" ca="1" si="1"/>
        <v>1</v>
      </c>
      <c r="AD61" s="29">
        <f t="shared" ca="1" si="2"/>
        <v>10000</v>
      </c>
      <c r="AE61" s="28" t="str">
        <f t="shared" ca="1" si="3"/>
        <v>副本29</v>
      </c>
      <c r="AF61" s="28">
        <f t="shared" si="4"/>
        <v>29</v>
      </c>
      <c r="AG61" s="28">
        <f>COUNTIF(AF$3:AF61,AF61)-1</f>
        <v>0</v>
      </c>
    </row>
    <row r="62" spans="1:33" x14ac:dyDescent="0.25">
      <c r="A62" s="27">
        <f ca="1">COUNTIF($F$3:F62,F62)+F62*$F$1</f>
        <v>20060</v>
      </c>
      <c r="B62" s="27" t="str">
        <f ca="1">E62 &amp; COUNTIF($F$3:F62,F62)</f>
        <v>副本60</v>
      </c>
      <c r="C62" s="14">
        <f t="shared" si="7"/>
        <v>4</v>
      </c>
      <c r="D62" s="14">
        <f>IF(C62=0,"",SUM(C$3:C62))</f>
        <v>162</v>
      </c>
      <c r="E62" s="27" t="s">
        <v>33</v>
      </c>
      <c r="F62" s="27">
        <f ca="1">OFFSET(参数!$A$1,MATCH($E62,参数!$B$2:$B$16,0),)</f>
        <v>2</v>
      </c>
      <c r="G62" s="14">
        <v>1</v>
      </c>
      <c r="H62" s="14">
        <v>9</v>
      </c>
      <c r="I62" s="14">
        <v>7</v>
      </c>
      <c r="J62" s="14">
        <v>3</v>
      </c>
      <c r="K62" s="14"/>
      <c r="L62" s="14"/>
      <c r="M62" s="14"/>
      <c r="N62" s="14"/>
      <c r="O62" s="14"/>
      <c r="P62" s="14"/>
      <c r="Q62" s="7">
        <v>1</v>
      </c>
      <c r="R62" s="7">
        <v>0.7</v>
      </c>
      <c r="S62" s="7">
        <v>0.8</v>
      </c>
      <c r="T62" s="7">
        <v>0.9</v>
      </c>
      <c r="U62" s="7"/>
      <c r="V62" s="7"/>
      <c r="W62" s="7"/>
      <c r="X62" s="7"/>
      <c r="Y62" s="7"/>
      <c r="Z62" s="7"/>
      <c r="AA62" s="28">
        <f t="shared" si="6"/>
        <v>60</v>
      </c>
      <c r="AB62" s="28">
        <f t="shared" ca="1" si="0"/>
        <v>20029</v>
      </c>
      <c r="AC62" s="28">
        <f t="shared" ca="1" si="1"/>
        <v>6</v>
      </c>
      <c r="AD62" s="29">
        <f t="shared" ca="1" si="2"/>
        <v>8000</v>
      </c>
      <c r="AE62" s="28" t="str">
        <f t="shared" ca="1" si="3"/>
        <v>副本29</v>
      </c>
      <c r="AF62" s="28">
        <f t="shared" si="4"/>
        <v>29</v>
      </c>
      <c r="AG62" s="28">
        <f>COUNTIF(AF$3:AF62,AF62)-1</f>
        <v>1</v>
      </c>
    </row>
    <row r="63" spans="1:33" x14ac:dyDescent="0.25">
      <c r="A63" s="27">
        <f ca="1">COUNTIF($F$3:F63,F63)+F63*$F$1</f>
        <v>20061</v>
      </c>
      <c r="B63" s="27" t="str">
        <f ca="1">E63 &amp; COUNTIF($F$3:F63,F63)</f>
        <v>副本61</v>
      </c>
      <c r="C63" s="14">
        <f t="shared" si="7"/>
        <v>4</v>
      </c>
      <c r="D63" s="14">
        <f>IF(C63=0,"",SUM(C$3:C63))</f>
        <v>166</v>
      </c>
      <c r="E63" s="27" t="s">
        <v>33</v>
      </c>
      <c r="F63" s="27">
        <f ca="1">OFFSET(参数!$A$1,MATCH($E63,参数!$B$2:$B$16,0),)</f>
        <v>2</v>
      </c>
      <c r="G63" s="14">
        <v>1</v>
      </c>
      <c r="H63" s="14">
        <v>9</v>
      </c>
      <c r="I63" s="14">
        <v>7</v>
      </c>
      <c r="J63" s="14">
        <v>3</v>
      </c>
      <c r="K63" s="14"/>
      <c r="L63" s="14"/>
      <c r="M63" s="14"/>
      <c r="N63" s="14"/>
      <c r="O63" s="14"/>
      <c r="P63" s="14"/>
      <c r="Q63" s="7">
        <v>1</v>
      </c>
      <c r="R63" s="7">
        <v>0.7</v>
      </c>
      <c r="S63" s="7">
        <v>0.8</v>
      </c>
      <c r="T63" s="7">
        <v>0.9</v>
      </c>
      <c r="U63" s="7"/>
      <c r="V63" s="7"/>
      <c r="W63" s="7"/>
      <c r="X63" s="7"/>
      <c r="Y63" s="7"/>
      <c r="Z63" s="7"/>
      <c r="AA63" s="28">
        <f t="shared" si="6"/>
        <v>61</v>
      </c>
      <c r="AB63" s="28">
        <f t="shared" ca="1" si="0"/>
        <v>20029</v>
      </c>
      <c r="AC63" s="28">
        <f t="shared" ca="1" si="1"/>
        <v>2</v>
      </c>
      <c r="AD63" s="29">
        <f t="shared" ca="1" si="2"/>
        <v>9000</v>
      </c>
      <c r="AE63" s="28" t="str">
        <f t="shared" ca="1" si="3"/>
        <v>副本29</v>
      </c>
      <c r="AF63" s="28">
        <f t="shared" si="4"/>
        <v>29</v>
      </c>
      <c r="AG63" s="28">
        <f>COUNTIF(AF$3:AF63,AF63)-1</f>
        <v>2</v>
      </c>
    </row>
    <row r="64" spans="1:33" x14ac:dyDescent="0.25">
      <c r="A64" s="27">
        <f ca="1">COUNTIF($F$3:F64,F64)+F64*$F$1</f>
        <v>20062</v>
      </c>
      <c r="B64" s="27" t="str">
        <f ca="1">E64 &amp; COUNTIF($F$3:F64,F64)</f>
        <v>副本62</v>
      </c>
      <c r="C64" s="14">
        <f t="shared" si="7"/>
        <v>4</v>
      </c>
      <c r="D64" s="14">
        <f>IF(C64=0,"",SUM(C$3:C64))</f>
        <v>170</v>
      </c>
      <c r="E64" s="27" t="s">
        <v>33</v>
      </c>
      <c r="F64" s="27">
        <f ca="1">OFFSET(参数!$A$1,MATCH($E64,参数!$B$2:$B$16,0),)</f>
        <v>2</v>
      </c>
      <c r="G64" s="14">
        <v>1</v>
      </c>
      <c r="H64" s="14">
        <v>10</v>
      </c>
      <c r="I64" s="14">
        <v>5</v>
      </c>
      <c r="J64" s="14">
        <v>2</v>
      </c>
      <c r="K64" s="14"/>
      <c r="L64" s="14"/>
      <c r="M64" s="14"/>
      <c r="N64" s="14"/>
      <c r="O64" s="14"/>
      <c r="P64" s="14"/>
      <c r="Q64" s="7">
        <v>1</v>
      </c>
      <c r="R64" s="7">
        <v>0.7</v>
      </c>
      <c r="S64" s="7">
        <v>0.8</v>
      </c>
      <c r="T64" s="7">
        <v>0.9</v>
      </c>
      <c r="U64" s="7"/>
      <c r="V64" s="7"/>
      <c r="W64" s="7"/>
      <c r="X64" s="7"/>
      <c r="Y64" s="7"/>
      <c r="Z64" s="7"/>
      <c r="AA64" s="28">
        <f t="shared" si="6"/>
        <v>62</v>
      </c>
      <c r="AB64" s="28">
        <f t="shared" ca="1" si="0"/>
        <v>20030</v>
      </c>
      <c r="AC64" s="28">
        <f t="shared" ca="1" si="1"/>
        <v>1</v>
      </c>
      <c r="AD64" s="29">
        <f t="shared" ca="1" si="2"/>
        <v>10000</v>
      </c>
      <c r="AE64" s="28" t="str">
        <f t="shared" ca="1" si="3"/>
        <v>副本30</v>
      </c>
      <c r="AF64" s="28">
        <f t="shared" si="4"/>
        <v>30</v>
      </c>
      <c r="AG64" s="28">
        <f>COUNTIF(AF$3:AF64,AF64)-1</f>
        <v>0</v>
      </c>
    </row>
    <row r="65" spans="1:33" x14ac:dyDescent="0.25">
      <c r="A65" s="27">
        <f ca="1">COUNTIF($F$3:F65,F65)+F65*$F$1</f>
        <v>20063</v>
      </c>
      <c r="B65" s="27" t="str">
        <f ca="1">E65 &amp; COUNTIF($F$3:F65,F65)</f>
        <v>副本63</v>
      </c>
      <c r="C65" s="14">
        <f t="shared" si="7"/>
        <v>4</v>
      </c>
      <c r="D65" s="14">
        <f>IF(C65=0,"",SUM(C$3:C65))</f>
        <v>174</v>
      </c>
      <c r="E65" s="27" t="s">
        <v>33</v>
      </c>
      <c r="F65" s="27">
        <f ca="1">OFFSET(参数!$A$1,MATCH($E65,参数!$B$2:$B$16,0),)</f>
        <v>2</v>
      </c>
      <c r="G65" s="14">
        <v>1</v>
      </c>
      <c r="H65" s="14">
        <v>10</v>
      </c>
      <c r="I65" s="14">
        <v>5</v>
      </c>
      <c r="J65" s="14">
        <v>2</v>
      </c>
      <c r="K65" s="14"/>
      <c r="L65" s="14"/>
      <c r="M65" s="14"/>
      <c r="N65" s="14"/>
      <c r="O65" s="14"/>
      <c r="P65" s="14"/>
      <c r="Q65" s="7">
        <v>1</v>
      </c>
      <c r="R65" s="7">
        <v>0.7</v>
      </c>
      <c r="S65" s="7">
        <v>0.8</v>
      </c>
      <c r="T65" s="7">
        <v>0.9</v>
      </c>
      <c r="U65" s="7"/>
      <c r="V65" s="7"/>
      <c r="W65" s="7"/>
      <c r="X65" s="7"/>
      <c r="Y65" s="7"/>
      <c r="Z65" s="7"/>
      <c r="AA65" s="28">
        <f t="shared" si="6"/>
        <v>63</v>
      </c>
      <c r="AB65" s="28">
        <f t="shared" ca="1" si="0"/>
        <v>20030</v>
      </c>
      <c r="AC65" s="28">
        <f t="shared" ca="1" si="1"/>
        <v>6</v>
      </c>
      <c r="AD65" s="29">
        <f t="shared" ca="1" si="2"/>
        <v>8000</v>
      </c>
      <c r="AE65" s="28" t="str">
        <f t="shared" ca="1" si="3"/>
        <v>副本30</v>
      </c>
      <c r="AF65" s="28">
        <f t="shared" si="4"/>
        <v>30</v>
      </c>
      <c r="AG65" s="28">
        <f>COUNTIF(AF$3:AF65,AF65)-1</f>
        <v>1</v>
      </c>
    </row>
    <row r="66" spans="1:33" x14ac:dyDescent="0.25">
      <c r="A66" s="27">
        <f ca="1">COUNTIF($F$3:F66,F66)+F66*$F$1</f>
        <v>20064</v>
      </c>
      <c r="B66" s="27" t="str">
        <f ca="1">E66 &amp; COUNTIF($F$3:F66,F66)</f>
        <v>副本64</v>
      </c>
      <c r="C66" s="14">
        <f t="shared" si="7"/>
        <v>4</v>
      </c>
      <c r="D66" s="14">
        <f>IF(C66=0,"",SUM(C$3:C66))</f>
        <v>178</v>
      </c>
      <c r="E66" s="27" t="s">
        <v>33</v>
      </c>
      <c r="F66" s="27">
        <f ca="1">OFFSET(参数!$A$1,MATCH($E66,参数!$B$2:$B$16,0),)</f>
        <v>2</v>
      </c>
      <c r="G66" s="14">
        <v>1</v>
      </c>
      <c r="H66" s="14">
        <v>10</v>
      </c>
      <c r="I66" s="14">
        <v>5</v>
      </c>
      <c r="J66" s="14">
        <v>2</v>
      </c>
      <c r="K66" s="14"/>
      <c r="L66" s="14"/>
      <c r="M66" s="14"/>
      <c r="N66" s="14"/>
      <c r="O66" s="14"/>
      <c r="P66" s="14"/>
      <c r="Q66" s="7">
        <v>1</v>
      </c>
      <c r="R66" s="7">
        <v>0.7</v>
      </c>
      <c r="S66" s="7">
        <v>0.8</v>
      </c>
      <c r="T66" s="7">
        <v>0.9</v>
      </c>
      <c r="U66" s="7"/>
      <c r="V66" s="7"/>
      <c r="W66" s="7"/>
      <c r="X66" s="7"/>
      <c r="Y66" s="7"/>
      <c r="Z66" s="7"/>
      <c r="AA66" s="28">
        <f t="shared" si="6"/>
        <v>64</v>
      </c>
      <c r="AB66" s="28">
        <f t="shared" ca="1" si="0"/>
        <v>20030</v>
      </c>
      <c r="AC66" s="28">
        <f t="shared" ca="1" si="1"/>
        <v>2</v>
      </c>
      <c r="AD66" s="29">
        <f t="shared" ca="1" si="2"/>
        <v>9000</v>
      </c>
      <c r="AE66" s="28" t="str">
        <f t="shared" ca="1" si="3"/>
        <v>副本30</v>
      </c>
      <c r="AF66" s="28">
        <f t="shared" si="4"/>
        <v>30</v>
      </c>
      <c r="AG66" s="28">
        <f>COUNTIF(AF$3:AF66,AF66)-1</f>
        <v>2</v>
      </c>
    </row>
    <row r="67" spans="1:33" x14ac:dyDescent="0.25">
      <c r="A67" s="27">
        <f ca="1">COUNTIF($F$3:F67,F67)+F67*$F$1</f>
        <v>20065</v>
      </c>
      <c r="B67" s="27" t="str">
        <f ca="1">E67 &amp; COUNTIF($F$3:F67,F67)</f>
        <v>副本65</v>
      </c>
      <c r="C67" s="14">
        <f t="shared" si="7"/>
        <v>1</v>
      </c>
      <c r="D67" s="14">
        <f>IF(C67=0,"",SUM(C$3:C67))</f>
        <v>179</v>
      </c>
      <c r="E67" s="27" t="s">
        <v>33</v>
      </c>
      <c r="F67" s="27">
        <f ca="1">OFFSET(参数!$A$1,MATCH($E67,参数!$B$2:$B$16,0),)</f>
        <v>2</v>
      </c>
      <c r="G67" s="14">
        <v>1</v>
      </c>
      <c r="H67" s="14"/>
      <c r="I67" s="14"/>
      <c r="J67" s="14"/>
      <c r="K67" s="14"/>
      <c r="L67" s="14"/>
      <c r="M67" s="14"/>
      <c r="N67" s="14"/>
      <c r="O67" s="14"/>
      <c r="P67" s="14"/>
      <c r="Q67" s="7">
        <v>1</v>
      </c>
      <c r="R67" s="7"/>
      <c r="S67" s="7"/>
      <c r="T67" s="7"/>
      <c r="U67" s="7"/>
      <c r="V67" s="7"/>
      <c r="W67" s="7"/>
      <c r="X67" s="7"/>
      <c r="Y67" s="7"/>
      <c r="Z67" s="7"/>
      <c r="AA67" s="28">
        <f t="shared" si="6"/>
        <v>65</v>
      </c>
      <c r="AB67" s="28">
        <f t="shared" ref="AB67:AB130" ca="1" si="8">OFFSET(A$2,$AF67,)</f>
        <v>20031</v>
      </c>
      <c r="AC67" s="28">
        <f t="shared" ref="AC67:AC130" ca="1" si="9">OFFSET($G$2,$AF67,$AG67)</f>
        <v>1</v>
      </c>
      <c r="AD67" s="29">
        <f t="shared" ref="AD67:AD130" ca="1" si="10">OFFSET($Q$2,$AF67,$AG67)*$AD$1</f>
        <v>10000</v>
      </c>
      <c r="AE67" s="28" t="str">
        <f t="shared" ref="AE67:AE130" ca="1" si="11">OFFSET(B$2,$AF67,)</f>
        <v>副本31</v>
      </c>
      <c r="AF67" s="28">
        <f t="shared" ref="AF67:AF130" si="12">FREQUENCY(D:D,AA67-0.1)+1</f>
        <v>31</v>
      </c>
      <c r="AG67" s="28">
        <f>COUNTIF(AF$3:AF67,AF67)-1</f>
        <v>0</v>
      </c>
    </row>
    <row r="68" spans="1:33" x14ac:dyDescent="0.25">
      <c r="A68" s="27">
        <f ca="1">COUNTIF($F$3:F68,F68)+F68*$F$1</f>
        <v>20066</v>
      </c>
      <c r="B68" s="27" t="str">
        <f ca="1">E68 &amp; COUNTIF($F$3:F68,F68)</f>
        <v>副本66</v>
      </c>
      <c r="C68" s="14">
        <f t="shared" si="7"/>
        <v>4</v>
      </c>
      <c r="D68" s="14">
        <f>IF(C68=0,"",SUM(C$3:C68))</f>
        <v>183</v>
      </c>
      <c r="E68" s="27" t="s">
        <v>33</v>
      </c>
      <c r="F68" s="27">
        <f ca="1">OFFSET(参数!$A$1,MATCH($E68,参数!$B$2:$B$16,0),)</f>
        <v>2</v>
      </c>
      <c r="G68" s="14">
        <v>1</v>
      </c>
      <c r="H68" s="14">
        <v>11</v>
      </c>
      <c r="I68" s="14">
        <v>6</v>
      </c>
      <c r="J68" s="14">
        <v>4</v>
      </c>
      <c r="K68" s="14"/>
      <c r="L68" s="14"/>
      <c r="M68" s="14"/>
      <c r="N68" s="14"/>
      <c r="O68" s="14"/>
      <c r="P68" s="14"/>
      <c r="Q68" s="7">
        <v>1</v>
      </c>
      <c r="R68" s="7">
        <v>0.6</v>
      </c>
      <c r="S68" s="7">
        <v>0.8</v>
      </c>
      <c r="T68" s="7">
        <v>0.9</v>
      </c>
      <c r="U68" s="7"/>
      <c r="V68" s="7"/>
      <c r="W68" s="7"/>
      <c r="X68" s="7"/>
      <c r="Y68" s="7"/>
      <c r="Z68" s="7"/>
      <c r="AA68" s="28">
        <f t="shared" ref="AA68:AA131" si="13">IF(ROW(A66)&gt;MAX(D:D),"",ROW(A66))</f>
        <v>66</v>
      </c>
      <c r="AB68" s="28">
        <f t="shared" ca="1" si="8"/>
        <v>20031</v>
      </c>
      <c r="AC68" s="28">
        <f t="shared" ca="1" si="9"/>
        <v>6</v>
      </c>
      <c r="AD68" s="29">
        <f t="shared" ca="1" si="10"/>
        <v>8000</v>
      </c>
      <c r="AE68" s="28" t="str">
        <f t="shared" ca="1" si="11"/>
        <v>副本31</v>
      </c>
      <c r="AF68" s="28">
        <f t="shared" si="12"/>
        <v>31</v>
      </c>
      <c r="AG68" s="28">
        <f>COUNTIF(AF$3:AF68,AF68)-1</f>
        <v>1</v>
      </c>
    </row>
    <row r="69" spans="1:33" x14ac:dyDescent="0.25">
      <c r="A69" s="27">
        <f ca="1">COUNTIF($F$3:F69,F69)+F69*$F$1</f>
        <v>20067</v>
      </c>
      <c r="B69" s="27" t="str">
        <f ca="1">E69 &amp; COUNTIF($F$3:F69,F69)</f>
        <v>副本67</v>
      </c>
      <c r="C69" s="14">
        <f t="shared" si="7"/>
        <v>4</v>
      </c>
      <c r="D69" s="14">
        <f>IF(C69=0,"",SUM(C$3:C69))</f>
        <v>187</v>
      </c>
      <c r="E69" s="27" t="s">
        <v>33</v>
      </c>
      <c r="F69" s="27">
        <f ca="1">OFFSET(参数!$A$1,MATCH($E69,参数!$B$2:$B$16,0),)</f>
        <v>2</v>
      </c>
      <c r="G69" s="14">
        <v>1</v>
      </c>
      <c r="H69" s="14">
        <v>11</v>
      </c>
      <c r="I69" s="14">
        <v>6</v>
      </c>
      <c r="J69" s="14">
        <v>4</v>
      </c>
      <c r="K69" s="14"/>
      <c r="L69" s="14"/>
      <c r="M69" s="14"/>
      <c r="N69" s="14"/>
      <c r="O69" s="14"/>
      <c r="P69" s="14"/>
      <c r="Q69" s="7">
        <v>1</v>
      </c>
      <c r="R69" s="7">
        <v>0.6</v>
      </c>
      <c r="S69" s="7">
        <v>0.8</v>
      </c>
      <c r="T69" s="7">
        <v>0.9</v>
      </c>
      <c r="U69" s="7"/>
      <c r="V69" s="7"/>
      <c r="W69" s="7"/>
      <c r="X69" s="7"/>
      <c r="Y69" s="7"/>
      <c r="Z69" s="7"/>
      <c r="AA69" s="28">
        <f t="shared" si="13"/>
        <v>67</v>
      </c>
      <c r="AB69" s="28">
        <f t="shared" ca="1" si="8"/>
        <v>20031</v>
      </c>
      <c r="AC69" s="28">
        <f t="shared" ca="1" si="9"/>
        <v>2</v>
      </c>
      <c r="AD69" s="29">
        <f t="shared" ca="1" si="10"/>
        <v>9000</v>
      </c>
      <c r="AE69" s="28" t="str">
        <f t="shared" ca="1" si="11"/>
        <v>副本31</v>
      </c>
      <c r="AF69" s="28">
        <f t="shared" si="12"/>
        <v>31</v>
      </c>
      <c r="AG69" s="28">
        <f>COUNTIF(AF$3:AF69,AF69)-1</f>
        <v>2</v>
      </c>
    </row>
    <row r="70" spans="1:33" x14ac:dyDescent="0.25">
      <c r="A70" s="27">
        <f ca="1">COUNTIF($F$3:F70,F70)+F70*$F$1</f>
        <v>20068</v>
      </c>
      <c r="B70" s="27" t="str">
        <f ca="1">E70 &amp; COUNTIF($F$3:F70,F70)</f>
        <v>副本68</v>
      </c>
      <c r="C70" s="14">
        <f t="shared" si="7"/>
        <v>4</v>
      </c>
      <c r="D70" s="14">
        <f>IF(C70=0,"",SUM(C$3:C70))</f>
        <v>191</v>
      </c>
      <c r="E70" s="27" t="s">
        <v>33</v>
      </c>
      <c r="F70" s="27">
        <f ca="1">OFFSET(参数!$A$1,MATCH($E70,参数!$B$2:$B$16,0),)</f>
        <v>2</v>
      </c>
      <c r="G70" s="14">
        <v>1</v>
      </c>
      <c r="H70" s="14">
        <v>11</v>
      </c>
      <c r="I70" s="14">
        <v>6</v>
      </c>
      <c r="J70" s="14">
        <v>4</v>
      </c>
      <c r="K70" s="14"/>
      <c r="L70" s="14"/>
      <c r="M70" s="14"/>
      <c r="N70" s="14"/>
      <c r="O70" s="14"/>
      <c r="P70" s="14"/>
      <c r="Q70" s="7">
        <v>1</v>
      </c>
      <c r="R70" s="7">
        <v>0.6</v>
      </c>
      <c r="S70" s="7">
        <v>0.8</v>
      </c>
      <c r="T70" s="7">
        <v>0.9</v>
      </c>
      <c r="U70" s="7"/>
      <c r="V70" s="7"/>
      <c r="W70" s="7"/>
      <c r="X70" s="7"/>
      <c r="Y70" s="7"/>
      <c r="Z70" s="7"/>
      <c r="AA70" s="28">
        <f t="shared" si="13"/>
        <v>68</v>
      </c>
      <c r="AB70" s="28">
        <f t="shared" ca="1" si="8"/>
        <v>20032</v>
      </c>
      <c r="AC70" s="28">
        <f t="shared" ca="1" si="9"/>
        <v>1</v>
      </c>
      <c r="AD70" s="29">
        <f t="shared" ca="1" si="10"/>
        <v>10000</v>
      </c>
      <c r="AE70" s="28" t="str">
        <f t="shared" ca="1" si="11"/>
        <v>副本32</v>
      </c>
      <c r="AF70" s="28">
        <f t="shared" si="12"/>
        <v>32</v>
      </c>
      <c r="AG70" s="28">
        <f>COUNTIF(AF$3:AF70,AF70)-1</f>
        <v>0</v>
      </c>
    </row>
    <row r="71" spans="1:33" x14ac:dyDescent="0.25">
      <c r="A71" s="27">
        <f ca="1">COUNTIF($F$3:F71,F71)+F71*$F$1</f>
        <v>20069</v>
      </c>
      <c r="B71" s="27" t="str">
        <f ca="1">E71 &amp; COUNTIF($F$3:F71,F71)</f>
        <v>副本69</v>
      </c>
      <c r="C71" s="14">
        <f t="shared" si="7"/>
        <v>4</v>
      </c>
      <c r="D71" s="14">
        <f>IF(C71=0,"",SUM(C$3:C71))</f>
        <v>195</v>
      </c>
      <c r="E71" s="27" t="s">
        <v>33</v>
      </c>
      <c r="F71" s="27">
        <f ca="1">OFFSET(参数!$A$1,MATCH($E71,参数!$B$2:$B$16,0),)</f>
        <v>2</v>
      </c>
      <c r="G71" s="14">
        <v>1</v>
      </c>
      <c r="H71" s="14">
        <v>12</v>
      </c>
      <c r="I71" s="14">
        <v>5</v>
      </c>
      <c r="J71" s="14">
        <v>2</v>
      </c>
      <c r="K71" s="14"/>
      <c r="L71" s="14"/>
      <c r="M71" s="14"/>
      <c r="N71" s="14"/>
      <c r="O71" s="14"/>
      <c r="P71" s="14"/>
      <c r="Q71" s="7">
        <v>1</v>
      </c>
      <c r="R71" s="7">
        <v>0.6</v>
      </c>
      <c r="S71" s="7">
        <v>0.8</v>
      </c>
      <c r="T71" s="7">
        <v>0.9</v>
      </c>
      <c r="U71" s="7"/>
      <c r="V71" s="7"/>
      <c r="W71" s="7"/>
      <c r="X71" s="7"/>
      <c r="Y71" s="7"/>
      <c r="Z71" s="7"/>
      <c r="AA71" s="28">
        <f t="shared" si="13"/>
        <v>69</v>
      </c>
      <c r="AB71" s="28">
        <f t="shared" ca="1" si="8"/>
        <v>20032</v>
      </c>
      <c r="AC71" s="28">
        <f t="shared" ca="1" si="9"/>
        <v>7</v>
      </c>
      <c r="AD71" s="29">
        <f t="shared" ca="1" si="10"/>
        <v>8000</v>
      </c>
      <c r="AE71" s="28" t="str">
        <f t="shared" ca="1" si="11"/>
        <v>副本32</v>
      </c>
      <c r="AF71" s="28">
        <f t="shared" si="12"/>
        <v>32</v>
      </c>
      <c r="AG71" s="28">
        <f>COUNTIF(AF$3:AF71,AF71)-1</f>
        <v>1</v>
      </c>
    </row>
    <row r="72" spans="1:33" x14ac:dyDescent="0.25">
      <c r="A72" s="27">
        <f ca="1">COUNTIF($F$3:F72,F72)+F72*$F$1</f>
        <v>20070</v>
      </c>
      <c r="B72" s="27" t="str">
        <f ca="1">E72 &amp; COUNTIF($F$3:F72,F72)</f>
        <v>副本70</v>
      </c>
      <c r="C72" s="14">
        <f t="shared" si="7"/>
        <v>4</v>
      </c>
      <c r="D72" s="14">
        <f>IF(C72=0,"",SUM(C$3:C72))</f>
        <v>199</v>
      </c>
      <c r="E72" s="27" t="s">
        <v>33</v>
      </c>
      <c r="F72" s="27">
        <f ca="1">OFFSET(参数!$A$1,MATCH($E72,参数!$B$2:$B$16,0),)</f>
        <v>2</v>
      </c>
      <c r="G72" s="14">
        <v>1</v>
      </c>
      <c r="H72" s="14">
        <v>12</v>
      </c>
      <c r="I72" s="14">
        <v>5</v>
      </c>
      <c r="J72" s="14">
        <v>2</v>
      </c>
      <c r="K72" s="14"/>
      <c r="L72" s="14"/>
      <c r="M72" s="14"/>
      <c r="N72" s="14"/>
      <c r="O72" s="14"/>
      <c r="P72" s="14"/>
      <c r="Q72" s="7">
        <v>1</v>
      </c>
      <c r="R72" s="7">
        <v>0.6</v>
      </c>
      <c r="S72" s="7">
        <v>0.8</v>
      </c>
      <c r="T72" s="7">
        <v>0.9</v>
      </c>
      <c r="U72" s="7"/>
      <c r="V72" s="7"/>
      <c r="W72" s="7"/>
      <c r="X72" s="7"/>
      <c r="Y72" s="7"/>
      <c r="Z72" s="7"/>
      <c r="AA72" s="28">
        <f t="shared" si="13"/>
        <v>70</v>
      </c>
      <c r="AB72" s="28">
        <f t="shared" ca="1" si="8"/>
        <v>20032</v>
      </c>
      <c r="AC72" s="28">
        <f t="shared" ca="1" si="9"/>
        <v>4</v>
      </c>
      <c r="AD72" s="29">
        <f t="shared" ca="1" si="10"/>
        <v>9000</v>
      </c>
      <c r="AE72" s="28" t="str">
        <f t="shared" ca="1" si="11"/>
        <v>副本32</v>
      </c>
      <c r="AF72" s="28">
        <f t="shared" si="12"/>
        <v>32</v>
      </c>
      <c r="AG72" s="28">
        <f>COUNTIF(AF$3:AF72,AF72)-1</f>
        <v>2</v>
      </c>
    </row>
    <row r="73" spans="1:33" x14ac:dyDescent="0.25">
      <c r="A73" s="27">
        <f ca="1">COUNTIF($F$3:F73,F73)+F73*$F$1</f>
        <v>20071</v>
      </c>
      <c r="B73" s="27" t="str">
        <f ca="1">E73 &amp; COUNTIF($F$3:F73,F73)</f>
        <v>副本71</v>
      </c>
      <c r="C73" s="14">
        <f t="shared" si="7"/>
        <v>4</v>
      </c>
      <c r="D73" s="14">
        <f>IF(C73=0,"",SUM(C$3:C73))</f>
        <v>203</v>
      </c>
      <c r="E73" s="27" t="s">
        <v>33</v>
      </c>
      <c r="F73" s="27">
        <f ca="1">OFFSET(参数!$A$1,MATCH($E73,参数!$B$2:$B$16,0),)</f>
        <v>2</v>
      </c>
      <c r="G73" s="14">
        <v>1</v>
      </c>
      <c r="H73" s="14">
        <v>12</v>
      </c>
      <c r="I73" s="14">
        <v>5</v>
      </c>
      <c r="J73" s="14">
        <v>2</v>
      </c>
      <c r="K73" s="14"/>
      <c r="L73" s="14"/>
      <c r="M73" s="14"/>
      <c r="N73" s="14"/>
      <c r="O73" s="14"/>
      <c r="P73" s="14"/>
      <c r="Q73" s="7">
        <v>1</v>
      </c>
      <c r="R73" s="7">
        <v>0.6</v>
      </c>
      <c r="S73" s="7">
        <v>0.8</v>
      </c>
      <c r="T73" s="7">
        <v>0.9</v>
      </c>
      <c r="U73" s="7"/>
      <c r="V73" s="7"/>
      <c r="W73" s="7"/>
      <c r="X73" s="7"/>
      <c r="Y73" s="7"/>
      <c r="Z73" s="7"/>
      <c r="AA73" s="28">
        <f t="shared" si="13"/>
        <v>71</v>
      </c>
      <c r="AB73" s="28">
        <f t="shared" ca="1" si="8"/>
        <v>20033</v>
      </c>
      <c r="AC73" s="28">
        <f t="shared" ca="1" si="9"/>
        <v>1</v>
      </c>
      <c r="AD73" s="29">
        <f t="shared" ca="1" si="10"/>
        <v>10000</v>
      </c>
      <c r="AE73" s="28" t="str">
        <f t="shared" ca="1" si="11"/>
        <v>副本33</v>
      </c>
      <c r="AF73" s="28">
        <f t="shared" si="12"/>
        <v>33</v>
      </c>
      <c r="AG73" s="28">
        <f>COUNTIF(AF$3:AF73,AF73)-1</f>
        <v>0</v>
      </c>
    </row>
    <row r="74" spans="1:33" x14ac:dyDescent="0.25">
      <c r="A74" s="27">
        <f ca="1">COUNTIF($F$3:F74,F74)+F74*$F$1</f>
        <v>20072</v>
      </c>
      <c r="B74" s="27" t="str">
        <f ca="1">E74 &amp; COUNTIF($F$3:F74,F74)</f>
        <v>副本72</v>
      </c>
      <c r="C74" s="14">
        <f t="shared" si="7"/>
        <v>4</v>
      </c>
      <c r="D74" s="14">
        <f>IF(C74=0,"",SUM(C$3:C74))</f>
        <v>207</v>
      </c>
      <c r="E74" s="27" t="s">
        <v>33</v>
      </c>
      <c r="F74" s="27">
        <f ca="1">OFFSET(参数!$A$1,MATCH($E74,参数!$B$2:$B$16,0),)</f>
        <v>2</v>
      </c>
      <c r="G74" s="14">
        <v>1</v>
      </c>
      <c r="H74" s="14">
        <v>13</v>
      </c>
      <c r="I74" s="14">
        <v>7</v>
      </c>
      <c r="J74" s="14">
        <v>3</v>
      </c>
      <c r="K74" s="14"/>
      <c r="L74" s="14"/>
      <c r="M74" s="14"/>
      <c r="N74" s="14"/>
      <c r="O74" s="14"/>
      <c r="P74" s="14"/>
      <c r="Q74" s="7">
        <v>1</v>
      </c>
      <c r="R74" s="7">
        <v>0.6</v>
      </c>
      <c r="S74" s="7">
        <v>0.8</v>
      </c>
      <c r="T74" s="7">
        <v>0.9</v>
      </c>
      <c r="U74" s="7"/>
      <c r="V74" s="7"/>
      <c r="W74" s="7"/>
      <c r="X74" s="7"/>
      <c r="Y74" s="7"/>
      <c r="Z74" s="7"/>
      <c r="AA74" s="28">
        <f t="shared" si="13"/>
        <v>72</v>
      </c>
      <c r="AB74" s="28">
        <f t="shared" ca="1" si="8"/>
        <v>20033</v>
      </c>
      <c r="AC74" s="28">
        <f t="shared" ca="1" si="9"/>
        <v>7</v>
      </c>
      <c r="AD74" s="29">
        <f t="shared" ca="1" si="10"/>
        <v>8000</v>
      </c>
      <c r="AE74" s="28" t="str">
        <f t="shared" ca="1" si="11"/>
        <v>副本33</v>
      </c>
      <c r="AF74" s="28">
        <f t="shared" si="12"/>
        <v>33</v>
      </c>
      <c r="AG74" s="28">
        <f>COUNTIF(AF$3:AF74,AF74)-1</f>
        <v>1</v>
      </c>
    </row>
    <row r="75" spans="1:33" x14ac:dyDescent="0.25">
      <c r="A75" s="27">
        <f ca="1">COUNTIF($F$3:F75,F75)+F75*$F$1</f>
        <v>20073</v>
      </c>
      <c r="B75" s="27" t="str">
        <f ca="1">E75 &amp; COUNTIF($F$3:F75,F75)</f>
        <v>副本73</v>
      </c>
      <c r="C75" s="14">
        <f t="shared" si="7"/>
        <v>4</v>
      </c>
      <c r="D75" s="14">
        <f>IF(C75=0,"",SUM(C$3:C75))</f>
        <v>211</v>
      </c>
      <c r="E75" s="27" t="s">
        <v>33</v>
      </c>
      <c r="F75" s="27">
        <f ca="1">OFFSET(参数!$A$1,MATCH($E75,参数!$B$2:$B$16,0),)</f>
        <v>2</v>
      </c>
      <c r="G75" s="14">
        <v>1</v>
      </c>
      <c r="H75" s="14">
        <v>13</v>
      </c>
      <c r="I75" s="14">
        <v>7</v>
      </c>
      <c r="J75" s="14">
        <v>3</v>
      </c>
      <c r="K75" s="14"/>
      <c r="L75" s="14"/>
      <c r="M75" s="14"/>
      <c r="N75" s="14"/>
      <c r="O75" s="14"/>
      <c r="P75" s="14"/>
      <c r="Q75" s="7">
        <v>1</v>
      </c>
      <c r="R75" s="7">
        <v>0.6</v>
      </c>
      <c r="S75" s="7">
        <v>0.8</v>
      </c>
      <c r="T75" s="7">
        <v>0.9</v>
      </c>
      <c r="U75" s="7"/>
      <c r="V75" s="7"/>
      <c r="W75" s="7"/>
      <c r="X75" s="7"/>
      <c r="Y75" s="7"/>
      <c r="Z75" s="7"/>
      <c r="AA75" s="28">
        <f t="shared" si="13"/>
        <v>73</v>
      </c>
      <c r="AB75" s="28">
        <f t="shared" ca="1" si="8"/>
        <v>20033</v>
      </c>
      <c r="AC75" s="28">
        <f t="shared" ca="1" si="9"/>
        <v>4</v>
      </c>
      <c r="AD75" s="29">
        <f t="shared" ca="1" si="10"/>
        <v>9000</v>
      </c>
      <c r="AE75" s="28" t="str">
        <f t="shared" ca="1" si="11"/>
        <v>副本33</v>
      </c>
      <c r="AF75" s="28">
        <f t="shared" si="12"/>
        <v>33</v>
      </c>
      <c r="AG75" s="28">
        <f>COUNTIF(AF$3:AF75,AF75)-1</f>
        <v>2</v>
      </c>
    </row>
    <row r="76" spans="1:33" x14ac:dyDescent="0.25">
      <c r="A76" s="27">
        <f ca="1">COUNTIF($F$3:F76,F76)+F76*$F$1</f>
        <v>20074</v>
      </c>
      <c r="B76" s="27" t="str">
        <f ca="1">E76 &amp; COUNTIF($F$3:F76,F76)</f>
        <v>副本74</v>
      </c>
      <c r="C76" s="14">
        <f t="shared" si="7"/>
        <v>4</v>
      </c>
      <c r="D76" s="14">
        <f>IF(C76=0,"",SUM(C$3:C76))</f>
        <v>215</v>
      </c>
      <c r="E76" s="27" t="s">
        <v>33</v>
      </c>
      <c r="F76" s="27">
        <f ca="1">OFFSET(参数!$A$1,MATCH($E76,参数!$B$2:$B$16,0),)</f>
        <v>2</v>
      </c>
      <c r="G76" s="14">
        <v>1</v>
      </c>
      <c r="H76" s="14">
        <v>13</v>
      </c>
      <c r="I76" s="14">
        <v>7</v>
      </c>
      <c r="J76" s="14">
        <v>3</v>
      </c>
      <c r="K76" s="14"/>
      <c r="L76" s="14"/>
      <c r="M76" s="14"/>
      <c r="N76" s="14"/>
      <c r="O76" s="14"/>
      <c r="P76" s="14"/>
      <c r="Q76" s="7">
        <v>1</v>
      </c>
      <c r="R76" s="7">
        <v>0.6</v>
      </c>
      <c r="S76" s="7">
        <v>0.8</v>
      </c>
      <c r="T76" s="7">
        <v>0.9</v>
      </c>
      <c r="U76" s="7"/>
      <c r="V76" s="7"/>
      <c r="W76" s="7"/>
      <c r="X76" s="7"/>
      <c r="Y76" s="7"/>
      <c r="Z76" s="7"/>
      <c r="AA76" s="28">
        <f t="shared" si="13"/>
        <v>74</v>
      </c>
      <c r="AB76" s="28">
        <f t="shared" ca="1" si="8"/>
        <v>20034</v>
      </c>
      <c r="AC76" s="28">
        <f t="shared" ca="1" si="9"/>
        <v>1</v>
      </c>
      <c r="AD76" s="29">
        <f t="shared" ca="1" si="10"/>
        <v>10000</v>
      </c>
      <c r="AE76" s="28" t="str">
        <f t="shared" ca="1" si="11"/>
        <v>副本34</v>
      </c>
      <c r="AF76" s="28">
        <f t="shared" si="12"/>
        <v>34</v>
      </c>
      <c r="AG76" s="28">
        <f>COUNTIF(AF$3:AF76,AF76)-1</f>
        <v>0</v>
      </c>
    </row>
    <row r="77" spans="1:33" x14ac:dyDescent="0.25">
      <c r="A77" s="27">
        <f ca="1">COUNTIF($F$3:F77,F77)+F77*$F$1</f>
        <v>20075</v>
      </c>
      <c r="B77" s="27" t="str">
        <f ca="1">E77 &amp; COUNTIF($F$3:F77,F77)</f>
        <v>副本75</v>
      </c>
      <c r="C77" s="14">
        <f t="shared" si="7"/>
        <v>1</v>
      </c>
      <c r="D77" s="14">
        <f>IF(C77=0,"",SUM(C$3:C77))</f>
        <v>216</v>
      </c>
      <c r="E77" s="27" t="s">
        <v>33</v>
      </c>
      <c r="F77" s="27">
        <f ca="1">OFFSET(参数!$A$1,MATCH($E77,参数!$B$2:$B$16,0),)</f>
        <v>2</v>
      </c>
      <c r="G77" s="14">
        <v>1</v>
      </c>
      <c r="H77" s="14"/>
      <c r="I77" s="14"/>
      <c r="J77" s="14"/>
      <c r="K77" s="14"/>
      <c r="L77" s="14"/>
      <c r="M77" s="14"/>
      <c r="N77" s="14"/>
      <c r="O77" s="14"/>
      <c r="P77" s="14"/>
      <c r="Q77" s="7">
        <v>1</v>
      </c>
      <c r="R77" s="7"/>
      <c r="S77" s="7"/>
      <c r="T77" s="7"/>
      <c r="U77" s="7"/>
      <c r="V77" s="7"/>
      <c r="W77" s="7"/>
      <c r="X77" s="7"/>
      <c r="Y77" s="7"/>
      <c r="Z77" s="7"/>
      <c r="AA77" s="28">
        <f t="shared" si="13"/>
        <v>75</v>
      </c>
      <c r="AB77" s="28">
        <f t="shared" ca="1" si="8"/>
        <v>20034</v>
      </c>
      <c r="AC77" s="28">
        <f t="shared" ca="1" si="9"/>
        <v>7</v>
      </c>
      <c r="AD77" s="29">
        <f t="shared" ca="1" si="10"/>
        <v>8000</v>
      </c>
      <c r="AE77" s="28" t="str">
        <f t="shared" ca="1" si="11"/>
        <v>副本34</v>
      </c>
      <c r="AF77" s="28">
        <f t="shared" si="12"/>
        <v>34</v>
      </c>
      <c r="AG77" s="28">
        <f>COUNTIF(AF$3:AF77,AF77)-1</f>
        <v>1</v>
      </c>
    </row>
    <row r="78" spans="1:33" x14ac:dyDescent="0.25">
      <c r="A78" s="27">
        <f ca="1">COUNTIF($F$3:F78,F78)+F78*$F$1</f>
        <v>20076</v>
      </c>
      <c r="B78" s="27" t="str">
        <f ca="1">E78 &amp; COUNTIF($F$3:F78,F78)</f>
        <v>副本76</v>
      </c>
      <c r="C78" s="14">
        <f t="shared" si="7"/>
        <v>4</v>
      </c>
      <c r="D78" s="14">
        <f>IF(C78=0,"",SUM(C$3:C78))</f>
        <v>220</v>
      </c>
      <c r="E78" s="27" t="s">
        <v>33</v>
      </c>
      <c r="F78" s="27">
        <f ca="1">OFFSET(参数!$A$1,MATCH($E78,参数!$B$2:$B$16,0),)</f>
        <v>2</v>
      </c>
      <c r="G78" s="14">
        <v>1</v>
      </c>
      <c r="H78" s="14">
        <v>11</v>
      </c>
      <c r="I78" s="14">
        <v>5</v>
      </c>
      <c r="J78" s="14">
        <v>4</v>
      </c>
      <c r="K78" s="14"/>
      <c r="L78" s="14"/>
      <c r="M78" s="14"/>
      <c r="N78" s="14"/>
      <c r="O78" s="14"/>
      <c r="P78" s="14"/>
      <c r="Q78" s="7">
        <v>1</v>
      </c>
      <c r="R78" s="7">
        <v>0.6</v>
      </c>
      <c r="S78" s="7">
        <v>0.8</v>
      </c>
      <c r="T78" s="7">
        <v>0.9</v>
      </c>
      <c r="U78" s="7"/>
      <c r="V78" s="7"/>
      <c r="W78" s="7"/>
      <c r="X78" s="7"/>
      <c r="Y78" s="7"/>
      <c r="Z78" s="7"/>
      <c r="AA78" s="28">
        <f t="shared" si="13"/>
        <v>76</v>
      </c>
      <c r="AB78" s="28">
        <f t="shared" ca="1" si="8"/>
        <v>20034</v>
      </c>
      <c r="AC78" s="28">
        <f t="shared" ca="1" si="9"/>
        <v>4</v>
      </c>
      <c r="AD78" s="29">
        <f t="shared" ca="1" si="10"/>
        <v>9000</v>
      </c>
      <c r="AE78" s="28" t="str">
        <f t="shared" ca="1" si="11"/>
        <v>副本34</v>
      </c>
      <c r="AF78" s="28">
        <f t="shared" si="12"/>
        <v>34</v>
      </c>
      <c r="AG78" s="28">
        <f>COUNTIF(AF$3:AF78,AF78)-1</f>
        <v>2</v>
      </c>
    </row>
    <row r="79" spans="1:33" x14ac:dyDescent="0.25">
      <c r="A79" s="27">
        <f ca="1">COUNTIF($F$3:F79,F79)+F79*$F$1</f>
        <v>20077</v>
      </c>
      <c r="B79" s="27" t="str">
        <f ca="1">E79 &amp; COUNTIF($F$3:F79,F79)</f>
        <v>副本77</v>
      </c>
      <c r="C79" s="14">
        <f t="shared" si="7"/>
        <v>4</v>
      </c>
      <c r="D79" s="14">
        <f>IF(C79=0,"",SUM(C$3:C79))</f>
        <v>224</v>
      </c>
      <c r="E79" s="27" t="s">
        <v>33</v>
      </c>
      <c r="F79" s="27">
        <f ca="1">OFFSET(参数!$A$1,MATCH($E79,参数!$B$2:$B$16,0),)</f>
        <v>2</v>
      </c>
      <c r="G79" s="14">
        <v>1</v>
      </c>
      <c r="H79" s="14">
        <v>11</v>
      </c>
      <c r="I79" s="14">
        <v>5</v>
      </c>
      <c r="J79" s="14">
        <v>4</v>
      </c>
      <c r="K79" s="14"/>
      <c r="L79" s="14"/>
      <c r="M79" s="14"/>
      <c r="N79" s="14"/>
      <c r="O79" s="14"/>
      <c r="P79" s="14"/>
      <c r="Q79" s="7">
        <v>1</v>
      </c>
      <c r="R79" s="7">
        <v>0.6</v>
      </c>
      <c r="S79" s="7">
        <v>0.8</v>
      </c>
      <c r="T79" s="7">
        <v>0.9</v>
      </c>
      <c r="U79" s="7"/>
      <c r="V79" s="7"/>
      <c r="W79" s="7"/>
      <c r="X79" s="7"/>
      <c r="Y79" s="7"/>
      <c r="Z79" s="7"/>
      <c r="AA79" s="28">
        <f t="shared" si="13"/>
        <v>77</v>
      </c>
      <c r="AB79" s="28">
        <f t="shared" ca="1" si="8"/>
        <v>20035</v>
      </c>
      <c r="AC79" s="28">
        <f t="shared" ca="1" si="9"/>
        <v>1</v>
      </c>
      <c r="AD79" s="29">
        <f t="shared" ca="1" si="10"/>
        <v>10000</v>
      </c>
      <c r="AE79" s="28" t="str">
        <f t="shared" ca="1" si="11"/>
        <v>副本35</v>
      </c>
      <c r="AF79" s="28">
        <f t="shared" si="12"/>
        <v>35</v>
      </c>
      <c r="AG79" s="28">
        <f>COUNTIF(AF$3:AF79,AF79)-1</f>
        <v>0</v>
      </c>
    </row>
    <row r="80" spans="1:33" x14ac:dyDescent="0.25">
      <c r="A80" s="27">
        <f ca="1">COUNTIF($F$3:F80,F80)+F80*$F$1</f>
        <v>20078</v>
      </c>
      <c r="B80" s="27" t="str">
        <f ca="1">E80 &amp; COUNTIF($F$3:F80,F80)</f>
        <v>副本78</v>
      </c>
      <c r="C80" s="14">
        <f t="shared" si="7"/>
        <v>4</v>
      </c>
      <c r="D80" s="14">
        <f>IF(C80=0,"",SUM(C$3:C80))</f>
        <v>228</v>
      </c>
      <c r="E80" s="27" t="s">
        <v>33</v>
      </c>
      <c r="F80" s="27">
        <f ca="1">OFFSET(参数!$A$1,MATCH($E80,参数!$B$2:$B$16,0),)</f>
        <v>2</v>
      </c>
      <c r="G80" s="14">
        <v>1</v>
      </c>
      <c r="H80" s="14">
        <v>11</v>
      </c>
      <c r="I80" s="14">
        <v>5</v>
      </c>
      <c r="J80" s="14">
        <v>4</v>
      </c>
      <c r="K80" s="14"/>
      <c r="L80" s="14"/>
      <c r="M80" s="14"/>
      <c r="N80" s="14"/>
      <c r="O80" s="14"/>
      <c r="P80" s="14"/>
      <c r="Q80" s="7">
        <v>1</v>
      </c>
      <c r="R80" s="7">
        <v>0.6</v>
      </c>
      <c r="S80" s="7">
        <v>0.8</v>
      </c>
      <c r="T80" s="7">
        <v>0.9</v>
      </c>
      <c r="U80" s="7"/>
      <c r="V80" s="7"/>
      <c r="W80" s="7"/>
      <c r="X80" s="7"/>
      <c r="Y80" s="7"/>
      <c r="Z80" s="7"/>
      <c r="AA80" s="28">
        <f t="shared" si="13"/>
        <v>78</v>
      </c>
      <c r="AB80" s="28">
        <f t="shared" ca="1" si="8"/>
        <v>20036</v>
      </c>
      <c r="AC80" s="28">
        <f t="shared" ca="1" si="9"/>
        <v>1</v>
      </c>
      <c r="AD80" s="29">
        <f t="shared" ca="1" si="10"/>
        <v>10000</v>
      </c>
      <c r="AE80" s="28" t="str">
        <f t="shared" ca="1" si="11"/>
        <v>副本36</v>
      </c>
      <c r="AF80" s="28">
        <f t="shared" si="12"/>
        <v>36</v>
      </c>
      <c r="AG80" s="28">
        <f>COUNTIF(AF$3:AF80,AF80)-1</f>
        <v>0</v>
      </c>
    </row>
    <row r="81" spans="1:33" x14ac:dyDescent="0.25">
      <c r="A81" s="27">
        <f ca="1">COUNTIF($F$3:F81,F81)+F81*$F$1</f>
        <v>20079</v>
      </c>
      <c r="B81" s="27" t="str">
        <f ca="1">E81 &amp; COUNTIF($F$3:F81,F81)</f>
        <v>副本79</v>
      </c>
      <c r="C81" s="14">
        <f t="shared" si="7"/>
        <v>4</v>
      </c>
      <c r="D81" s="14">
        <f>IF(C81=0,"",SUM(C$3:C81))</f>
        <v>232</v>
      </c>
      <c r="E81" s="27" t="s">
        <v>33</v>
      </c>
      <c r="F81" s="27">
        <f ca="1">OFFSET(参数!$A$1,MATCH($E81,参数!$B$2:$B$16,0),)</f>
        <v>2</v>
      </c>
      <c r="G81" s="14">
        <v>1</v>
      </c>
      <c r="H81" s="14">
        <v>12</v>
      </c>
      <c r="I81" s="14">
        <v>7</v>
      </c>
      <c r="J81" s="14">
        <v>2</v>
      </c>
      <c r="K81" s="14"/>
      <c r="L81" s="14"/>
      <c r="M81" s="14"/>
      <c r="N81" s="14"/>
      <c r="O81" s="14"/>
      <c r="P81" s="14"/>
      <c r="Q81" s="7">
        <v>1</v>
      </c>
      <c r="R81" s="7">
        <v>0.6</v>
      </c>
      <c r="S81" s="7">
        <v>0.8</v>
      </c>
      <c r="T81" s="7">
        <v>0.9</v>
      </c>
      <c r="U81" s="7"/>
      <c r="V81" s="7"/>
      <c r="W81" s="7"/>
      <c r="X81" s="7"/>
      <c r="Y81" s="7"/>
      <c r="Z81" s="7"/>
      <c r="AA81" s="28">
        <f t="shared" si="13"/>
        <v>79</v>
      </c>
      <c r="AB81" s="28">
        <f t="shared" ca="1" si="8"/>
        <v>20036</v>
      </c>
      <c r="AC81" s="28">
        <f t="shared" ca="1" si="9"/>
        <v>5</v>
      </c>
      <c r="AD81" s="29">
        <f t="shared" ca="1" si="10"/>
        <v>8000</v>
      </c>
      <c r="AE81" s="28" t="str">
        <f t="shared" ca="1" si="11"/>
        <v>副本36</v>
      </c>
      <c r="AF81" s="28">
        <f t="shared" si="12"/>
        <v>36</v>
      </c>
      <c r="AG81" s="28">
        <f>COUNTIF(AF$3:AF81,AF81)-1</f>
        <v>1</v>
      </c>
    </row>
    <row r="82" spans="1:33" x14ac:dyDescent="0.25">
      <c r="A82" s="27">
        <f ca="1">COUNTIF($F$3:F82,F82)+F82*$F$1</f>
        <v>20080</v>
      </c>
      <c r="B82" s="27" t="str">
        <f ca="1">E82 &amp; COUNTIF($F$3:F82,F82)</f>
        <v>副本80</v>
      </c>
      <c r="C82" s="14">
        <f t="shared" si="7"/>
        <v>4</v>
      </c>
      <c r="D82" s="14">
        <f>IF(C82=0,"",SUM(C$3:C82))</f>
        <v>236</v>
      </c>
      <c r="E82" s="27" t="s">
        <v>33</v>
      </c>
      <c r="F82" s="27">
        <f ca="1">OFFSET(参数!$A$1,MATCH($E82,参数!$B$2:$B$16,0),)</f>
        <v>2</v>
      </c>
      <c r="G82" s="14">
        <v>1</v>
      </c>
      <c r="H82" s="14">
        <v>12</v>
      </c>
      <c r="I82" s="14">
        <v>7</v>
      </c>
      <c r="J82" s="14">
        <v>2</v>
      </c>
      <c r="K82" s="14"/>
      <c r="L82" s="14"/>
      <c r="M82" s="14"/>
      <c r="N82" s="14"/>
      <c r="O82" s="14"/>
      <c r="P82" s="14"/>
      <c r="Q82" s="7">
        <v>1</v>
      </c>
      <c r="R82" s="7">
        <v>0.6</v>
      </c>
      <c r="S82" s="7">
        <v>0.8</v>
      </c>
      <c r="T82" s="7">
        <v>0.9</v>
      </c>
      <c r="U82" s="7"/>
      <c r="V82" s="7"/>
      <c r="W82" s="7"/>
      <c r="X82" s="7"/>
      <c r="Y82" s="7"/>
      <c r="Z82" s="7"/>
      <c r="AA82" s="28">
        <f t="shared" si="13"/>
        <v>80</v>
      </c>
      <c r="AB82" s="28">
        <f t="shared" ca="1" si="8"/>
        <v>20036</v>
      </c>
      <c r="AC82" s="28">
        <f t="shared" ca="1" si="9"/>
        <v>4</v>
      </c>
      <c r="AD82" s="29">
        <f t="shared" ca="1" si="10"/>
        <v>9000</v>
      </c>
      <c r="AE82" s="28" t="str">
        <f t="shared" ca="1" si="11"/>
        <v>副本36</v>
      </c>
      <c r="AF82" s="28">
        <f t="shared" si="12"/>
        <v>36</v>
      </c>
      <c r="AG82" s="28">
        <f>COUNTIF(AF$3:AF82,AF82)-1</f>
        <v>2</v>
      </c>
    </row>
    <row r="83" spans="1:33" x14ac:dyDescent="0.25">
      <c r="A83" s="27">
        <f ca="1">COUNTIF($F$3:F83,F83)+F83*$F$1</f>
        <v>20081</v>
      </c>
      <c r="B83" s="27" t="str">
        <f ca="1">E83 &amp; COUNTIF($F$3:F83,F83)</f>
        <v>副本81</v>
      </c>
      <c r="C83" s="14">
        <f t="shared" si="7"/>
        <v>4</v>
      </c>
      <c r="D83" s="14">
        <f>IF(C83=0,"",SUM(C$3:C83))</f>
        <v>240</v>
      </c>
      <c r="E83" s="27" t="s">
        <v>33</v>
      </c>
      <c r="F83" s="27">
        <f ca="1">OFFSET(参数!$A$1,MATCH($E83,参数!$B$2:$B$16,0),)</f>
        <v>2</v>
      </c>
      <c r="G83" s="14">
        <v>1</v>
      </c>
      <c r="H83" s="14">
        <v>12</v>
      </c>
      <c r="I83" s="14">
        <v>7</v>
      </c>
      <c r="J83" s="14">
        <v>2</v>
      </c>
      <c r="K83" s="14"/>
      <c r="L83" s="14"/>
      <c r="M83" s="14"/>
      <c r="N83" s="14"/>
      <c r="O83" s="14"/>
      <c r="P83" s="14"/>
      <c r="Q83" s="7">
        <v>1</v>
      </c>
      <c r="R83" s="7">
        <v>0.6</v>
      </c>
      <c r="S83" s="7">
        <v>0.8</v>
      </c>
      <c r="T83" s="7">
        <v>0.9</v>
      </c>
      <c r="U83" s="7"/>
      <c r="V83" s="7"/>
      <c r="W83" s="7"/>
      <c r="X83" s="7"/>
      <c r="Y83" s="7"/>
      <c r="Z83" s="7"/>
      <c r="AA83" s="28">
        <f t="shared" si="13"/>
        <v>81</v>
      </c>
      <c r="AB83" s="28">
        <f t="shared" ca="1" si="8"/>
        <v>20037</v>
      </c>
      <c r="AC83" s="28">
        <f t="shared" ca="1" si="9"/>
        <v>1</v>
      </c>
      <c r="AD83" s="29">
        <f t="shared" ca="1" si="10"/>
        <v>10000</v>
      </c>
      <c r="AE83" s="28" t="str">
        <f t="shared" ca="1" si="11"/>
        <v>副本37</v>
      </c>
      <c r="AF83" s="28">
        <f t="shared" si="12"/>
        <v>37</v>
      </c>
      <c r="AG83" s="28">
        <f>COUNTIF(AF$3:AF83,AF83)-1</f>
        <v>0</v>
      </c>
    </row>
    <row r="84" spans="1:33" x14ac:dyDescent="0.25">
      <c r="A84" s="27">
        <f ca="1">COUNTIF($F$3:F84,F84)+F84*$F$1</f>
        <v>20082</v>
      </c>
      <c r="B84" s="27" t="str">
        <f ca="1">E84 &amp; COUNTIF($F$3:F84,F84)</f>
        <v>副本82</v>
      </c>
      <c r="C84" s="14">
        <f t="shared" si="7"/>
        <v>4</v>
      </c>
      <c r="D84" s="14">
        <f>IF(C84=0,"",SUM(C$3:C84))</f>
        <v>244</v>
      </c>
      <c r="E84" s="27" t="s">
        <v>33</v>
      </c>
      <c r="F84" s="27">
        <f ca="1">OFFSET(参数!$A$1,MATCH($E84,参数!$B$2:$B$16,0),)</f>
        <v>2</v>
      </c>
      <c r="G84" s="14">
        <v>1</v>
      </c>
      <c r="H84" s="14">
        <v>13</v>
      </c>
      <c r="I84" s="14">
        <v>6</v>
      </c>
      <c r="J84" s="14">
        <v>3</v>
      </c>
      <c r="K84" s="14"/>
      <c r="L84" s="14"/>
      <c r="M84" s="14"/>
      <c r="N84" s="14"/>
      <c r="O84" s="14"/>
      <c r="P84" s="14"/>
      <c r="Q84" s="7">
        <v>1</v>
      </c>
      <c r="R84" s="7">
        <v>0.6</v>
      </c>
      <c r="S84" s="7">
        <v>0.8</v>
      </c>
      <c r="T84" s="7">
        <v>0.9</v>
      </c>
      <c r="U84" s="7"/>
      <c r="V84" s="7"/>
      <c r="W84" s="7"/>
      <c r="X84" s="7"/>
      <c r="Y84" s="7"/>
      <c r="Z84" s="7"/>
      <c r="AA84" s="28">
        <f t="shared" si="13"/>
        <v>82</v>
      </c>
      <c r="AB84" s="28">
        <f t="shared" ca="1" si="8"/>
        <v>20037</v>
      </c>
      <c r="AC84" s="28">
        <f t="shared" ca="1" si="9"/>
        <v>5</v>
      </c>
      <c r="AD84" s="29">
        <f t="shared" ca="1" si="10"/>
        <v>8000</v>
      </c>
      <c r="AE84" s="28" t="str">
        <f t="shared" ca="1" si="11"/>
        <v>副本37</v>
      </c>
      <c r="AF84" s="28">
        <f t="shared" si="12"/>
        <v>37</v>
      </c>
      <c r="AG84" s="28">
        <f>COUNTIF(AF$3:AF84,AF84)-1</f>
        <v>1</v>
      </c>
    </row>
    <row r="85" spans="1:33" x14ac:dyDescent="0.25">
      <c r="A85" s="27">
        <f ca="1">COUNTIF($F$3:F85,F85)+F85*$F$1</f>
        <v>20083</v>
      </c>
      <c r="B85" s="27" t="str">
        <f ca="1">E85 &amp; COUNTIF($F$3:F85,F85)</f>
        <v>副本83</v>
      </c>
      <c r="C85" s="14">
        <f t="shared" si="7"/>
        <v>4</v>
      </c>
      <c r="D85" s="14">
        <f>IF(C85=0,"",SUM(C$3:C85))</f>
        <v>248</v>
      </c>
      <c r="E85" s="27" t="s">
        <v>33</v>
      </c>
      <c r="F85" s="27">
        <f ca="1">OFFSET(参数!$A$1,MATCH($E85,参数!$B$2:$B$16,0),)</f>
        <v>2</v>
      </c>
      <c r="G85" s="14">
        <v>1</v>
      </c>
      <c r="H85" s="14">
        <v>13</v>
      </c>
      <c r="I85" s="14">
        <v>6</v>
      </c>
      <c r="J85" s="14">
        <v>3</v>
      </c>
      <c r="K85" s="14"/>
      <c r="L85" s="14"/>
      <c r="M85" s="14"/>
      <c r="N85" s="14"/>
      <c r="O85" s="14"/>
      <c r="P85" s="14"/>
      <c r="Q85" s="7">
        <v>1</v>
      </c>
      <c r="R85" s="7">
        <v>0.6</v>
      </c>
      <c r="S85" s="7">
        <v>0.8</v>
      </c>
      <c r="T85" s="7">
        <v>0.9</v>
      </c>
      <c r="U85" s="7"/>
      <c r="V85" s="7"/>
      <c r="W85" s="7"/>
      <c r="X85" s="7"/>
      <c r="Y85" s="7"/>
      <c r="Z85" s="7"/>
      <c r="AA85" s="28">
        <f t="shared" si="13"/>
        <v>83</v>
      </c>
      <c r="AB85" s="28">
        <f t="shared" ca="1" si="8"/>
        <v>20037</v>
      </c>
      <c r="AC85" s="28">
        <f t="shared" ca="1" si="9"/>
        <v>4</v>
      </c>
      <c r="AD85" s="29">
        <f t="shared" ca="1" si="10"/>
        <v>9000</v>
      </c>
      <c r="AE85" s="28" t="str">
        <f t="shared" ca="1" si="11"/>
        <v>副本37</v>
      </c>
      <c r="AF85" s="28">
        <f t="shared" si="12"/>
        <v>37</v>
      </c>
      <c r="AG85" s="28">
        <f>COUNTIF(AF$3:AF85,AF85)-1</f>
        <v>2</v>
      </c>
    </row>
    <row r="86" spans="1:33" x14ac:dyDescent="0.25">
      <c r="A86" s="27">
        <f ca="1">COUNTIF($F$3:F86,F86)+F86*$F$1</f>
        <v>20084</v>
      </c>
      <c r="B86" s="27" t="str">
        <f ca="1">E86 &amp; COUNTIF($F$3:F86,F86)</f>
        <v>副本84</v>
      </c>
      <c r="C86" s="14">
        <f t="shared" si="7"/>
        <v>4</v>
      </c>
      <c r="D86" s="14">
        <f>IF(C86=0,"",SUM(C$3:C86))</f>
        <v>252</v>
      </c>
      <c r="E86" s="27" t="s">
        <v>33</v>
      </c>
      <c r="F86" s="27">
        <f ca="1">OFFSET(参数!$A$1,MATCH($E86,参数!$B$2:$B$16,0),)</f>
        <v>2</v>
      </c>
      <c r="G86" s="14">
        <v>1</v>
      </c>
      <c r="H86" s="14">
        <v>13</v>
      </c>
      <c r="I86" s="14">
        <v>6</v>
      </c>
      <c r="J86" s="14">
        <v>3</v>
      </c>
      <c r="K86" s="14"/>
      <c r="L86" s="14"/>
      <c r="M86" s="14"/>
      <c r="N86" s="14"/>
      <c r="O86" s="14"/>
      <c r="P86" s="14"/>
      <c r="Q86" s="7">
        <v>1</v>
      </c>
      <c r="R86" s="7">
        <v>0.6</v>
      </c>
      <c r="S86" s="7">
        <v>0.8</v>
      </c>
      <c r="T86" s="7">
        <v>0.9</v>
      </c>
      <c r="U86" s="7"/>
      <c r="V86" s="7"/>
      <c r="W86" s="7"/>
      <c r="X86" s="7"/>
      <c r="Y86" s="7"/>
      <c r="Z86" s="7"/>
      <c r="AA86" s="28">
        <f t="shared" si="13"/>
        <v>84</v>
      </c>
      <c r="AB86" s="28">
        <f t="shared" ca="1" si="8"/>
        <v>20038</v>
      </c>
      <c r="AC86" s="28">
        <f t="shared" ca="1" si="9"/>
        <v>1</v>
      </c>
      <c r="AD86" s="29">
        <f t="shared" ca="1" si="10"/>
        <v>10000</v>
      </c>
      <c r="AE86" s="28" t="str">
        <f t="shared" ca="1" si="11"/>
        <v>副本38</v>
      </c>
      <c r="AF86" s="28">
        <f t="shared" si="12"/>
        <v>38</v>
      </c>
      <c r="AG86" s="28">
        <f>COUNTIF(AF$3:AF86,AF86)-1</f>
        <v>0</v>
      </c>
    </row>
    <row r="87" spans="1:33" x14ac:dyDescent="0.25">
      <c r="A87" s="27">
        <f ca="1">COUNTIF($F$3:F87,F87)+F87*$F$1</f>
        <v>20085</v>
      </c>
      <c r="B87" s="27" t="str">
        <f ca="1">E87 &amp; COUNTIF($F$3:F87,F87)</f>
        <v>副本85</v>
      </c>
      <c r="C87" s="14">
        <f t="shared" si="7"/>
        <v>1</v>
      </c>
      <c r="D87" s="14">
        <f>IF(C87=0,"",SUM(C$3:C87))</f>
        <v>253</v>
      </c>
      <c r="E87" s="27" t="s">
        <v>33</v>
      </c>
      <c r="F87" s="27">
        <f ca="1">OFFSET(参数!$A$1,MATCH($E87,参数!$B$2:$B$16,0),)</f>
        <v>2</v>
      </c>
      <c r="G87" s="14">
        <v>1</v>
      </c>
      <c r="H87" s="14"/>
      <c r="I87" s="14"/>
      <c r="J87" s="14"/>
      <c r="K87" s="14"/>
      <c r="L87" s="14"/>
      <c r="M87" s="14"/>
      <c r="N87" s="14"/>
      <c r="O87" s="14"/>
      <c r="P87" s="14"/>
      <c r="Q87" s="7">
        <v>1</v>
      </c>
      <c r="R87" s="7"/>
      <c r="S87" s="7"/>
      <c r="T87" s="7"/>
      <c r="U87" s="7"/>
      <c r="V87" s="7"/>
      <c r="W87" s="7"/>
      <c r="X87" s="7"/>
      <c r="Y87" s="7"/>
      <c r="Z87" s="7"/>
      <c r="AA87" s="28">
        <f t="shared" si="13"/>
        <v>85</v>
      </c>
      <c r="AB87" s="28">
        <f t="shared" ca="1" si="8"/>
        <v>20038</v>
      </c>
      <c r="AC87" s="28">
        <f t="shared" ca="1" si="9"/>
        <v>5</v>
      </c>
      <c r="AD87" s="29">
        <f t="shared" ca="1" si="10"/>
        <v>8000</v>
      </c>
      <c r="AE87" s="28" t="str">
        <f t="shared" ca="1" si="11"/>
        <v>副本38</v>
      </c>
      <c r="AF87" s="28">
        <f t="shared" si="12"/>
        <v>38</v>
      </c>
      <c r="AG87" s="28">
        <f>COUNTIF(AF$3:AF87,AF87)-1</f>
        <v>1</v>
      </c>
    </row>
    <row r="88" spans="1:33" x14ac:dyDescent="0.25">
      <c r="A88" s="27">
        <f ca="1">COUNTIF($F$3:F88,F88)+F88*$F$1</f>
        <v>20086</v>
      </c>
      <c r="B88" s="27" t="str">
        <f ca="1">E88 &amp; COUNTIF($F$3:F88,F88)</f>
        <v>副本86</v>
      </c>
      <c r="C88" s="14">
        <f t="shared" si="7"/>
        <v>4</v>
      </c>
      <c r="D88" s="14">
        <f>IF(C88=0,"",SUM(C$3:C88))</f>
        <v>257</v>
      </c>
      <c r="E88" s="27" t="s">
        <v>33</v>
      </c>
      <c r="F88" s="27">
        <f ca="1">OFFSET(参数!$A$1,MATCH($E88,参数!$B$2:$B$16,0),)</f>
        <v>2</v>
      </c>
      <c r="G88" s="14">
        <v>1</v>
      </c>
      <c r="H88" s="14">
        <v>14</v>
      </c>
      <c r="I88" s="14">
        <v>10</v>
      </c>
      <c r="J88" s="14">
        <v>6</v>
      </c>
      <c r="K88" s="14"/>
      <c r="L88" s="14"/>
      <c r="M88" s="14"/>
      <c r="N88" s="14"/>
      <c r="O88" s="14"/>
      <c r="P88" s="14"/>
      <c r="Q88" s="7">
        <v>1</v>
      </c>
      <c r="R88" s="7">
        <v>0.5</v>
      </c>
      <c r="S88" s="7">
        <v>0.7</v>
      </c>
      <c r="T88" s="7">
        <v>0.8</v>
      </c>
      <c r="U88" s="7"/>
      <c r="V88" s="7"/>
      <c r="W88" s="7"/>
      <c r="X88" s="7"/>
      <c r="Y88" s="7"/>
      <c r="Z88" s="7"/>
      <c r="AA88" s="28">
        <f t="shared" si="13"/>
        <v>86</v>
      </c>
      <c r="AB88" s="28">
        <f t="shared" ca="1" si="8"/>
        <v>20038</v>
      </c>
      <c r="AC88" s="28">
        <f t="shared" ca="1" si="9"/>
        <v>4</v>
      </c>
      <c r="AD88" s="29">
        <f t="shared" ca="1" si="10"/>
        <v>9000</v>
      </c>
      <c r="AE88" s="28" t="str">
        <f t="shared" ca="1" si="11"/>
        <v>副本38</v>
      </c>
      <c r="AF88" s="28">
        <f t="shared" si="12"/>
        <v>38</v>
      </c>
      <c r="AG88" s="28">
        <f>COUNTIF(AF$3:AF88,AF88)-1</f>
        <v>2</v>
      </c>
    </row>
    <row r="89" spans="1:33" x14ac:dyDescent="0.25">
      <c r="A89" s="27">
        <f ca="1">COUNTIF($F$3:F89,F89)+F89*$F$1</f>
        <v>20087</v>
      </c>
      <c r="B89" s="27" t="str">
        <f ca="1">E89 &amp; COUNTIF($F$3:F89,F89)</f>
        <v>副本87</v>
      </c>
      <c r="C89" s="14">
        <f t="shared" si="7"/>
        <v>4</v>
      </c>
      <c r="D89" s="14">
        <f>IF(C89=0,"",SUM(C$3:C89))</f>
        <v>261</v>
      </c>
      <c r="E89" s="27" t="s">
        <v>33</v>
      </c>
      <c r="F89" s="27">
        <f ca="1">OFFSET(参数!$A$1,MATCH($E89,参数!$B$2:$B$16,0),)</f>
        <v>2</v>
      </c>
      <c r="G89" s="14">
        <v>1</v>
      </c>
      <c r="H89" s="14">
        <v>14</v>
      </c>
      <c r="I89" s="14">
        <v>10</v>
      </c>
      <c r="J89" s="14">
        <v>6</v>
      </c>
      <c r="K89" s="14"/>
      <c r="L89" s="14"/>
      <c r="M89" s="14"/>
      <c r="N89" s="14"/>
      <c r="O89" s="14"/>
      <c r="P89" s="14"/>
      <c r="Q89" s="7">
        <v>1</v>
      </c>
      <c r="R89" s="7">
        <v>0.5</v>
      </c>
      <c r="S89" s="7">
        <v>0.7</v>
      </c>
      <c r="T89" s="7">
        <v>0.8</v>
      </c>
      <c r="U89" s="7"/>
      <c r="V89" s="7"/>
      <c r="W89" s="7"/>
      <c r="X89" s="7"/>
      <c r="Y89" s="7"/>
      <c r="Z89" s="7"/>
      <c r="AA89" s="28">
        <f t="shared" si="13"/>
        <v>87</v>
      </c>
      <c r="AB89" s="28">
        <f t="shared" ca="1" si="8"/>
        <v>20039</v>
      </c>
      <c r="AC89" s="28">
        <f t="shared" ca="1" si="9"/>
        <v>1</v>
      </c>
      <c r="AD89" s="29">
        <f t="shared" ca="1" si="10"/>
        <v>10000</v>
      </c>
      <c r="AE89" s="28" t="str">
        <f t="shared" ca="1" si="11"/>
        <v>副本39</v>
      </c>
      <c r="AF89" s="28">
        <f t="shared" si="12"/>
        <v>39</v>
      </c>
      <c r="AG89" s="28">
        <f>COUNTIF(AF$3:AF89,AF89)-1</f>
        <v>0</v>
      </c>
    </row>
    <row r="90" spans="1:33" x14ac:dyDescent="0.25">
      <c r="A90" s="27">
        <f ca="1">COUNTIF($F$3:F90,F90)+F90*$F$1</f>
        <v>20088</v>
      </c>
      <c r="B90" s="27" t="str">
        <f ca="1">E90 &amp; COUNTIF($F$3:F90,F90)</f>
        <v>副本88</v>
      </c>
      <c r="C90" s="14">
        <f t="shared" si="7"/>
        <v>4</v>
      </c>
      <c r="D90" s="14">
        <f>IF(C90=0,"",SUM(C$3:C90))</f>
        <v>265</v>
      </c>
      <c r="E90" s="27" t="s">
        <v>33</v>
      </c>
      <c r="F90" s="27">
        <f ca="1">OFFSET(参数!$A$1,MATCH($E90,参数!$B$2:$B$16,0),)</f>
        <v>2</v>
      </c>
      <c r="G90" s="14">
        <v>1</v>
      </c>
      <c r="H90" s="14">
        <v>14</v>
      </c>
      <c r="I90" s="14">
        <v>10</v>
      </c>
      <c r="J90" s="14">
        <v>6</v>
      </c>
      <c r="K90" s="14"/>
      <c r="L90" s="14"/>
      <c r="M90" s="14"/>
      <c r="N90" s="14"/>
      <c r="O90" s="14"/>
      <c r="P90" s="14"/>
      <c r="Q90" s="7">
        <v>1</v>
      </c>
      <c r="R90" s="7">
        <v>0.5</v>
      </c>
      <c r="S90" s="7">
        <v>0.7</v>
      </c>
      <c r="T90" s="7">
        <v>0.8</v>
      </c>
      <c r="U90" s="7"/>
      <c r="V90" s="7"/>
      <c r="W90" s="7"/>
      <c r="X90" s="7"/>
      <c r="Y90" s="7"/>
      <c r="Z90" s="7"/>
      <c r="AA90" s="28">
        <f t="shared" si="13"/>
        <v>88</v>
      </c>
      <c r="AB90" s="28">
        <f t="shared" ca="1" si="8"/>
        <v>20039</v>
      </c>
      <c r="AC90" s="28">
        <f t="shared" ca="1" si="9"/>
        <v>6</v>
      </c>
      <c r="AD90" s="29">
        <f t="shared" ca="1" si="10"/>
        <v>8000</v>
      </c>
      <c r="AE90" s="28" t="str">
        <f t="shared" ca="1" si="11"/>
        <v>副本39</v>
      </c>
      <c r="AF90" s="28">
        <f t="shared" si="12"/>
        <v>39</v>
      </c>
      <c r="AG90" s="28">
        <f>COUNTIF(AF$3:AF90,AF90)-1</f>
        <v>1</v>
      </c>
    </row>
    <row r="91" spans="1:33" x14ac:dyDescent="0.25">
      <c r="A91" s="27">
        <f ca="1">COUNTIF($F$3:F91,F91)+F91*$F$1</f>
        <v>20089</v>
      </c>
      <c r="B91" s="27" t="str">
        <f ca="1">E91 &amp; COUNTIF($F$3:F91,F91)</f>
        <v>副本89</v>
      </c>
      <c r="C91" s="14">
        <f t="shared" si="7"/>
        <v>4</v>
      </c>
      <c r="D91" s="14">
        <f>IF(C91=0,"",SUM(C$3:C91))</f>
        <v>269</v>
      </c>
      <c r="E91" s="27" t="s">
        <v>33</v>
      </c>
      <c r="F91" s="27">
        <f ca="1">OFFSET(参数!$A$1,MATCH($E91,参数!$B$2:$B$16,0),)</f>
        <v>2</v>
      </c>
      <c r="G91" s="14">
        <v>1</v>
      </c>
      <c r="H91" s="14">
        <v>15</v>
      </c>
      <c r="I91" s="14">
        <v>9</v>
      </c>
      <c r="J91" s="14">
        <v>7</v>
      </c>
      <c r="K91" s="14"/>
      <c r="L91" s="14"/>
      <c r="M91" s="14"/>
      <c r="N91" s="14"/>
      <c r="O91" s="14"/>
      <c r="P91" s="14"/>
      <c r="Q91" s="7">
        <v>1</v>
      </c>
      <c r="R91" s="7">
        <v>0.5</v>
      </c>
      <c r="S91" s="7">
        <v>0.7</v>
      </c>
      <c r="T91" s="7">
        <v>0.8</v>
      </c>
      <c r="U91" s="7"/>
      <c r="V91" s="7"/>
      <c r="W91" s="7"/>
      <c r="X91" s="7"/>
      <c r="Y91" s="7"/>
      <c r="Z91" s="7"/>
      <c r="AA91" s="28">
        <f t="shared" si="13"/>
        <v>89</v>
      </c>
      <c r="AB91" s="28">
        <f t="shared" ca="1" si="8"/>
        <v>20039</v>
      </c>
      <c r="AC91" s="28">
        <f t="shared" ca="1" si="9"/>
        <v>2</v>
      </c>
      <c r="AD91" s="29">
        <f t="shared" ca="1" si="10"/>
        <v>9000</v>
      </c>
      <c r="AE91" s="28" t="str">
        <f t="shared" ca="1" si="11"/>
        <v>副本39</v>
      </c>
      <c r="AF91" s="28">
        <f t="shared" si="12"/>
        <v>39</v>
      </c>
      <c r="AG91" s="28">
        <f>COUNTIF(AF$3:AF91,AF91)-1</f>
        <v>2</v>
      </c>
    </row>
    <row r="92" spans="1:33" x14ac:dyDescent="0.25">
      <c r="A92" s="27">
        <f ca="1">COUNTIF($F$3:F92,F92)+F92*$F$1</f>
        <v>20090</v>
      </c>
      <c r="B92" s="27" t="str">
        <f ca="1">E92 &amp; COUNTIF($F$3:F92,F92)</f>
        <v>副本90</v>
      </c>
      <c r="C92" s="14">
        <f t="shared" si="7"/>
        <v>4</v>
      </c>
      <c r="D92" s="14">
        <f>IF(C92=0,"",SUM(C$3:C92))</f>
        <v>273</v>
      </c>
      <c r="E92" s="27" t="s">
        <v>33</v>
      </c>
      <c r="F92" s="27">
        <f ca="1">OFFSET(参数!$A$1,MATCH($E92,参数!$B$2:$B$16,0),)</f>
        <v>2</v>
      </c>
      <c r="G92" s="14">
        <v>1</v>
      </c>
      <c r="H92" s="14">
        <v>15</v>
      </c>
      <c r="I92" s="14">
        <v>9</v>
      </c>
      <c r="J92" s="14">
        <v>7</v>
      </c>
      <c r="K92" s="14"/>
      <c r="L92" s="14"/>
      <c r="M92" s="14"/>
      <c r="N92" s="14"/>
      <c r="O92" s="14"/>
      <c r="P92" s="14"/>
      <c r="Q92" s="7">
        <v>1</v>
      </c>
      <c r="R92" s="7">
        <v>0.5</v>
      </c>
      <c r="S92" s="7">
        <v>0.7</v>
      </c>
      <c r="T92" s="7">
        <v>0.8</v>
      </c>
      <c r="U92" s="7"/>
      <c r="V92" s="7"/>
      <c r="W92" s="7"/>
      <c r="X92" s="7"/>
      <c r="Y92" s="7"/>
      <c r="Z92" s="7"/>
      <c r="AA92" s="28">
        <f t="shared" si="13"/>
        <v>90</v>
      </c>
      <c r="AB92" s="28">
        <f t="shared" ca="1" si="8"/>
        <v>20040</v>
      </c>
      <c r="AC92" s="28">
        <f t="shared" ca="1" si="9"/>
        <v>1</v>
      </c>
      <c r="AD92" s="29">
        <f t="shared" ca="1" si="10"/>
        <v>10000</v>
      </c>
      <c r="AE92" s="28" t="str">
        <f t="shared" ca="1" si="11"/>
        <v>副本40</v>
      </c>
      <c r="AF92" s="28">
        <f t="shared" si="12"/>
        <v>40</v>
      </c>
      <c r="AG92" s="28">
        <f>COUNTIF(AF$3:AF92,AF92)-1</f>
        <v>0</v>
      </c>
    </row>
    <row r="93" spans="1:33" x14ac:dyDescent="0.25">
      <c r="A93" s="27">
        <f ca="1">COUNTIF($F$3:F93,F93)+F93*$F$1</f>
        <v>20091</v>
      </c>
      <c r="B93" s="27" t="str">
        <f ca="1">E93 &amp; COUNTIF($F$3:F93,F93)</f>
        <v>副本91</v>
      </c>
      <c r="C93" s="14">
        <f t="shared" ref="C93:C156" si="14">COUNTA(G93:P93)</f>
        <v>4</v>
      </c>
      <c r="D93" s="14">
        <f>IF(C93=0,"",SUM(C$3:C93))</f>
        <v>277</v>
      </c>
      <c r="E93" s="27" t="s">
        <v>33</v>
      </c>
      <c r="F93" s="27">
        <f ca="1">OFFSET(参数!$A$1,MATCH($E93,参数!$B$2:$B$16,0),)</f>
        <v>2</v>
      </c>
      <c r="G93" s="14">
        <v>1</v>
      </c>
      <c r="H93" s="14">
        <v>15</v>
      </c>
      <c r="I93" s="14">
        <v>9</v>
      </c>
      <c r="J93" s="14">
        <v>7</v>
      </c>
      <c r="K93" s="14"/>
      <c r="L93" s="14"/>
      <c r="M93" s="14"/>
      <c r="N93" s="14"/>
      <c r="O93" s="14"/>
      <c r="P93" s="14"/>
      <c r="Q93" s="7">
        <v>1</v>
      </c>
      <c r="R93" s="7">
        <v>0.5</v>
      </c>
      <c r="S93" s="7">
        <v>0.7</v>
      </c>
      <c r="T93" s="7">
        <v>0.8</v>
      </c>
      <c r="U93" s="7"/>
      <c r="V93" s="7"/>
      <c r="W93" s="7"/>
      <c r="X93" s="7"/>
      <c r="Y93" s="7"/>
      <c r="Z93" s="7"/>
      <c r="AA93" s="28">
        <f t="shared" si="13"/>
        <v>91</v>
      </c>
      <c r="AB93" s="28">
        <f t="shared" ca="1" si="8"/>
        <v>20040</v>
      </c>
      <c r="AC93" s="28">
        <f t="shared" ca="1" si="9"/>
        <v>6</v>
      </c>
      <c r="AD93" s="29">
        <f t="shared" ca="1" si="10"/>
        <v>8000</v>
      </c>
      <c r="AE93" s="28" t="str">
        <f t="shared" ca="1" si="11"/>
        <v>副本40</v>
      </c>
      <c r="AF93" s="28">
        <f t="shared" si="12"/>
        <v>40</v>
      </c>
      <c r="AG93" s="28">
        <f>COUNTIF(AF$3:AF93,AF93)-1</f>
        <v>1</v>
      </c>
    </row>
    <row r="94" spans="1:33" x14ac:dyDescent="0.25">
      <c r="A94" s="27">
        <f ca="1">COUNTIF($F$3:F94,F94)+F94*$F$1</f>
        <v>20092</v>
      </c>
      <c r="B94" s="27" t="str">
        <f ca="1">E94 &amp; COUNTIF($F$3:F94,F94)</f>
        <v>副本92</v>
      </c>
      <c r="C94" s="14">
        <f t="shared" si="14"/>
        <v>4</v>
      </c>
      <c r="D94" s="14">
        <f>IF(C94=0,"",SUM(C$3:C94))</f>
        <v>281</v>
      </c>
      <c r="E94" s="27" t="s">
        <v>33</v>
      </c>
      <c r="F94" s="27">
        <f ca="1">OFFSET(参数!$A$1,MATCH($E94,参数!$B$2:$B$16,0),)</f>
        <v>2</v>
      </c>
      <c r="G94" s="14">
        <v>1</v>
      </c>
      <c r="H94" s="14">
        <v>16</v>
      </c>
      <c r="I94" s="14">
        <v>8</v>
      </c>
      <c r="J94" s="14">
        <v>5</v>
      </c>
      <c r="K94" s="14"/>
      <c r="L94" s="14"/>
      <c r="M94" s="14"/>
      <c r="N94" s="14"/>
      <c r="O94" s="14"/>
      <c r="P94" s="14"/>
      <c r="Q94" s="7">
        <v>1</v>
      </c>
      <c r="R94" s="7">
        <v>0.5</v>
      </c>
      <c r="S94" s="7">
        <v>0.7</v>
      </c>
      <c r="T94" s="7">
        <v>0.8</v>
      </c>
      <c r="U94" s="7"/>
      <c r="V94" s="7"/>
      <c r="W94" s="7"/>
      <c r="X94" s="7"/>
      <c r="Y94" s="7"/>
      <c r="Z94" s="7"/>
      <c r="AA94" s="28">
        <f t="shared" si="13"/>
        <v>92</v>
      </c>
      <c r="AB94" s="28">
        <f t="shared" ca="1" si="8"/>
        <v>20040</v>
      </c>
      <c r="AC94" s="28">
        <f t="shared" ca="1" si="9"/>
        <v>2</v>
      </c>
      <c r="AD94" s="29">
        <f t="shared" ca="1" si="10"/>
        <v>9000</v>
      </c>
      <c r="AE94" s="28" t="str">
        <f t="shared" ca="1" si="11"/>
        <v>副本40</v>
      </c>
      <c r="AF94" s="28">
        <f t="shared" si="12"/>
        <v>40</v>
      </c>
      <c r="AG94" s="28">
        <f>COUNTIF(AF$3:AF94,AF94)-1</f>
        <v>2</v>
      </c>
    </row>
    <row r="95" spans="1:33" x14ac:dyDescent="0.25">
      <c r="A95" s="27">
        <f ca="1">COUNTIF($F$3:F95,F95)+F95*$F$1</f>
        <v>20093</v>
      </c>
      <c r="B95" s="27" t="str">
        <f ca="1">E95 &amp; COUNTIF($F$3:F95,F95)</f>
        <v>副本93</v>
      </c>
      <c r="C95" s="14">
        <f t="shared" si="14"/>
        <v>4</v>
      </c>
      <c r="D95" s="14">
        <f>IF(C95=0,"",SUM(C$3:C95))</f>
        <v>285</v>
      </c>
      <c r="E95" s="27" t="s">
        <v>33</v>
      </c>
      <c r="F95" s="27">
        <f ca="1">OFFSET(参数!$A$1,MATCH($E95,参数!$B$2:$B$16,0),)</f>
        <v>2</v>
      </c>
      <c r="G95" s="14">
        <v>1</v>
      </c>
      <c r="H95" s="14">
        <v>16</v>
      </c>
      <c r="I95" s="14">
        <v>8</v>
      </c>
      <c r="J95" s="14">
        <v>5</v>
      </c>
      <c r="K95" s="14"/>
      <c r="L95" s="14"/>
      <c r="M95" s="14"/>
      <c r="N95" s="14"/>
      <c r="O95" s="14"/>
      <c r="P95" s="14"/>
      <c r="Q95" s="7">
        <v>1</v>
      </c>
      <c r="R95" s="7">
        <v>0.5</v>
      </c>
      <c r="S95" s="7">
        <v>0.7</v>
      </c>
      <c r="T95" s="7">
        <v>0.8</v>
      </c>
      <c r="U95" s="7"/>
      <c r="V95" s="7"/>
      <c r="W95" s="7"/>
      <c r="X95" s="7"/>
      <c r="Y95" s="7"/>
      <c r="Z95" s="7"/>
      <c r="AA95" s="28">
        <f t="shared" si="13"/>
        <v>93</v>
      </c>
      <c r="AB95" s="28">
        <f t="shared" ca="1" si="8"/>
        <v>20041</v>
      </c>
      <c r="AC95" s="28">
        <f t="shared" ca="1" si="9"/>
        <v>1</v>
      </c>
      <c r="AD95" s="29">
        <f t="shared" ca="1" si="10"/>
        <v>10000</v>
      </c>
      <c r="AE95" s="28" t="str">
        <f t="shared" ca="1" si="11"/>
        <v>副本41</v>
      </c>
      <c r="AF95" s="28">
        <f t="shared" si="12"/>
        <v>41</v>
      </c>
      <c r="AG95" s="28">
        <f>COUNTIF(AF$3:AF95,AF95)-1</f>
        <v>0</v>
      </c>
    </row>
    <row r="96" spans="1:33" x14ac:dyDescent="0.25">
      <c r="A96" s="27">
        <f ca="1">COUNTIF($F$3:F96,F96)+F96*$F$1</f>
        <v>20094</v>
      </c>
      <c r="B96" s="27" t="str">
        <f ca="1">E96 &amp; COUNTIF($F$3:F96,F96)</f>
        <v>副本94</v>
      </c>
      <c r="C96" s="14">
        <f t="shared" si="14"/>
        <v>4</v>
      </c>
      <c r="D96" s="14">
        <f>IF(C96=0,"",SUM(C$3:C96))</f>
        <v>289</v>
      </c>
      <c r="E96" s="27" t="s">
        <v>33</v>
      </c>
      <c r="F96" s="27">
        <f ca="1">OFFSET(参数!$A$1,MATCH($E96,参数!$B$2:$B$16,0),)</f>
        <v>2</v>
      </c>
      <c r="G96" s="14">
        <v>1</v>
      </c>
      <c r="H96" s="14">
        <v>16</v>
      </c>
      <c r="I96" s="14">
        <v>8</v>
      </c>
      <c r="J96" s="14">
        <v>5</v>
      </c>
      <c r="K96" s="14"/>
      <c r="L96" s="14"/>
      <c r="M96" s="14"/>
      <c r="N96" s="14"/>
      <c r="O96" s="14"/>
      <c r="P96" s="14"/>
      <c r="Q96" s="7">
        <v>1</v>
      </c>
      <c r="R96" s="7">
        <v>0.5</v>
      </c>
      <c r="S96" s="7">
        <v>0.7</v>
      </c>
      <c r="T96" s="7">
        <v>0.8</v>
      </c>
      <c r="U96" s="7"/>
      <c r="V96" s="7"/>
      <c r="W96" s="7"/>
      <c r="X96" s="7"/>
      <c r="Y96" s="7"/>
      <c r="Z96" s="7"/>
      <c r="AA96" s="28">
        <f t="shared" si="13"/>
        <v>94</v>
      </c>
      <c r="AB96" s="28">
        <f t="shared" ca="1" si="8"/>
        <v>20041</v>
      </c>
      <c r="AC96" s="28">
        <f t="shared" ca="1" si="9"/>
        <v>6</v>
      </c>
      <c r="AD96" s="29">
        <f t="shared" ca="1" si="10"/>
        <v>8000</v>
      </c>
      <c r="AE96" s="28" t="str">
        <f t="shared" ca="1" si="11"/>
        <v>副本41</v>
      </c>
      <c r="AF96" s="28">
        <f t="shared" si="12"/>
        <v>41</v>
      </c>
      <c r="AG96" s="28">
        <f>COUNTIF(AF$3:AF96,AF96)-1</f>
        <v>1</v>
      </c>
    </row>
    <row r="97" spans="1:33" x14ac:dyDescent="0.25">
      <c r="A97" s="27">
        <f ca="1">COUNTIF($F$3:F97,F97)+F97*$F$1</f>
        <v>20095</v>
      </c>
      <c r="B97" s="27" t="str">
        <f ca="1">E97 &amp; COUNTIF($F$3:F97,F97)</f>
        <v>副本95</v>
      </c>
      <c r="C97" s="14">
        <f t="shared" si="14"/>
        <v>4</v>
      </c>
      <c r="D97" s="14">
        <f>IF(C97=0,"",SUM(C$3:C97))</f>
        <v>293</v>
      </c>
      <c r="E97" s="27" t="s">
        <v>33</v>
      </c>
      <c r="F97" s="27">
        <f ca="1">OFFSET(参数!$A$1,MATCH($E97,参数!$B$2:$B$16,0),)</f>
        <v>2</v>
      </c>
      <c r="G97" s="14">
        <v>1</v>
      </c>
      <c r="H97" s="14">
        <v>14</v>
      </c>
      <c r="I97" s="14">
        <v>9</v>
      </c>
      <c r="J97" s="14">
        <v>7</v>
      </c>
      <c r="K97" s="14"/>
      <c r="L97" s="14"/>
      <c r="M97" s="14"/>
      <c r="N97" s="14"/>
      <c r="O97" s="14"/>
      <c r="P97" s="14"/>
      <c r="Q97" s="7">
        <v>1</v>
      </c>
      <c r="R97" s="7">
        <v>0.5</v>
      </c>
      <c r="S97" s="7">
        <v>0.7</v>
      </c>
      <c r="T97" s="7">
        <v>0.8</v>
      </c>
      <c r="U97" s="7"/>
      <c r="V97" s="7"/>
      <c r="W97" s="7"/>
      <c r="X97" s="7"/>
      <c r="Y97" s="7"/>
      <c r="Z97" s="7"/>
      <c r="AA97" s="28">
        <f t="shared" si="13"/>
        <v>95</v>
      </c>
      <c r="AB97" s="28">
        <f t="shared" ca="1" si="8"/>
        <v>20041</v>
      </c>
      <c r="AC97" s="28">
        <f t="shared" ca="1" si="9"/>
        <v>2</v>
      </c>
      <c r="AD97" s="29">
        <f t="shared" ca="1" si="10"/>
        <v>9000</v>
      </c>
      <c r="AE97" s="28" t="str">
        <f t="shared" ca="1" si="11"/>
        <v>副本41</v>
      </c>
      <c r="AF97" s="28">
        <f t="shared" si="12"/>
        <v>41</v>
      </c>
      <c r="AG97" s="28">
        <f>COUNTIF(AF$3:AF97,AF97)-1</f>
        <v>2</v>
      </c>
    </row>
    <row r="98" spans="1:33" x14ac:dyDescent="0.25">
      <c r="A98" s="27">
        <f ca="1">COUNTIF($F$3:F98,F98)+F98*$F$1</f>
        <v>20096</v>
      </c>
      <c r="B98" s="27" t="str">
        <f ca="1">E98 &amp; COUNTIF($F$3:F98,F98)</f>
        <v>副本96</v>
      </c>
      <c r="C98" s="14">
        <f t="shared" si="14"/>
        <v>4</v>
      </c>
      <c r="D98" s="14">
        <f>IF(C98=0,"",SUM(C$3:C98))</f>
        <v>297</v>
      </c>
      <c r="E98" s="27" t="s">
        <v>33</v>
      </c>
      <c r="F98" s="27">
        <f ca="1">OFFSET(参数!$A$1,MATCH($E98,参数!$B$2:$B$16,0),)</f>
        <v>2</v>
      </c>
      <c r="G98" s="14">
        <v>1</v>
      </c>
      <c r="H98" s="14">
        <v>14</v>
      </c>
      <c r="I98" s="14">
        <v>9</v>
      </c>
      <c r="J98" s="14">
        <v>7</v>
      </c>
      <c r="K98" s="14"/>
      <c r="L98" s="14"/>
      <c r="M98" s="14"/>
      <c r="N98" s="14"/>
      <c r="O98" s="14"/>
      <c r="P98" s="14"/>
      <c r="Q98" s="7">
        <v>1</v>
      </c>
      <c r="R98" s="7">
        <v>0.5</v>
      </c>
      <c r="S98" s="7">
        <v>0.7</v>
      </c>
      <c r="T98" s="7">
        <v>0.8</v>
      </c>
      <c r="U98" s="7"/>
      <c r="V98" s="7"/>
      <c r="W98" s="7"/>
      <c r="X98" s="7"/>
      <c r="Y98" s="7"/>
      <c r="Z98" s="7"/>
      <c r="AA98" s="28">
        <f t="shared" si="13"/>
        <v>96</v>
      </c>
      <c r="AB98" s="28">
        <f t="shared" ca="1" si="8"/>
        <v>20042</v>
      </c>
      <c r="AC98" s="28">
        <f t="shared" ca="1" si="9"/>
        <v>1</v>
      </c>
      <c r="AD98" s="29">
        <f t="shared" ca="1" si="10"/>
        <v>10000</v>
      </c>
      <c r="AE98" s="28" t="str">
        <f t="shared" ca="1" si="11"/>
        <v>副本42</v>
      </c>
      <c r="AF98" s="28">
        <f t="shared" si="12"/>
        <v>42</v>
      </c>
      <c r="AG98" s="28">
        <f>COUNTIF(AF$3:AF98,AF98)-1</f>
        <v>0</v>
      </c>
    </row>
    <row r="99" spans="1:33" x14ac:dyDescent="0.25">
      <c r="A99" s="27">
        <f ca="1">COUNTIF($F$3:F99,F99)+F99*$F$1</f>
        <v>20097</v>
      </c>
      <c r="B99" s="27" t="str">
        <f ca="1">E99 &amp; COUNTIF($F$3:F99,F99)</f>
        <v>副本97</v>
      </c>
      <c r="C99" s="14">
        <f t="shared" si="14"/>
        <v>4</v>
      </c>
      <c r="D99" s="14">
        <f>IF(C99=0,"",SUM(C$3:C99))</f>
        <v>301</v>
      </c>
      <c r="E99" s="27" t="s">
        <v>33</v>
      </c>
      <c r="F99" s="27">
        <f ca="1">OFFSET(参数!$A$1,MATCH($E99,参数!$B$2:$B$16,0),)</f>
        <v>2</v>
      </c>
      <c r="G99" s="14">
        <v>1</v>
      </c>
      <c r="H99" s="14">
        <v>14</v>
      </c>
      <c r="I99" s="14">
        <v>9</v>
      </c>
      <c r="J99" s="14">
        <v>7</v>
      </c>
      <c r="K99" s="14"/>
      <c r="L99" s="14"/>
      <c r="M99" s="14"/>
      <c r="N99" s="14"/>
      <c r="O99" s="14"/>
      <c r="P99" s="14"/>
      <c r="Q99" s="7">
        <v>1</v>
      </c>
      <c r="R99" s="7">
        <v>0.5</v>
      </c>
      <c r="S99" s="7">
        <v>0.7</v>
      </c>
      <c r="T99" s="7">
        <v>0.8</v>
      </c>
      <c r="U99" s="7"/>
      <c r="V99" s="7"/>
      <c r="W99" s="7"/>
      <c r="X99" s="7"/>
      <c r="Y99" s="7"/>
      <c r="Z99" s="7"/>
      <c r="AA99" s="28">
        <f t="shared" si="13"/>
        <v>97</v>
      </c>
      <c r="AB99" s="28">
        <f t="shared" ca="1" si="8"/>
        <v>20042</v>
      </c>
      <c r="AC99" s="28">
        <f t="shared" ca="1" si="9"/>
        <v>7</v>
      </c>
      <c r="AD99" s="29">
        <f t="shared" ca="1" si="10"/>
        <v>8000</v>
      </c>
      <c r="AE99" s="28" t="str">
        <f t="shared" ca="1" si="11"/>
        <v>副本42</v>
      </c>
      <c r="AF99" s="28">
        <f t="shared" si="12"/>
        <v>42</v>
      </c>
      <c r="AG99" s="28">
        <f>COUNTIF(AF$3:AF99,AF99)-1</f>
        <v>1</v>
      </c>
    </row>
    <row r="100" spans="1:33" x14ac:dyDescent="0.25">
      <c r="A100" s="27">
        <f ca="1">COUNTIF($F$3:F100,F100)+F100*$F$1</f>
        <v>20098</v>
      </c>
      <c r="B100" s="27" t="str">
        <f ca="1">E100 &amp; COUNTIF($F$3:F100,F100)</f>
        <v>副本98</v>
      </c>
      <c r="C100" s="14">
        <f t="shared" si="14"/>
        <v>4</v>
      </c>
      <c r="D100" s="14">
        <f>IF(C100=0,"",SUM(C$3:C100))</f>
        <v>305</v>
      </c>
      <c r="E100" s="27" t="s">
        <v>33</v>
      </c>
      <c r="F100" s="27">
        <f ca="1">OFFSET(参数!$A$1,MATCH($E100,参数!$B$2:$B$16,0),)</f>
        <v>2</v>
      </c>
      <c r="G100" s="14">
        <v>1</v>
      </c>
      <c r="H100" s="14">
        <v>14</v>
      </c>
      <c r="I100" s="14">
        <v>9</v>
      </c>
      <c r="J100" s="14">
        <v>7</v>
      </c>
      <c r="K100" s="14"/>
      <c r="L100" s="14"/>
      <c r="M100" s="14"/>
      <c r="N100" s="14"/>
      <c r="O100" s="14"/>
      <c r="P100" s="14"/>
      <c r="Q100" s="7">
        <v>1</v>
      </c>
      <c r="R100" s="7">
        <v>0.5</v>
      </c>
      <c r="S100" s="7">
        <v>0.7</v>
      </c>
      <c r="T100" s="7">
        <v>0.8</v>
      </c>
      <c r="U100" s="7"/>
      <c r="V100" s="7"/>
      <c r="W100" s="7"/>
      <c r="X100" s="7"/>
      <c r="Y100" s="7"/>
      <c r="Z100" s="7"/>
      <c r="AA100" s="28">
        <f t="shared" si="13"/>
        <v>98</v>
      </c>
      <c r="AB100" s="28">
        <f t="shared" ca="1" si="8"/>
        <v>20042</v>
      </c>
      <c r="AC100" s="28">
        <f t="shared" ca="1" si="9"/>
        <v>3</v>
      </c>
      <c r="AD100" s="29">
        <f t="shared" ca="1" si="10"/>
        <v>9000</v>
      </c>
      <c r="AE100" s="28" t="str">
        <f t="shared" ca="1" si="11"/>
        <v>副本42</v>
      </c>
      <c r="AF100" s="28">
        <f t="shared" si="12"/>
        <v>42</v>
      </c>
      <c r="AG100" s="28">
        <f>COUNTIF(AF$3:AF100,AF100)-1</f>
        <v>2</v>
      </c>
    </row>
    <row r="101" spans="1:33" x14ac:dyDescent="0.25">
      <c r="A101" s="27">
        <f ca="1">COUNTIF($F$3:F101,F101)+F101*$F$1</f>
        <v>20099</v>
      </c>
      <c r="B101" s="27" t="str">
        <f ca="1">E101 &amp; COUNTIF($F$3:F101,F101)</f>
        <v>副本99</v>
      </c>
      <c r="C101" s="14">
        <f t="shared" si="14"/>
        <v>4</v>
      </c>
      <c r="D101" s="14">
        <f>IF(C101=0,"",SUM(C$3:C101))</f>
        <v>309</v>
      </c>
      <c r="E101" s="27" t="s">
        <v>33</v>
      </c>
      <c r="F101" s="27">
        <f ca="1">OFFSET(参数!$A$1,MATCH($E101,参数!$B$2:$B$16,0),)</f>
        <v>2</v>
      </c>
      <c r="G101" s="14">
        <v>1</v>
      </c>
      <c r="H101" s="14">
        <v>15</v>
      </c>
      <c r="I101" s="14">
        <v>8</v>
      </c>
      <c r="J101" s="14">
        <v>5</v>
      </c>
      <c r="K101" s="14"/>
      <c r="L101" s="14"/>
      <c r="M101" s="14"/>
      <c r="N101" s="14"/>
      <c r="O101" s="14"/>
      <c r="P101" s="14"/>
      <c r="Q101" s="7">
        <v>1</v>
      </c>
      <c r="R101" s="7">
        <v>0.5</v>
      </c>
      <c r="S101" s="7">
        <v>0.7</v>
      </c>
      <c r="T101" s="7">
        <v>0.8</v>
      </c>
      <c r="U101" s="7"/>
      <c r="V101" s="7"/>
      <c r="W101" s="7"/>
      <c r="X101" s="7"/>
      <c r="Y101" s="7"/>
      <c r="Z101" s="7"/>
      <c r="AA101" s="28">
        <f t="shared" si="13"/>
        <v>99</v>
      </c>
      <c r="AB101" s="28">
        <f t="shared" ca="1" si="8"/>
        <v>20043</v>
      </c>
      <c r="AC101" s="28">
        <f t="shared" ca="1" si="9"/>
        <v>1</v>
      </c>
      <c r="AD101" s="29">
        <f t="shared" ca="1" si="10"/>
        <v>10000</v>
      </c>
      <c r="AE101" s="28" t="str">
        <f t="shared" ca="1" si="11"/>
        <v>副本43</v>
      </c>
      <c r="AF101" s="28">
        <f t="shared" si="12"/>
        <v>43</v>
      </c>
      <c r="AG101" s="28">
        <f>COUNTIF(AF$3:AF101,AF101)-1</f>
        <v>0</v>
      </c>
    </row>
    <row r="102" spans="1:33" x14ac:dyDescent="0.25">
      <c r="A102" s="27">
        <f ca="1">COUNTIF($F$3:F102,F102)+F102*$F$1</f>
        <v>20100</v>
      </c>
      <c r="B102" s="27" t="str">
        <f ca="1">E102 &amp; COUNTIF($F$3:F102,F102)</f>
        <v>副本100</v>
      </c>
      <c r="C102" s="14">
        <f t="shared" si="14"/>
        <v>4</v>
      </c>
      <c r="D102" s="14">
        <f>IF(C102=0,"",SUM(C$3:C102))</f>
        <v>313</v>
      </c>
      <c r="E102" s="27" t="s">
        <v>33</v>
      </c>
      <c r="F102" s="27">
        <f ca="1">OFFSET(参数!$A$1,MATCH($E102,参数!$B$2:$B$16,0),)</f>
        <v>2</v>
      </c>
      <c r="G102" s="14">
        <v>1</v>
      </c>
      <c r="H102" s="14">
        <v>15</v>
      </c>
      <c r="I102" s="14">
        <v>8</v>
      </c>
      <c r="J102" s="14">
        <v>5</v>
      </c>
      <c r="K102" s="14"/>
      <c r="L102" s="14"/>
      <c r="M102" s="14"/>
      <c r="N102" s="14"/>
      <c r="O102" s="14"/>
      <c r="P102" s="14"/>
      <c r="Q102" s="7">
        <v>1</v>
      </c>
      <c r="R102" s="7">
        <v>0.5</v>
      </c>
      <c r="S102" s="7">
        <v>0.7</v>
      </c>
      <c r="T102" s="7">
        <v>0.8</v>
      </c>
      <c r="U102" s="7"/>
      <c r="V102" s="7"/>
      <c r="W102" s="7"/>
      <c r="X102" s="7"/>
      <c r="Y102" s="7"/>
      <c r="Z102" s="7"/>
      <c r="AA102" s="28">
        <f t="shared" si="13"/>
        <v>100</v>
      </c>
      <c r="AB102" s="28">
        <f t="shared" ca="1" si="8"/>
        <v>20043</v>
      </c>
      <c r="AC102" s="28">
        <f t="shared" ca="1" si="9"/>
        <v>7</v>
      </c>
      <c r="AD102" s="29">
        <f t="shared" ca="1" si="10"/>
        <v>8000</v>
      </c>
      <c r="AE102" s="28" t="str">
        <f t="shared" ca="1" si="11"/>
        <v>副本43</v>
      </c>
      <c r="AF102" s="28">
        <f t="shared" si="12"/>
        <v>43</v>
      </c>
      <c r="AG102" s="28">
        <f>COUNTIF(AF$3:AF102,AF102)-1</f>
        <v>1</v>
      </c>
    </row>
    <row r="103" spans="1:33" x14ac:dyDescent="0.25">
      <c r="A103" s="27">
        <f ca="1">COUNTIF($F$3:F103,F103)+F103*$F$1</f>
        <v>20101</v>
      </c>
      <c r="B103" s="27" t="str">
        <f ca="1">E103 &amp; COUNTIF($F$3:F103,F103)</f>
        <v>副本101</v>
      </c>
      <c r="C103" s="14">
        <f t="shared" si="14"/>
        <v>4</v>
      </c>
      <c r="D103" s="14">
        <f>IF(C103=0,"",SUM(C$3:C103))</f>
        <v>317</v>
      </c>
      <c r="E103" s="27" t="s">
        <v>33</v>
      </c>
      <c r="F103" s="27">
        <f ca="1">OFFSET(参数!$A$1,MATCH($E103,参数!$B$2:$B$16,0),)</f>
        <v>2</v>
      </c>
      <c r="G103" s="14">
        <v>1</v>
      </c>
      <c r="H103" s="14">
        <v>15</v>
      </c>
      <c r="I103" s="14">
        <v>8</v>
      </c>
      <c r="J103" s="14">
        <v>5</v>
      </c>
      <c r="K103" s="14"/>
      <c r="L103" s="14"/>
      <c r="M103" s="14"/>
      <c r="N103" s="14"/>
      <c r="O103" s="14"/>
      <c r="P103" s="14"/>
      <c r="Q103" s="7">
        <v>1</v>
      </c>
      <c r="R103" s="7">
        <v>0.5</v>
      </c>
      <c r="S103" s="7">
        <v>0.7</v>
      </c>
      <c r="T103" s="7">
        <v>0.8</v>
      </c>
      <c r="U103" s="7"/>
      <c r="V103" s="7"/>
      <c r="W103" s="7"/>
      <c r="X103" s="7"/>
      <c r="Y103" s="7"/>
      <c r="Z103" s="7"/>
      <c r="AA103" s="28">
        <f t="shared" si="13"/>
        <v>101</v>
      </c>
      <c r="AB103" s="28">
        <f t="shared" ca="1" si="8"/>
        <v>20043</v>
      </c>
      <c r="AC103" s="28">
        <f t="shared" ca="1" si="9"/>
        <v>3</v>
      </c>
      <c r="AD103" s="29">
        <f t="shared" ca="1" si="10"/>
        <v>9000</v>
      </c>
      <c r="AE103" s="28" t="str">
        <f t="shared" ca="1" si="11"/>
        <v>副本43</v>
      </c>
      <c r="AF103" s="28">
        <f t="shared" si="12"/>
        <v>43</v>
      </c>
      <c r="AG103" s="28">
        <f>COUNTIF(AF$3:AF103,AF103)-1</f>
        <v>2</v>
      </c>
    </row>
    <row r="104" spans="1:33" x14ac:dyDescent="0.25">
      <c r="A104" s="27">
        <f ca="1">COUNTIF($F$3:F104,F104)+F104*$F$1</f>
        <v>20102</v>
      </c>
      <c r="B104" s="27" t="str">
        <f ca="1">E104 &amp; COUNTIF($F$3:F104,F104)</f>
        <v>副本102</v>
      </c>
      <c r="C104" s="14">
        <f t="shared" si="14"/>
        <v>4</v>
      </c>
      <c r="D104" s="14">
        <f>IF(C104=0,"",SUM(C$3:C104))</f>
        <v>321</v>
      </c>
      <c r="E104" s="27" t="s">
        <v>33</v>
      </c>
      <c r="F104" s="27">
        <f ca="1">OFFSET(参数!$A$1,MATCH($E104,参数!$B$2:$B$16,0),)</f>
        <v>2</v>
      </c>
      <c r="G104" s="14">
        <v>1</v>
      </c>
      <c r="H104" s="14">
        <v>15</v>
      </c>
      <c r="I104" s="14">
        <v>8</v>
      </c>
      <c r="J104" s="14">
        <v>5</v>
      </c>
      <c r="K104" s="14"/>
      <c r="L104" s="14"/>
      <c r="M104" s="14"/>
      <c r="N104" s="14"/>
      <c r="O104" s="14"/>
      <c r="P104" s="14"/>
      <c r="Q104" s="7">
        <v>1</v>
      </c>
      <c r="R104" s="7">
        <v>0.5</v>
      </c>
      <c r="S104" s="7">
        <v>0.7</v>
      </c>
      <c r="T104" s="7">
        <v>0.8</v>
      </c>
      <c r="U104" s="7"/>
      <c r="V104" s="7"/>
      <c r="W104" s="7"/>
      <c r="X104" s="7"/>
      <c r="Y104" s="7"/>
      <c r="Z104" s="7"/>
      <c r="AA104" s="28">
        <f t="shared" si="13"/>
        <v>102</v>
      </c>
      <c r="AB104" s="28">
        <f t="shared" ca="1" si="8"/>
        <v>20044</v>
      </c>
      <c r="AC104" s="28">
        <f t="shared" ca="1" si="9"/>
        <v>1</v>
      </c>
      <c r="AD104" s="29">
        <f t="shared" ca="1" si="10"/>
        <v>10000</v>
      </c>
      <c r="AE104" s="28" t="str">
        <f t="shared" ca="1" si="11"/>
        <v>副本44</v>
      </c>
      <c r="AF104" s="28">
        <f t="shared" si="12"/>
        <v>44</v>
      </c>
      <c r="AG104" s="28">
        <f>COUNTIF(AF$3:AF104,AF104)-1</f>
        <v>0</v>
      </c>
    </row>
    <row r="105" spans="1:33" x14ac:dyDescent="0.25">
      <c r="A105" s="27">
        <f ca="1">COUNTIF($F$3:F105,F105)+F105*$F$1</f>
        <v>20103</v>
      </c>
      <c r="B105" s="27" t="str">
        <f ca="1">E105 &amp; COUNTIF($F$3:F105,F105)</f>
        <v>副本103</v>
      </c>
      <c r="C105" s="14">
        <f t="shared" si="14"/>
        <v>4</v>
      </c>
      <c r="D105" s="14">
        <f>IF(C105=0,"",SUM(C$3:C105))</f>
        <v>325</v>
      </c>
      <c r="E105" s="27" t="s">
        <v>33</v>
      </c>
      <c r="F105" s="27">
        <f ca="1">OFFSET(参数!$A$1,MATCH($E105,参数!$B$2:$B$16,0),)</f>
        <v>2</v>
      </c>
      <c r="G105" s="14">
        <v>1</v>
      </c>
      <c r="H105" s="14">
        <v>16</v>
      </c>
      <c r="I105" s="14">
        <v>10</v>
      </c>
      <c r="J105" s="14">
        <v>6</v>
      </c>
      <c r="K105" s="14"/>
      <c r="L105" s="14"/>
      <c r="M105" s="14"/>
      <c r="N105" s="14"/>
      <c r="O105" s="14"/>
      <c r="P105" s="14"/>
      <c r="Q105" s="7">
        <v>1</v>
      </c>
      <c r="R105" s="7">
        <v>0.5</v>
      </c>
      <c r="S105" s="7">
        <v>0.7</v>
      </c>
      <c r="T105" s="7">
        <v>0.8</v>
      </c>
      <c r="U105" s="7"/>
      <c r="V105" s="7"/>
      <c r="W105" s="7"/>
      <c r="X105" s="7"/>
      <c r="Y105" s="7"/>
      <c r="Z105" s="7"/>
      <c r="AA105" s="28">
        <f t="shared" si="13"/>
        <v>103</v>
      </c>
      <c r="AB105" s="28">
        <f t="shared" ca="1" si="8"/>
        <v>20044</v>
      </c>
      <c r="AC105" s="28">
        <f t="shared" ca="1" si="9"/>
        <v>7</v>
      </c>
      <c r="AD105" s="29">
        <f t="shared" ca="1" si="10"/>
        <v>8000</v>
      </c>
      <c r="AE105" s="28" t="str">
        <f t="shared" ca="1" si="11"/>
        <v>副本44</v>
      </c>
      <c r="AF105" s="28">
        <f t="shared" si="12"/>
        <v>44</v>
      </c>
      <c r="AG105" s="28">
        <f>COUNTIF(AF$3:AF105,AF105)-1</f>
        <v>1</v>
      </c>
    </row>
    <row r="106" spans="1:33" x14ac:dyDescent="0.25">
      <c r="A106" s="27">
        <f ca="1">COUNTIF($F$3:F106,F106)+F106*$F$1</f>
        <v>20104</v>
      </c>
      <c r="B106" s="27" t="str">
        <f ca="1">E106 &amp; COUNTIF($F$3:F106,F106)</f>
        <v>副本104</v>
      </c>
      <c r="C106" s="14">
        <f t="shared" si="14"/>
        <v>4</v>
      </c>
      <c r="D106" s="14">
        <f>IF(C106=0,"",SUM(C$3:C106))</f>
        <v>329</v>
      </c>
      <c r="E106" s="27" t="s">
        <v>33</v>
      </c>
      <c r="F106" s="27">
        <f ca="1">OFFSET(参数!$A$1,MATCH($E106,参数!$B$2:$B$16,0),)</f>
        <v>2</v>
      </c>
      <c r="G106" s="14">
        <v>1</v>
      </c>
      <c r="H106" s="14">
        <v>16</v>
      </c>
      <c r="I106" s="14">
        <v>10</v>
      </c>
      <c r="J106" s="14">
        <v>6</v>
      </c>
      <c r="K106" s="14"/>
      <c r="L106" s="14"/>
      <c r="M106" s="14"/>
      <c r="N106" s="14"/>
      <c r="O106" s="14"/>
      <c r="P106" s="14"/>
      <c r="Q106" s="7">
        <v>1</v>
      </c>
      <c r="R106" s="7">
        <v>0.5</v>
      </c>
      <c r="S106" s="7">
        <v>0.7</v>
      </c>
      <c r="T106" s="7">
        <v>0.8</v>
      </c>
      <c r="U106" s="7"/>
      <c r="V106" s="7"/>
      <c r="W106" s="7"/>
      <c r="X106" s="7"/>
      <c r="Y106" s="7"/>
      <c r="Z106" s="7"/>
      <c r="AA106" s="28">
        <f t="shared" si="13"/>
        <v>104</v>
      </c>
      <c r="AB106" s="28">
        <f t="shared" ca="1" si="8"/>
        <v>20044</v>
      </c>
      <c r="AC106" s="28">
        <f t="shared" ca="1" si="9"/>
        <v>3</v>
      </c>
      <c r="AD106" s="29">
        <f t="shared" ca="1" si="10"/>
        <v>9000</v>
      </c>
      <c r="AE106" s="28" t="str">
        <f t="shared" ca="1" si="11"/>
        <v>副本44</v>
      </c>
      <c r="AF106" s="28">
        <f t="shared" si="12"/>
        <v>44</v>
      </c>
      <c r="AG106" s="28">
        <f>COUNTIF(AF$3:AF106,AF106)-1</f>
        <v>2</v>
      </c>
    </row>
    <row r="107" spans="1:33" x14ac:dyDescent="0.25">
      <c r="A107" s="27">
        <f ca="1">COUNTIF($F$3:F107,F107)+F107*$F$1</f>
        <v>20105</v>
      </c>
      <c r="B107" s="27" t="str">
        <f ca="1">E107 &amp; COUNTIF($F$3:F107,F107)</f>
        <v>副本105</v>
      </c>
      <c r="C107" s="14">
        <f t="shared" si="14"/>
        <v>4</v>
      </c>
      <c r="D107" s="14">
        <f>IF(C107=0,"",SUM(C$3:C107))</f>
        <v>333</v>
      </c>
      <c r="E107" s="27" t="s">
        <v>33</v>
      </c>
      <c r="F107" s="27">
        <f ca="1">OFFSET(参数!$A$1,MATCH($E107,参数!$B$2:$B$16,0),)</f>
        <v>2</v>
      </c>
      <c r="G107" s="14">
        <v>1</v>
      </c>
      <c r="H107" s="14">
        <v>16</v>
      </c>
      <c r="I107" s="14">
        <v>10</v>
      </c>
      <c r="J107" s="14">
        <v>6</v>
      </c>
      <c r="K107" s="14"/>
      <c r="L107" s="14"/>
      <c r="M107" s="14"/>
      <c r="N107" s="14"/>
      <c r="O107" s="14"/>
      <c r="P107" s="14"/>
      <c r="Q107" s="7">
        <v>1</v>
      </c>
      <c r="R107" s="7">
        <v>0.5</v>
      </c>
      <c r="S107" s="7">
        <v>0.7</v>
      </c>
      <c r="T107" s="7">
        <v>0.8</v>
      </c>
      <c r="U107" s="7"/>
      <c r="V107" s="7"/>
      <c r="W107" s="7"/>
      <c r="X107" s="7"/>
      <c r="Y107" s="7"/>
      <c r="Z107" s="7"/>
      <c r="AA107" s="28">
        <f t="shared" si="13"/>
        <v>105</v>
      </c>
      <c r="AB107" s="28">
        <f t="shared" ca="1" si="8"/>
        <v>20045</v>
      </c>
      <c r="AC107" s="28">
        <f t="shared" ca="1" si="9"/>
        <v>1</v>
      </c>
      <c r="AD107" s="29">
        <f t="shared" ca="1" si="10"/>
        <v>10000</v>
      </c>
      <c r="AE107" s="28" t="str">
        <f t="shared" ca="1" si="11"/>
        <v>副本45</v>
      </c>
      <c r="AF107" s="28">
        <f t="shared" si="12"/>
        <v>45</v>
      </c>
      <c r="AG107" s="28">
        <f>COUNTIF(AF$3:AF107,AF107)-1</f>
        <v>0</v>
      </c>
    </row>
    <row r="108" spans="1:33" x14ac:dyDescent="0.25">
      <c r="A108" s="27">
        <f ca="1">COUNTIF($F$3:F108,F108)+F108*$F$1</f>
        <v>20106</v>
      </c>
      <c r="B108" s="27" t="str">
        <f ca="1">E108 &amp; COUNTIF($F$3:F108,F108)</f>
        <v>副本106</v>
      </c>
      <c r="C108" s="14">
        <f t="shared" si="14"/>
        <v>4</v>
      </c>
      <c r="D108" s="14">
        <f>IF(C108=0,"",SUM(C$3:C108))</f>
        <v>337</v>
      </c>
      <c r="E108" s="27" t="s">
        <v>33</v>
      </c>
      <c r="F108" s="27">
        <f ca="1">OFFSET(参数!$A$1,MATCH($E108,参数!$B$2:$B$16,0),)</f>
        <v>2</v>
      </c>
      <c r="G108" s="14">
        <v>1</v>
      </c>
      <c r="H108" s="14">
        <v>16</v>
      </c>
      <c r="I108" s="14">
        <v>10</v>
      </c>
      <c r="J108" s="14">
        <v>6</v>
      </c>
      <c r="K108" s="14"/>
      <c r="L108" s="14"/>
      <c r="M108" s="14"/>
      <c r="N108" s="14"/>
      <c r="O108" s="14"/>
      <c r="P108" s="14"/>
      <c r="Q108" s="7">
        <v>1</v>
      </c>
      <c r="R108" s="7">
        <v>0.5</v>
      </c>
      <c r="S108" s="7">
        <v>0.7</v>
      </c>
      <c r="T108" s="7">
        <v>0.8</v>
      </c>
      <c r="U108" s="7"/>
      <c r="V108" s="7"/>
      <c r="W108" s="7"/>
      <c r="X108" s="7"/>
      <c r="Y108" s="7"/>
      <c r="Z108" s="7"/>
      <c r="AA108" s="28">
        <f t="shared" si="13"/>
        <v>106</v>
      </c>
      <c r="AB108" s="28">
        <f t="shared" ca="1" si="8"/>
        <v>20046</v>
      </c>
      <c r="AC108" s="28">
        <f t="shared" ca="1" si="9"/>
        <v>1</v>
      </c>
      <c r="AD108" s="29">
        <f t="shared" ca="1" si="10"/>
        <v>10000</v>
      </c>
      <c r="AE108" s="28" t="str">
        <f t="shared" ca="1" si="11"/>
        <v>副本46</v>
      </c>
      <c r="AF108" s="28">
        <f t="shared" si="12"/>
        <v>46</v>
      </c>
      <c r="AG108" s="28">
        <f>COUNTIF(AF$3:AF108,AF108)-1</f>
        <v>0</v>
      </c>
    </row>
    <row r="109" spans="1:33" x14ac:dyDescent="0.25">
      <c r="A109" s="27">
        <f ca="1">COUNTIF($F$3:F109,F109)+F109*$F$1</f>
        <v>20107</v>
      </c>
      <c r="B109" s="27" t="str">
        <f ca="1">E109 &amp; COUNTIF($F$3:F109,F109)</f>
        <v>副本107</v>
      </c>
      <c r="C109" s="14">
        <f t="shared" si="14"/>
        <v>4</v>
      </c>
      <c r="D109" s="14">
        <f>IF(C109=0,"",SUM(C$3:C109))</f>
        <v>341</v>
      </c>
      <c r="E109" s="27" t="s">
        <v>33</v>
      </c>
      <c r="F109" s="27">
        <f ca="1">OFFSET(参数!$A$1,MATCH($E109,参数!$B$2:$B$16,0),)</f>
        <v>2</v>
      </c>
      <c r="G109" s="14">
        <v>1</v>
      </c>
      <c r="H109" s="14">
        <v>17</v>
      </c>
      <c r="I109" s="14">
        <v>13</v>
      </c>
      <c r="J109" s="14">
        <v>10</v>
      </c>
      <c r="K109" s="14"/>
      <c r="L109" s="14"/>
      <c r="M109" s="14"/>
      <c r="N109" s="14"/>
      <c r="O109" s="14"/>
      <c r="P109" s="14"/>
      <c r="Q109" s="7">
        <v>1</v>
      </c>
      <c r="R109" s="7">
        <v>0.45</v>
      </c>
      <c r="S109" s="7">
        <v>0.6</v>
      </c>
      <c r="T109" s="7">
        <v>0.7</v>
      </c>
      <c r="U109" s="7"/>
      <c r="V109" s="7"/>
      <c r="W109" s="7"/>
      <c r="X109" s="7"/>
      <c r="Y109" s="7"/>
      <c r="Z109" s="7"/>
      <c r="AA109" s="28">
        <f t="shared" si="13"/>
        <v>107</v>
      </c>
      <c r="AB109" s="28">
        <f t="shared" ca="1" si="8"/>
        <v>20046</v>
      </c>
      <c r="AC109" s="28">
        <f t="shared" ca="1" si="9"/>
        <v>8</v>
      </c>
      <c r="AD109" s="29">
        <f t="shared" ca="1" si="10"/>
        <v>7000</v>
      </c>
      <c r="AE109" s="28" t="str">
        <f t="shared" ca="1" si="11"/>
        <v>副本46</v>
      </c>
      <c r="AF109" s="28">
        <f t="shared" si="12"/>
        <v>46</v>
      </c>
      <c r="AG109" s="28">
        <f>COUNTIF(AF$3:AF109,AF109)-1</f>
        <v>1</v>
      </c>
    </row>
    <row r="110" spans="1:33" x14ac:dyDescent="0.25">
      <c r="A110" s="27">
        <f ca="1">COUNTIF($F$3:F110,F110)+F110*$F$1</f>
        <v>20108</v>
      </c>
      <c r="B110" s="27" t="str">
        <f ca="1">E110 &amp; COUNTIF($F$3:F110,F110)</f>
        <v>副本108</v>
      </c>
      <c r="C110" s="14">
        <f t="shared" si="14"/>
        <v>4</v>
      </c>
      <c r="D110" s="14">
        <f>IF(C110=0,"",SUM(C$3:C110))</f>
        <v>345</v>
      </c>
      <c r="E110" s="27" t="s">
        <v>33</v>
      </c>
      <c r="F110" s="27">
        <f ca="1">OFFSET(参数!$A$1,MATCH($E110,参数!$B$2:$B$16,0),)</f>
        <v>2</v>
      </c>
      <c r="G110" s="14">
        <v>1</v>
      </c>
      <c r="H110" s="14">
        <v>17</v>
      </c>
      <c r="I110" s="14">
        <v>13</v>
      </c>
      <c r="J110" s="14">
        <v>10</v>
      </c>
      <c r="K110" s="14"/>
      <c r="L110" s="14"/>
      <c r="M110" s="14"/>
      <c r="N110" s="14"/>
      <c r="O110" s="14"/>
      <c r="P110" s="14"/>
      <c r="Q110" s="7">
        <v>1</v>
      </c>
      <c r="R110" s="7">
        <v>0.45</v>
      </c>
      <c r="S110" s="7">
        <v>0.6</v>
      </c>
      <c r="T110" s="7">
        <v>0.7</v>
      </c>
      <c r="U110" s="7"/>
      <c r="V110" s="7"/>
      <c r="W110" s="7"/>
      <c r="X110" s="7"/>
      <c r="Y110" s="7"/>
      <c r="Z110" s="7"/>
      <c r="AA110" s="28">
        <f t="shared" si="13"/>
        <v>108</v>
      </c>
      <c r="AB110" s="28">
        <f t="shared" ca="1" si="8"/>
        <v>20046</v>
      </c>
      <c r="AC110" s="28">
        <f t="shared" ca="1" si="9"/>
        <v>6</v>
      </c>
      <c r="AD110" s="29">
        <f t="shared" ca="1" si="10"/>
        <v>8000</v>
      </c>
      <c r="AE110" s="28" t="str">
        <f t="shared" ca="1" si="11"/>
        <v>副本46</v>
      </c>
      <c r="AF110" s="28">
        <f t="shared" si="12"/>
        <v>46</v>
      </c>
      <c r="AG110" s="28">
        <f>COUNTIF(AF$3:AF110,AF110)-1</f>
        <v>2</v>
      </c>
    </row>
    <row r="111" spans="1:33" x14ac:dyDescent="0.25">
      <c r="A111" s="27">
        <f ca="1">COUNTIF($F$3:F111,F111)+F111*$F$1</f>
        <v>20109</v>
      </c>
      <c r="B111" s="27" t="str">
        <f ca="1">E111 &amp; COUNTIF($F$3:F111,F111)</f>
        <v>副本109</v>
      </c>
      <c r="C111" s="14">
        <f t="shared" si="14"/>
        <v>4</v>
      </c>
      <c r="D111" s="14">
        <f>IF(C111=0,"",SUM(C$3:C111))</f>
        <v>349</v>
      </c>
      <c r="E111" s="27" t="s">
        <v>33</v>
      </c>
      <c r="F111" s="27">
        <f ca="1">OFFSET(参数!$A$1,MATCH($E111,参数!$B$2:$B$16,0),)</f>
        <v>2</v>
      </c>
      <c r="G111" s="14">
        <v>1</v>
      </c>
      <c r="H111" s="14">
        <v>17</v>
      </c>
      <c r="I111" s="14">
        <v>13</v>
      </c>
      <c r="J111" s="14">
        <v>10</v>
      </c>
      <c r="K111" s="14"/>
      <c r="L111" s="14"/>
      <c r="M111" s="14"/>
      <c r="N111" s="14"/>
      <c r="O111" s="14"/>
      <c r="P111" s="14"/>
      <c r="Q111" s="7">
        <v>1</v>
      </c>
      <c r="R111" s="7">
        <v>0.45</v>
      </c>
      <c r="S111" s="7">
        <v>0.6</v>
      </c>
      <c r="T111" s="7">
        <v>0.7</v>
      </c>
      <c r="U111" s="7"/>
      <c r="V111" s="7"/>
      <c r="W111" s="7"/>
      <c r="X111" s="7"/>
      <c r="Y111" s="7"/>
      <c r="Z111" s="7"/>
      <c r="AA111" s="28">
        <f t="shared" si="13"/>
        <v>109</v>
      </c>
      <c r="AB111" s="28">
        <f t="shared" ca="1" si="8"/>
        <v>20046</v>
      </c>
      <c r="AC111" s="28">
        <f t="shared" ca="1" si="9"/>
        <v>4</v>
      </c>
      <c r="AD111" s="29">
        <f t="shared" ca="1" si="10"/>
        <v>9000</v>
      </c>
      <c r="AE111" s="28" t="str">
        <f t="shared" ca="1" si="11"/>
        <v>副本46</v>
      </c>
      <c r="AF111" s="28">
        <f t="shared" si="12"/>
        <v>46</v>
      </c>
      <c r="AG111" s="28">
        <f>COUNTIF(AF$3:AF111,AF111)-1</f>
        <v>3</v>
      </c>
    </row>
    <row r="112" spans="1:33" x14ac:dyDescent="0.25">
      <c r="A112" s="27">
        <f ca="1">COUNTIF($F$3:F112,F112)+F112*$F$1</f>
        <v>20110</v>
      </c>
      <c r="B112" s="27" t="str">
        <f ca="1">E112 &amp; COUNTIF($F$3:F112,F112)</f>
        <v>副本110</v>
      </c>
      <c r="C112" s="14">
        <f t="shared" si="14"/>
        <v>4</v>
      </c>
      <c r="D112" s="14">
        <f>IF(C112=0,"",SUM(C$3:C112))</f>
        <v>353</v>
      </c>
      <c r="E112" s="27" t="s">
        <v>33</v>
      </c>
      <c r="F112" s="27">
        <f ca="1">OFFSET(参数!$A$1,MATCH($E112,参数!$B$2:$B$16,0),)</f>
        <v>2</v>
      </c>
      <c r="G112" s="14">
        <v>1</v>
      </c>
      <c r="H112" s="14">
        <v>17</v>
      </c>
      <c r="I112" s="14">
        <v>13</v>
      </c>
      <c r="J112" s="14">
        <v>10</v>
      </c>
      <c r="K112" s="14"/>
      <c r="L112" s="14"/>
      <c r="M112" s="14"/>
      <c r="N112" s="14"/>
      <c r="O112" s="14"/>
      <c r="P112" s="14"/>
      <c r="Q112" s="7">
        <v>1</v>
      </c>
      <c r="R112" s="7">
        <v>0.45</v>
      </c>
      <c r="S112" s="7">
        <v>0.6</v>
      </c>
      <c r="T112" s="7">
        <v>0.7</v>
      </c>
      <c r="U112" s="7"/>
      <c r="V112" s="7"/>
      <c r="W112" s="7"/>
      <c r="X112" s="7"/>
      <c r="Y112" s="7"/>
      <c r="Z112" s="7"/>
      <c r="AA112" s="28">
        <f t="shared" si="13"/>
        <v>110</v>
      </c>
      <c r="AB112" s="28">
        <f t="shared" ca="1" si="8"/>
        <v>20047</v>
      </c>
      <c r="AC112" s="28">
        <f t="shared" ca="1" si="9"/>
        <v>1</v>
      </c>
      <c r="AD112" s="29">
        <f t="shared" ca="1" si="10"/>
        <v>10000</v>
      </c>
      <c r="AE112" s="28" t="str">
        <f t="shared" ca="1" si="11"/>
        <v>副本47</v>
      </c>
      <c r="AF112" s="28">
        <f t="shared" si="12"/>
        <v>47</v>
      </c>
      <c r="AG112" s="28">
        <f>COUNTIF(AF$3:AF112,AF112)-1</f>
        <v>0</v>
      </c>
    </row>
    <row r="113" spans="1:33" x14ac:dyDescent="0.25">
      <c r="A113" s="27">
        <f ca="1">COUNTIF($F$3:F113,F113)+F113*$F$1</f>
        <v>20111</v>
      </c>
      <c r="B113" s="27" t="str">
        <f ca="1">E113 &amp; COUNTIF($F$3:F113,F113)</f>
        <v>副本111</v>
      </c>
      <c r="C113" s="14">
        <f t="shared" si="14"/>
        <v>4</v>
      </c>
      <c r="D113" s="14">
        <f>IF(C113=0,"",SUM(C$3:C113))</f>
        <v>357</v>
      </c>
      <c r="E113" s="27" t="s">
        <v>33</v>
      </c>
      <c r="F113" s="27">
        <f ca="1">OFFSET(参数!$A$1,MATCH($E113,参数!$B$2:$B$16,0),)</f>
        <v>2</v>
      </c>
      <c r="G113" s="14">
        <v>1</v>
      </c>
      <c r="H113" s="14">
        <v>18</v>
      </c>
      <c r="I113" s="14">
        <v>12</v>
      </c>
      <c r="J113" s="14">
        <v>8</v>
      </c>
      <c r="K113" s="14"/>
      <c r="L113" s="14"/>
      <c r="M113" s="14"/>
      <c r="N113" s="14"/>
      <c r="O113" s="14"/>
      <c r="P113" s="14"/>
      <c r="Q113" s="7">
        <v>1</v>
      </c>
      <c r="R113" s="7">
        <v>0.45</v>
      </c>
      <c r="S113" s="7">
        <v>0.6</v>
      </c>
      <c r="T113" s="7">
        <v>0.7</v>
      </c>
      <c r="U113" s="7"/>
      <c r="V113" s="7"/>
      <c r="W113" s="7"/>
      <c r="X113" s="7"/>
      <c r="Y113" s="7"/>
      <c r="Z113" s="7"/>
      <c r="AA113" s="28">
        <f t="shared" si="13"/>
        <v>111</v>
      </c>
      <c r="AB113" s="28">
        <f t="shared" ca="1" si="8"/>
        <v>20047</v>
      </c>
      <c r="AC113" s="28">
        <f t="shared" ca="1" si="9"/>
        <v>8</v>
      </c>
      <c r="AD113" s="29">
        <f t="shared" ca="1" si="10"/>
        <v>7000</v>
      </c>
      <c r="AE113" s="28" t="str">
        <f t="shared" ca="1" si="11"/>
        <v>副本47</v>
      </c>
      <c r="AF113" s="28">
        <f t="shared" si="12"/>
        <v>47</v>
      </c>
      <c r="AG113" s="28">
        <f>COUNTIF(AF$3:AF113,AF113)-1</f>
        <v>1</v>
      </c>
    </row>
    <row r="114" spans="1:33" x14ac:dyDescent="0.25">
      <c r="A114" s="27">
        <f ca="1">COUNTIF($F$3:F114,F114)+F114*$F$1</f>
        <v>20112</v>
      </c>
      <c r="B114" s="27" t="str">
        <f ca="1">E114 &amp; COUNTIF($F$3:F114,F114)</f>
        <v>副本112</v>
      </c>
      <c r="C114" s="14">
        <f t="shared" si="14"/>
        <v>4</v>
      </c>
      <c r="D114" s="14">
        <f>IF(C114=0,"",SUM(C$3:C114))</f>
        <v>361</v>
      </c>
      <c r="E114" s="27" t="s">
        <v>33</v>
      </c>
      <c r="F114" s="27">
        <f ca="1">OFFSET(参数!$A$1,MATCH($E114,参数!$B$2:$B$16,0),)</f>
        <v>2</v>
      </c>
      <c r="G114" s="14">
        <v>1</v>
      </c>
      <c r="H114" s="14">
        <v>18</v>
      </c>
      <c r="I114" s="14">
        <v>12</v>
      </c>
      <c r="J114" s="14">
        <v>8</v>
      </c>
      <c r="K114" s="14"/>
      <c r="L114" s="14"/>
      <c r="M114" s="14"/>
      <c r="N114" s="14"/>
      <c r="O114" s="14"/>
      <c r="P114" s="14"/>
      <c r="Q114" s="7">
        <v>1</v>
      </c>
      <c r="R114" s="7">
        <v>0.45</v>
      </c>
      <c r="S114" s="7">
        <v>0.6</v>
      </c>
      <c r="T114" s="7">
        <v>0.7</v>
      </c>
      <c r="U114" s="7"/>
      <c r="V114" s="7"/>
      <c r="W114" s="7"/>
      <c r="X114" s="7"/>
      <c r="Y114" s="7"/>
      <c r="Z114" s="7"/>
      <c r="AA114" s="28">
        <f t="shared" si="13"/>
        <v>112</v>
      </c>
      <c r="AB114" s="28">
        <f t="shared" ca="1" si="8"/>
        <v>20047</v>
      </c>
      <c r="AC114" s="28">
        <f t="shared" ca="1" si="9"/>
        <v>6</v>
      </c>
      <c r="AD114" s="29">
        <f t="shared" ca="1" si="10"/>
        <v>8000</v>
      </c>
      <c r="AE114" s="28" t="str">
        <f t="shared" ca="1" si="11"/>
        <v>副本47</v>
      </c>
      <c r="AF114" s="28">
        <f t="shared" si="12"/>
        <v>47</v>
      </c>
      <c r="AG114" s="28">
        <f>COUNTIF(AF$3:AF114,AF114)-1</f>
        <v>2</v>
      </c>
    </row>
    <row r="115" spans="1:33" x14ac:dyDescent="0.25">
      <c r="A115" s="27">
        <f ca="1">COUNTIF($F$3:F115,F115)+F115*$F$1</f>
        <v>20113</v>
      </c>
      <c r="B115" s="27" t="str">
        <f ca="1">E115 &amp; COUNTIF($F$3:F115,F115)</f>
        <v>副本113</v>
      </c>
      <c r="C115" s="14">
        <f t="shared" si="14"/>
        <v>4</v>
      </c>
      <c r="D115" s="14">
        <f>IF(C115=0,"",SUM(C$3:C115))</f>
        <v>365</v>
      </c>
      <c r="E115" s="27" t="s">
        <v>33</v>
      </c>
      <c r="F115" s="27">
        <f ca="1">OFFSET(参数!$A$1,MATCH($E115,参数!$B$2:$B$16,0),)</f>
        <v>2</v>
      </c>
      <c r="G115" s="14">
        <v>1</v>
      </c>
      <c r="H115" s="14">
        <v>18</v>
      </c>
      <c r="I115" s="14">
        <v>12</v>
      </c>
      <c r="J115" s="14">
        <v>8</v>
      </c>
      <c r="K115" s="14"/>
      <c r="L115" s="14"/>
      <c r="M115" s="14"/>
      <c r="N115" s="14"/>
      <c r="O115" s="14"/>
      <c r="P115" s="14"/>
      <c r="Q115" s="7">
        <v>1</v>
      </c>
      <c r="R115" s="7">
        <v>0.45</v>
      </c>
      <c r="S115" s="7">
        <v>0.6</v>
      </c>
      <c r="T115" s="7">
        <v>0.7</v>
      </c>
      <c r="U115" s="7"/>
      <c r="V115" s="7"/>
      <c r="W115" s="7"/>
      <c r="X115" s="7"/>
      <c r="Y115" s="7"/>
      <c r="Z115" s="7"/>
      <c r="AA115" s="28">
        <f t="shared" si="13"/>
        <v>113</v>
      </c>
      <c r="AB115" s="28">
        <f t="shared" ca="1" si="8"/>
        <v>20047</v>
      </c>
      <c r="AC115" s="28">
        <f t="shared" ca="1" si="9"/>
        <v>4</v>
      </c>
      <c r="AD115" s="29">
        <f t="shared" ca="1" si="10"/>
        <v>9000</v>
      </c>
      <c r="AE115" s="28" t="str">
        <f t="shared" ca="1" si="11"/>
        <v>副本47</v>
      </c>
      <c r="AF115" s="28">
        <f t="shared" si="12"/>
        <v>47</v>
      </c>
      <c r="AG115" s="28">
        <f>COUNTIF(AF$3:AF115,AF115)-1</f>
        <v>3</v>
      </c>
    </row>
    <row r="116" spans="1:33" x14ac:dyDescent="0.25">
      <c r="A116" s="27">
        <f ca="1">COUNTIF($F$3:F116,F116)+F116*$F$1</f>
        <v>20114</v>
      </c>
      <c r="B116" s="27" t="str">
        <f ca="1">E116 &amp; COUNTIF($F$3:F116,F116)</f>
        <v>副本114</v>
      </c>
      <c r="C116" s="14">
        <f t="shared" si="14"/>
        <v>4</v>
      </c>
      <c r="D116" s="14">
        <f>IF(C116=0,"",SUM(C$3:C116))</f>
        <v>369</v>
      </c>
      <c r="E116" s="27" t="s">
        <v>33</v>
      </c>
      <c r="F116" s="27">
        <f ca="1">OFFSET(参数!$A$1,MATCH($E116,参数!$B$2:$B$16,0),)</f>
        <v>2</v>
      </c>
      <c r="G116" s="14">
        <v>1</v>
      </c>
      <c r="H116" s="14">
        <v>18</v>
      </c>
      <c r="I116" s="14">
        <v>12</v>
      </c>
      <c r="J116" s="14">
        <v>8</v>
      </c>
      <c r="K116" s="14"/>
      <c r="L116" s="14"/>
      <c r="M116" s="14"/>
      <c r="N116" s="14"/>
      <c r="O116" s="14"/>
      <c r="P116" s="14"/>
      <c r="Q116" s="7">
        <v>1</v>
      </c>
      <c r="R116" s="7">
        <v>0.45</v>
      </c>
      <c r="S116" s="7">
        <v>0.6</v>
      </c>
      <c r="T116" s="7">
        <v>0.7</v>
      </c>
      <c r="U116" s="7"/>
      <c r="V116" s="7"/>
      <c r="W116" s="7"/>
      <c r="X116" s="7"/>
      <c r="Y116" s="7"/>
      <c r="Z116" s="7"/>
      <c r="AA116" s="28">
        <f t="shared" si="13"/>
        <v>114</v>
      </c>
      <c r="AB116" s="28">
        <f t="shared" ca="1" si="8"/>
        <v>20048</v>
      </c>
      <c r="AC116" s="28">
        <f t="shared" ca="1" si="9"/>
        <v>1</v>
      </c>
      <c r="AD116" s="29">
        <f t="shared" ca="1" si="10"/>
        <v>10000</v>
      </c>
      <c r="AE116" s="28" t="str">
        <f t="shared" ca="1" si="11"/>
        <v>副本48</v>
      </c>
      <c r="AF116" s="28">
        <f t="shared" si="12"/>
        <v>48</v>
      </c>
      <c r="AG116" s="28">
        <f>COUNTIF(AF$3:AF116,AF116)-1</f>
        <v>0</v>
      </c>
    </row>
    <row r="117" spans="1:33" x14ac:dyDescent="0.25">
      <c r="A117" s="27">
        <f ca="1">COUNTIF($F$3:F117,F117)+F117*$F$1</f>
        <v>20115</v>
      </c>
      <c r="B117" s="27" t="str">
        <f ca="1">E117 &amp; COUNTIF($F$3:F117,F117)</f>
        <v>副本115</v>
      </c>
      <c r="C117" s="14">
        <f t="shared" si="14"/>
        <v>4</v>
      </c>
      <c r="D117" s="14">
        <f>IF(C117=0,"",SUM(C$3:C117))</f>
        <v>373</v>
      </c>
      <c r="E117" s="27" t="s">
        <v>33</v>
      </c>
      <c r="F117" s="27">
        <f ca="1">OFFSET(参数!$A$1,MATCH($E117,参数!$B$2:$B$16,0),)</f>
        <v>2</v>
      </c>
      <c r="G117" s="14">
        <v>1</v>
      </c>
      <c r="H117" s="14">
        <v>19</v>
      </c>
      <c r="I117" s="14">
        <v>11</v>
      </c>
      <c r="J117" s="14">
        <v>9</v>
      </c>
      <c r="K117" s="14"/>
      <c r="L117" s="14"/>
      <c r="M117" s="14"/>
      <c r="N117" s="14"/>
      <c r="O117" s="14"/>
      <c r="P117" s="14"/>
      <c r="Q117" s="7">
        <v>1</v>
      </c>
      <c r="R117" s="7">
        <v>0.45</v>
      </c>
      <c r="S117" s="7">
        <v>0.6</v>
      </c>
      <c r="T117" s="7">
        <v>0.7</v>
      </c>
      <c r="U117" s="7"/>
      <c r="V117" s="7"/>
      <c r="W117" s="7"/>
      <c r="X117" s="7"/>
      <c r="Y117" s="7"/>
      <c r="Z117" s="7"/>
      <c r="AA117" s="28">
        <f t="shared" si="13"/>
        <v>115</v>
      </c>
      <c r="AB117" s="28">
        <f t="shared" ca="1" si="8"/>
        <v>20048</v>
      </c>
      <c r="AC117" s="28">
        <f t="shared" ca="1" si="9"/>
        <v>8</v>
      </c>
      <c r="AD117" s="29">
        <f t="shared" ca="1" si="10"/>
        <v>7000</v>
      </c>
      <c r="AE117" s="28" t="str">
        <f t="shared" ca="1" si="11"/>
        <v>副本48</v>
      </c>
      <c r="AF117" s="28">
        <f t="shared" si="12"/>
        <v>48</v>
      </c>
      <c r="AG117" s="28">
        <f>COUNTIF(AF$3:AF117,AF117)-1</f>
        <v>1</v>
      </c>
    </row>
    <row r="118" spans="1:33" x14ac:dyDescent="0.25">
      <c r="A118" s="27">
        <f ca="1">COUNTIF($F$3:F118,F118)+F118*$F$1</f>
        <v>20116</v>
      </c>
      <c r="B118" s="27" t="str">
        <f ca="1">E118 &amp; COUNTIF($F$3:F118,F118)</f>
        <v>副本116</v>
      </c>
      <c r="C118" s="14">
        <f t="shared" si="14"/>
        <v>4</v>
      </c>
      <c r="D118" s="14">
        <f>IF(C118=0,"",SUM(C$3:C118))</f>
        <v>377</v>
      </c>
      <c r="E118" s="27" t="s">
        <v>33</v>
      </c>
      <c r="F118" s="27">
        <f ca="1">OFFSET(参数!$A$1,MATCH($E118,参数!$B$2:$B$16,0),)</f>
        <v>2</v>
      </c>
      <c r="G118" s="14">
        <v>1</v>
      </c>
      <c r="H118" s="14">
        <v>19</v>
      </c>
      <c r="I118" s="14">
        <v>11</v>
      </c>
      <c r="J118" s="14">
        <v>9</v>
      </c>
      <c r="K118" s="14"/>
      <c r="L118" s="14"/>
      <c r="M118" s="14"/>
      <c r="N118" s="14"/>
      <c r="O118" s="14"/>
      <c r="P118" s="14"/>
      <c r="Q118" s="7">
        <v>1</v>
      </c>
      <c r="R118" s="7">
        <v>0.45</v>
      </c>
      <c r="S118" s="7">
        <v>0.6</v>
      </c>
      <c r="T118" s="7">
        <v>0.7</v>
      </c>
      <c r="U118" s="7"/>
      <c r="V118" s="7"/>
      <c r="W118" s="7"/>
      <c r="X118" s="7"/>
      <c r="Y118" s="7"/>
      <c r="Z118" s="7"/>
      <c r="AA118" s="28">
        <f t="shared" si="13"/>
        <v>116</v>
      </c>
      <c r="AB118" s="28">
        <f t="shared" ca="1" si="8"/>
        <v>20048</v>
      </c>
      <c r="AC118" s="28">
        <f t="shared" ca="1" si="9"/>
        <v>6</v>
      </c>
      <c r="AD118" s="29">
        <f t="shared" ca="1" si="10"/>
        <v>8000</v>
      </c>
      <c r="AE118" s="28" t="str">
        <f t="shared" ca="1" si="11"/>
        <v>副本48</v>
      </c>
      <c r="AF118" s="28">
        <f t="shared" si="12"/>
        <v>48</v>
      </c>
      <c r="AG118" s="28">
        <f>COUNTIF(AF$3:AF118,AF118)-1</f>
        <v>2</v>
      </c>
    </row>
    <row r="119" spans="1:33" x14ac:dyDescent="0.25">
      <c r="A119" s="27">
        <f ca="1">COUNTIF($F$3:F119,F119)+F119*$F$1</f>
        <v>20117</v>
      </c>
      <c r="B119" s="27" t="str">
        <f ca="1">E119 &amp; COUNTIF($F$3:F119,F119)</f>
        <v>副本117</v>
      </c>
      <c r="C119" s="14">
        <f t="shared" si="14"/>
        <v>4</v>
      </c>
      <c r="D119" s="14">
        <f>IF(C119=0,"",SUM(C$3:C119))</f>
        <v>381</v>
      </c>
      <c r="E119" s="27" t="s">
        <v>33</v>
      </c>
      <c r="F119" s="27">
        <f ca="1">OFFSET(参数!$A$1,MATCH($E119,参数!$B$2:$B$16,0),)</f>
        <v>2</v>
      </c>
      <c r="G119" s="14">
        <v>1</v>
      </c>
      <c r="H119" s="14">
        <v>19</v>
      </c>
      <c r="I119" s="14">
        <v>11</v>
      </c>
      <c r="J119" s="14">
        <v>9</v>
      </c>
      <c r="K119" s="14"/>
      <c r="L119" s="14"/>
      <c r="M119" s="14"/>
      <c r="N119" s="14"/>
      <c r="O119" s="14"/>
      <c r="P119" s="14"/>
      <c r="Q119" s="7">
        <v>1</v>
      </c>
      <c r="R119" s="7">
        <v>0.45</v>
      </c>
      <c r="S119" s="7">
        <v>0.6</v>
      </c>
      <c r="T119" s="7">
        <v>0.7</v>
      </c>
      <c r="U119" s="7"/>
      <c r="V119" s="7"/>
      <c r="W119" s="7"/>
      <c r="X119" s="7"/>
      <c r="Y119" s="7"/>
      <c r="Z119" s="7"/>
      <c r="AA119" s="28">
        <f t="shared" si="13"/>
        <v>117</v>
      </c>
      <c r="AB119" s="28">
        <f t="shared" ca="1" si="8"/>
        <v>20048</v>
      </c>
      <c r="AC119" s="28">
        <f t="shared" ca="1" si="9"/>
        <v>4</v>
      </c>
      <c r="AD119" s="29">
        <f t="shared" ca="1" si="10"/>
        <v>9000</v>
      </c>
      <c r="AE119" s="28" t="str">
        <f t="shared" ca="1" si="11"/>
        <v>副本48</v>
      </c>
      <c r="AF119" s="28">
        <f t="shared" si="12"/>
        <v>48</v>
      </c>
      <c r="AG119" s="28">
        <f>COUNTIF(AF$3:AF119,AF119)-1</f>
        <v>3</v>
      </c>
    </row>
    <row r="120" spans="1:33" x14ac:dyDescent="0.25">
      <c r="A120" s="27">
        <f ca="1">COUNTIF($F$3:F120,F120)+F120*$F$1</f>
        <v>20118</v>
      </c>
      <c r="B120" s="27" t="str">
        <f ca="1">E120 &amp; COUNTIF($F$3:F120,F120)</f>
        <v>副本118</v>
      </c>
      <c r="C120" s="14">
        <f t="shared" si="14"/>
        <v>4</v>
      </c>
      <c r="D120" s="14">
        <f>IF(C120=0,"",SUM(C$3:C120))</f>
        <v>385</v>
      </c>
      <c r="E120" s="27" t="s">
        <v>33</v>
      </c>
      <c r="F120" s="27">
        <f ca="1">OFFSET(参数!$A$1,MATCH($E120,参数!$B$2:$B$16,0),)</f>
        <v>2</v>
      </c>
      <c r="G120" s="14">
        <v>1</v>
      </c>
      <c r="H120" s="14">
        <v>19</v>
      </c>
      <c r="I120" s="14">
        <v>11</v>
      </c>
      <c r="J120" s="14">
        <v>9</v>
      </c>
      <c r="K120" s="14"/>
      <c r="L120" s="14"/>
      <c r="M120" s="14"/>
      <c r="N120" s="14"/>
      <c r="O120" s="14"/>
      <c r="P120" s="14"/>
      <c r="Q120" s="7">
        <v>1</v>
      </c>
      <c r="R120" s="7">
        <v>0.45</v>
      </c>
      <c r="S120" s="7">
        <v>0.6</v>
      </c>
      <c r="T120" s="7">
        <v>0.7</v>
      </c>
      <c r="U120" s="7"/>
      <c r="V120" s="7"/>
      <c r="W120" s="7"/>
      <c r="X120" s="7"/>
      <c r="Y120" s="7"/>
      <c r="Z120" s="7"/>
      <c r="AA120" s="28">
        <f t="shared" si="13"/>
        <v>118</v>
      </c>
      <c r="AB120" s="28">
        <f t="shared" ca="1" si="8"/>
        <v>20049</v>
      </c>
      <c r="AC120" s="28">
        <f t="shared" ca="1" si="9"/>
        <v>1</v>
      </c>
      <c r="AD120" s="29">
        <f t="shared" ca="1" si="10"/>
        <v>10000</v>
      </c>
      <c r="AE120" s="28" t="str">
        <f t="shared" ca="1" si="11"/>
        <v>副本49</v>
      </c>
      <c r="AF120" s="28">
        <f t="shared" si="12"/>
        <v>49</v>
      </c>
      <c r="AG120" s="28">
        <f>COUNTIF(AF$3:AF120,AF120)-1</f>
        <v>0</v>
      </c>
    </row>
    <row r="121" spans="1:33" x14ac:dyDescent="0.25">
      <c r="A121" s="27">
        <f ca="1">COUNTIF($F$3:F121,F121)+F121*$F$1</f>
        <v>20119</v>
      </c>
      <c r="B121" s="27" t="str">
        <f ca="1">E121 &amp; COUNTIF($F$3:F121,F121)</f>
        <v>副本119</v>
      </c>
      <c r="C121" s="14">
        <f t="shared" si="14"/>
        <v>4</v>
      </c>
      <c r="D121" s="14">
        <f>IF(C121=0,"",SUM(C$3:C121))</f>
        <v>389</v>
      </c>
      <c r="E121" s="27" t="s">
        <v>33</v>
      </c>
      <c r="F121" s="27">
        <f ca="1">OFFSET(参数!$A$1,MATCH($E121,参数!$B$2:$B$16,0),)</f>
        <v>2</v>
      </c>
      <c r="G121" s="14">
        <v>1</v>
      </c>
      <c r="H121" s="14">
        <v>17</v>
      </c>
      <c r="I121" s="14">
        <v>11</v>
      </c>
      <c r="J121" s="14">
        <v>9</v>
      </c>
      <c r="K121" s="14"/>
      <c r="L121" s="14"/>
      <c r="M121" s="14"/>
      <c r="N121" s="14"/>
      <c r="O121" s="14"/>
      <c r="P121" s="14"/>
      <c r="Q121" s="7">
        <v>1</v>
      </c>
      <c r="R121" s="7">
        <v>0.45</v>
      </c>
      <c r="S121" s="7">
        <v>0.6</v>
      </c>
      <c r="T121" s="7">
        <v>0.7</v>
      </c>
      <c r="U121" s="7"/>
      <c r="V121" s="7"/>
      <c r="W121" s="7"/>
      <c r="X121" s="7"/>
      <c r="Y121" s="7"/>
      <c r="Z121" s="7"/>
      <c r="AA121" s="28">
        <f t="shared" si="13"/>
        <v>119</v>
      </c>
      <c r="AB121" s="28">
        <f t="shared" ca="1" si="8"/>
        <v>20049</v>
      </c>
      <c r="AC121" s="28">
        <f t="shared" ca="1" si="9"/>
        <v>9</v>
      </c>
      <c r="AD121" s="29">
        <f t="shared" ca="1" si="10"/>
        <v>7000</v>
      </c>
      <c r="AE121" s="28" t="str">
        <f t="shared" ca="1" si="11"/>
        <v>副本49</v>
      </c>
      <c r="AF121" s="28">
        <f t="shared" si="12"/>
        <v>49</v>
      </c>
      <c r="AG121" s="28">
        <f>COUNTIF(AF$3:AF121,AF121)-1</f>
        <v>1</v>
      </c>
    </row>
    <row r="122" spans="1:33" x14ac:dyDescent="0.25">
      <c r="A122" s="27">
        <f ca="1">COUNTIF($F$3:F122,F122)+F122*$F$1</f>
        <v>20120</v>
      </c>
      <c r="B122" s="27" t="str">
        <f ca="1">E122 &amp; COUNTIF($F$3:F122,F122)</f>
        <v>副本120</v>
      </c>
      <c r="C122" s="14">
        <f t="shared" si="14"/>
        <v>4</v>
      </c>
      <c r="D122" s="14">
        <f>IF(C122=0,"",SUM(C$3:C122))</f>
        <v>393</v>
      </c>
      <c r="E122" s="27" t="s">
        <v>33</v>
      </c>
      <c r="F122" s="27">
        <f ca="1">OFFSET(参数!$A$1,MATCH($E122,参数!$B$2:$B$16,0),)</f>
        <v>2</v>
      </c>
      <c r="G122" s="14">
        <v>1</v>
      </c>
      <c r="H122" s="14">
        <v>17</v>
      </c>
      <c r="I122" s="14">
        <v>11</v>
      </c>
      <c r="J122" s="14">
        <v>9</v>
      </c>
      <c r="K122" s="14"/>
      <c r="L122" s="14"/>
      <c r="M122" s="14"/>
      <c r="N122" s="14"/>
      <c r="O122" s="14"/>
      <c r="P122" s="14"/>
      <c r="Q122" s="7">
        <v>1</v>
      </c>
      <c r="R122" s="7">
        <v>0.45</v>
      </c>
      <c r="S122" s="7">
        <v>0.6</v>
      </c>
      <c r="T122" s="7">
        <v>0.7</v>
      </c>
      <c r="U122" s="7"/>
      <c r="V122" s="7"/>
      <c r="W122" s="7"/>
      <c r="X122" s="7"/>
      <c r="Y122" s="7"/>
      <c r="Z122" s="7"/>
      <c r="AA122" s="28">
        <f t="shared" si="13"/>
        <v>120</v>
      </c>
      <c r="AB122" s="28">
        <f t="shared" ca="1" si="8"/>
        <v>20049</v>
      </c>
      <c r="AC122" s="28">
        <f t="shared" ca="1" si="9"/>
        <v>7</v>
      </c>
      <c r="AD122" s="29">
        <f t="shared" ca="1" si="10"/>
        <v>8000</v>
      </c>
      <c r="AE122" s="28" t="str">
        <f t="shared" ca="1" si="11"/>
        <v>副本49</v>
      </c>
      <c r="AF122" s="28">
        <f t="shared" si="12"/>
        <v>49</v>
      </c>
      <c r="AG122" s="28">
        <f>COUNTIF(AF$3:AF122,AF122)-1</f>
        <v>2</v>
      </c>
    </row>
    <row r="123" spans="1:33" x14ac:dyDescent="0.25">
      <c r="A123" s="27">
        <f ca="1">COUNTIF($F$3:F123,F123)+F123*$F$1</f>
        <v>20121</v>
      </c>
      <c r="B123" s="27" t="str">
        <f ca="1">E123 &amp; COUNTIF($F$3:F123,F123)</f>
        <v>副本121</v>
      </c>
      <c r="C123" s="14">
        <f t="shared" si="14"/>
        <v>4</v>
      </c>
      <c r="D123" s="14">
        <f>IF(C123=0,"",SUM(C$3:C123))</f>
        <v>397</v>
      </c>
      <c r="E123" s="27" t="s">
        <v>33</v>
      </c>
      <c r="F123" s="27">
        <f ca="1">OFFSET(参数!$A$1,MATCH($E123,参数!$B$2:$B$16,0),)</f>
        <v>2</v>
      </c>
      <c r="G123" s="14">
        <v>1</v>
      </c>
      <c r="H123" s="14">
        <v>17</v>
      </c>
      <c r="I123" s="14">
        <v>11</v>
      </c>
      <c r="J123" s="14">
        <v>9</v>
      </c>
      <c r="K123" s="14"/>
      <c r="L123" s="14"/>
      <c r="M123" s="14"/>
      <c r="N123" s="14"/>
      <c r="O123" s="14"/>
      <c r="P123" s="14"/>
      <c r="Q123" s="7">
        <v>1</v>
      </c>
      <c r="R123" s="7">
        <v>0.45</v>
      </c>
      <c r="S123" s="7">
        <v>0.6</v>
      </c>
      <c r="T123" s="7">
        <v>0.7</v>
      </c>
      <c r="U123" s="7"/>
      <c r="V123" s="7"/>
      <c r="W123" s="7"/>
      <c r="X123" s="7"/>
      <c r="Y123" s="7"/>
      <c r="Z123" s="7"/>
      <c r="AA123" s="28">
        <f t="shared" si="13"/>
        <v>121</v>
      </c>
      <c r="AB123" s="28">
        <f t="shared" ca="1" si="8"/>
        <v>20049</v>
      </c>
      <c r="AC123" s="28">
        <f t="shared" ca="1" si="9"/>
        <v>3</v>
      </c>
      <c r="AD123" s="29">
        <f t="shared" ca="1" si="10"/>
        <v>9000</v>
      </c>
      <c r="AE123" s="28" t="str">
        <f t="shared" ca="1" si="11"/>
        <v>副本49</v>
      </c>
      <c r="AF123" s="28">
        <f t="shared" si="12"/>
        <v>49</v>
      </c>
      <c r="AG123" s="28">
        <f>COUNTIF(AF$3:AF123,AF123)-1</f>
        <v>3</v>
      </c>
    </row>
    <row r="124" spans="1:33" x14ac:dyDescent="0.25">
      <c r="A124" s="27">
        <f ca="1">COUNTIF($F$3:F124,F124)+F124*$F$1</f>
        <v>20122</v>
      </c>
      <c r="B124" s="27" t="str">
        <f ca="1">E124 &amp; COUNTIF($F$3:F124,F124)</f>
        <v>副本122</v>
      </c>
      <c r="C124" s="14">
        <f t="shared" si="14"/>
        <v>4</v>
      </c>
      <c r="D124" s="14">
        <f>IF(C124=0,"",SUM(C$3:C124))</f>
        <v>401</v>
      </c>
      <c r="E124" s="27" t="s">
        <v>33</v>
      </c>
      <c r="F124" s="27">
        <f ca="1">OFFSET(参数!$A$1,MATCH($E124,参数!$B$2:$B$16,0),)</f>
        <v>2</v>
      </c>
      <c r="G124" s="14">
        <v>1</v>
      </c>
      <c r="H124" s="14">
        <v>17</v>
      </c>
      <c r="I124" s="14">
        <v>11</v>
      </c>
      <c r="J124" s="14">
        <v>9</v>
      </c>
      <c r="K124" s="14"/>
      <c r="L124" s="14"/>
      <c r="M124" s="14"/>
      <c r="N124" s="14"/>
      <c r="O124" s="14"/>
      <c r="P124" s="14"/>
      <c r="Q124" s="7">
        <v>1</v>
      </c>
      <c r="R124" s="7">
        <v>0.45</v>
      </c>
      <c r="S124" s="7">
        <v>0.6</v>
      </c>
      <c r="T124" s="7">
        <v>0.7</v>
      </c>
      <c r="U124" s="7"/>
      <c r="V124" s="7"/>
      <c r="W124" s="7"/>
      <c r="X124" s="7"/>
      <c r="Y124" s="7"/>
      <c r="Z124" s="7"/>
      <c r="AA124" s="28">
        <f t="shared" si="13"/>
        <v>122</v>
      </c>
      <c r="AB124" s="28">
        <f t="shared" ca="1" si="8"/>
        <v>20050</v>
      </c>
      <c r="AC124" s="28">
        <f t="shared" ca="1" si="9"/>
        <v>1</v>
      </c>
      <c r="AD124" s="29">
        <f t="shared" ca="1" si="10"/>
        <v>10000</v>
      </c>
      <c r="AE124" s="28" t="str">
        <f t="shared" ca="1" si="11"/>
        <v>副本50</v>
      </c>
      <c r="AF124" s="28">
        <f t="shared" si="12"/>
        <v>50</v>
      </c>
      <c r="AG124" s="28">
        <f>COUNTIF(AF$3:AF124,AF124)-1</f>
        <v>0</v>
      </c>
    </row>
    <row r="125" spans="1:33" x14ac:dyDescent="0.25">
      <c r="A125" s="27">
        <f ca="1">COUNTIF($F$3:F125,F125)+F125*$F$1</f>
        <v>20123</v>
      </c>
      <c r="B125" s="27" t="str">
        <f ca="1">E125 &amp; COUNTIF($F$3:F125,F125)</f>
        <v>副本123</v>
      </c>
      <c r="C125" s="14">
        <f t="shared" si="14"/>
        <v>4</v>
      </c>
      <c r="D125" s="14">
        <f>IF(C125=0,"",SUM(C$3:C125))</f>
        <v>405</v>
      </c>
      <c r="E125" s="27" t="s">
        <v>33</v>
      </c>
      <c r="F125" s="27">
        <f ca="1">OFFSET(参数!$A$1,MATCH($E125,参数!$B$2:$B$16,0),)</f>
        <v>2</v>
      </c>
      <c r="G125" s="14">
        <v>1</v>
      </c>
      <c r="H125" s="14">
        <v>18</v>
      </c>
      <c r="I125" s="14">
        <v>12</v>
      </c>
      <c r="J125" s="14">
        <v>8</v>
      </c>
      <c r="K125" s="14"/>
      <c r="L125" s="14"/>
      <c r="M125" s="14"/>
      <c r="N125" s="14"/>
      <c r="O125" s="14"/>
      <c r="P125" s="14"/>
      <c r="Q125" s="7">
        <v>1</v>
      </c>
      <c r="R125" s="7">
        <v>0.45</v>
      </c>
      <c r="S125" s="7">
        <v>0.6</v>
      </c>
      <c r="T125" s="7">
        <v>0.7</v>
      </c>
      <c r="U125" s="7"/>
      <c r="V125" s="7"/>
      <c r="W125" s="7"/>
      <c r="X125" s="7"/>
      <c r="Y125" s="7"/>
      <c r="Z125" s="7"/>
      <c r="AA125" s="28">
        <f t="shared" si="13"/>
        <v>123</v>
      </c>
      <c r="AB125" s="28">
        <f t="shared" ca="1" si="8"/>
        <v>20050</v>
      </c>
      <c r="AC125" s="28">
        <f t="shared" ca="1" si="9"/>
        <v>9</v>
      </c>
      <c r="AD125" s="29">
        <f t="shared" ca="1" si="10"/>
        <v>7000</v>
      </c>
      <c r="AE125" s="28" t="str">
        <f t="shared" ca="1" si="11"/>
        <v>副本50</v>
      </c>
      <c r="AF125" s="28">
        <f t="shared" si="12"/>
        <v>50</v>
      </c>
      <c r="AG125" s="28">
        <f>COUNTIF(AF$3:AF125,AF125)-1</f>
        <v>1</v>
      </c>
    </row>
    <row r="126" spans="1:33" x14ac:dyDescent="0.25">
      <c r="A126" s="27">
        <f ca="1">COUNTIF($F$3:F126,F126)+F126*$F$1</f>
        <v>20124</v>
      </c>
      <c r="B126" s="27" t="str">
        <f ca="1">E126 &amp; COUNTIF($F$3:F126,F126)</f>
        <v>副本124</v>
      </c>
      <c r="C126" s="14">
        <f t="shared" si="14"/>
        <v>4</v>
      </c>
      <c r="D126" s="14">
        <f>IF(C126=0,"",SUM(C$3:C126))</f>
        <v>409</v>
      </c>
      <c r="E126" s="27" t="s">
        <v>33</v>
      </c>
      <c r="F126" s="27">
        <f ca="1">OFFSET(参数!$A$1,MATCH($E126,参数!$B$2:$B$16,0),)</f>
        <v>2</v>
      </c>
      <c r="G126" s="14">
        <v>1</v>
      </c>
      <c r="H126" s="14">
        <v>18</v>
      </c>
      <c r="I126" s="14">
        <v>12</v>
      </c>
      <c r="J126" s="14">
        <v>8</v>
      </c>
      <c r="K126" s="14"/>
      <c r="L126" s="14"/>
      <c r="M126" s="14"/>
      <c r="N126" s="14"/>
      <c r="O126" s="14"/>
      <c r="P126" s="14"/>
      <c r="Q126" s="7">
        <v>1</v>
      </c>
      <c r="R126" s="7">
        <v>0.45</v>
      </c>
      <c r="S126" s="7">
        <v>0.6</v>
      </c>
      <c r="T126" s="7">
        <v>0.7</v>
      </c>
      <c r="U126" s="7"/>
      <c r="V126" s="7"/>
      <c r="W126" s="7"/>
      <c r="X126" s="7"/>
      <c r="Y126" s="7"/>
      <c r="Z126" s="7"/>
      <c r="AA126" s="28">
        <f t="shared" si="13"/>
        <v>124</v>
      </c>
      <c r="AB126" s="28">
        <f t="shared" ca="1" si="8"/>
        <v>20050</v>
      </c>
      <c r="AC126" s="28">
        <f t="shared" ca="1" si="9"/>
        <v>7</v>
      </c>
      <c r="AD126" s="29">
        <f t="shared" ca="1" si="10"/>
        <v>8000</v>
      </c>
      <c r="AE126" s="28" t="str">
        <f t="shared" ca="1" si="11"/>
        <v>副本50</v>
      </c>
      <c r="AF126" s="28">
        <f t="shared" si="12"/>
        <v>50</v>
      </c>
      <c r="AG126" s="28">
        <f>COUNTIF(AF$3:AF126,AF126)-1</f>
        <v>2</v>
      </c>
    </row>
    <row r="127" spans="1:33" x14ac:dyDescent="0.25">
      <c r="A127" s="27">
        <f ca="1">COUNTIF($F$3:F127,F127)+F127*$F$1</f>
        <v>20125</v>
      </c>
      <c r="B127" s="27" t="str">
        <f ca="1">E127 &amp; COUNTIF($F$3:F127,F127)</f>
        <v>副本125</v>
      </c>
      <c r="C127" s="14">
        <f t="shared" si="14"/>
        <v>4</v>
      </c>
      <c r="D127" s="14">
        <f>IF(C127=0,"",SUM(C$3:C127))</f>
        <v>413</v>
      </c>
      <c r="E127" s="27" t="s">
        <v>33</v>
      </c>
      <c r="F127" s="27">
        <f ca="1">OFFSET(参数!$A$1,MATCH($E127,参数!$B$2:$B$16,0),)</f>
        <v>2</v>
      </c>
      <c r="G127" s="14">
        <v>1</v>
      </c>
      <c r="H127" s="14">
        <v>18</v>
      </c>
      <c r="I127" s="14">
        <v>12</v>
      </c>
      <c r="J127" s="14">
        <v>8</v>
      </c>
      <c r="K127" s="14"/>
      <c r="L127" s="14"/>
      <c r="M127" s="14"/>
      <c r="N127" s="14"/>
      <c r="O127" s="14"/>
      <c r="P127" s="14"/>
      <c r="Q127" s="7">
        <v>1</v>
      </c>
      <c r="R127" s="7">
        <v>0.45</v>
      </c>
      <c r="S127" s="7">
        <v>0.6</v>
      </c>
      <c r="T127" s="7">
        <v>0.7</v>
      </c>
      <c r="U127" s="7"/>
      <c r="V127" s="7"/>
      <c r="W127" s="7"/>
      <c r="X127" s="7"/>
      <c r="Y127" s="7"/>
      <c r="Z127" s="7"/>
      <c r="AA127" s="28">
        <f t="shared" si="13"/>
        <v>125</v>
      </c>
      <c r="AB127" s="28">
        <f t="shared" ca="1" si="8"/>
        <v>20050</v>
      </c>
      <c r="AC127" s="28">
        <f t="shared" ca="1" si="9"/>
        <v>3</v>
      </c>
      <c r="AD127" s="29">
        <f t="shared" ca="1" si="10"/>
        <v>9000</v>
      </c>
      <c r="AE127" s="28" t="str">
        <f t="shared" ca="1" si="11"/>
        <v>副本50</v>
      </c>
      <c r="AF127" s="28">
        <f t="shared" si="12"/>
        <v>50</v>
      </c>
      <c r="AG127" s="28">
        <f>COUNTIF(AF$3:AF127,AF127)-1</f>
        <v>3</v>
      </c>
    </row>
    <row r="128" spans="1:33" x14ac:dyDescent="0.25">
      <c r="A128" s="27">
        <f ca="1">COUNTIF($F$3:F128,F128)+F128*$F$1</f>
        <v>20126</v>
      </c>
      <c r="B128" s="27" t="str">
        <f ca="1">E128 &amp; COUNTIF($F$3:F128,F128)</f>
        <v>副本126</v>
      </c>
      <c r="C128" s="14">
        <f t="shared" si="14"/>
        <v>4</v>
      </c>
      <c r="D128" s="14">
        <f>IF(C128=0,"",SUM(C$3:C128))</f>
        <v>417</v>
      </c>
      <c r="E128" s="27" t="s">
        <v>33</v>
      </c>
      <c r="F128" s="27">
        <f ca="1">OFFSET(参数!$A$1,MATCH($E128,参数!$B$2:$B$16,0),)</f>
        <v>2</v>
      </c>
      <c r="G128" s="14">
        <v>1</v>
      </c>
      <c r="H128" s="14">
        <v>18</v>
      </c>
      <c r="I128" s="14">
        <v>12</v>
      </c>
      <c r="J128" s="14">
        <v>8</v>
      </c>
      <c r="K128" s="14"/>
      <c r="L128" s="14"/>
      <c r="M128" s="14"/>
      <c r="N128" s="14"/>
      <c r="O128" s="14"/>
      <c r="P128" s="14"/>
      <c r="Q128" s="7">
        <v>1</v>
      </c>
      <c r="R128" s="7">
        <v>0.45</v>
      </c>
      <c r="S128" s="7">
        <v>0.6</v>
      </c>
      <c r="T128" s="7">
        <v>0.7</v>
      </c>
      <c r="U128" s="7"/>
      <c r="V128" s="7"/>
      <c r="W128" s="7"/>
      <c r="X128" s="7"/>
      <c r="Y128" s="7"/>
      <c r="Z128" s="7"/>
      <c r="AA128" s="28">
        <f t="shared" si="13"/>
        <v>126</v>
      </c>
      <c r="AB128" s="28">
        <f t="shared" ca="1" si="8"/>
        <v>20051</v>
      </c>
      <c r="AC128" s="28">
        <f t="shared" ca="1" si="9"/>
        <v>1</v>
      </c>
      <c r="AD128" s="29">
        <f t="shared" ca="1" si="10"/>
        <v>10000</v>
      </c>
      <c r="AE128" s="28" t="str">
        <f t="shared" ca="1" si="11"/>
        <v>副本51</v>
      </c>
      <c r="AF128" s="28">
        <f t="shared" si="12"/>
        <v>51</v>
      </c>
      <c r="AG128" s="28">
        <f>COUNTIF(AF$3:AF128,AF128)-1</f>
        <v>0</v>
      </c>
    </row>
    <row r="129" spans="1:33" x14ac:dyDescent="0.25">
      <c r="A129" s="27">
        <f ca="1">COUNTIF($F$3:F129,F129)+F129*$F$1</f>
        <v>20127</v>
      </c>
      <c r="B129" s="27" t="str">
        <f ca="1">E129 &amp; COUNTIF($F$3:F129,F129)</f>
        <v>副本127</v>
      </c>
      <c r="C129" s="14">
        <f t="shared" si="14"/>
        <v>4</v>
      </c>
      <c r="D129" s="14">
        <f>IF(C129=0,"",SUM(C$3:C129))</f>
        <v>421</v>
      </c>
      <c r="E129" s="27" t="s">
        <v>33</v>
      </c>
      <c r="F129" s="27">
        <f ca="1">OFFSET(参数!$A$1,MATCH($E129,参数!$B$2:$B$16,0),)</f>
        <v>2</v>
      </c>
      <c r="G129" s="14">
        <v>1</v>
      </c>
      <c r="H129" s="14">
        <v>19</v>
      </c>
      <c r="I129" s="14">
        <v>13</v>
      </c>
      <c r="J129" s="14">
        <v>10</v>
      </c>
      <c r="K129" s="14"/>
      <c r="L129" s="14"/>
      <c r="M129" s="14"/>
      <c r="N129" s="14"/>
      <c r="O129" s="14"/>
      <c r="P129" s="14"/>
      <c r="Q129" s="7">
        <v>1</v>
      </c>
      <c r="R129" s="7">
        <v>0.45</v>
      </c>
      <c r="S129" s="7">
        <v>0.6</v>
      </c>
      <c r="T129" s="7">
        <v>0.7</v>
      </c>
      <c r="U129" s="7"/>
      <c r="V129" s="7"/>
      <c r="W129" s="7"/>
      <c r="X129" s="7"/>
      <c r="Y129" s="7"/>
      <c r="Z129" s="7"/>
      <c r="AA129" s="28">
        <f t="shared" si="13"/>
        <v>127</v>
      </c>
      <c r="AB129" s="28">
        <f t="shared" ca="1" si="8"/>
        <v>20051</v>
      </c>
      <c r="AC129" s="28">
        <f t="shared" ca="1" si="9"/>
        <v>9</v>
      </c>
      <c r="AD129" s="29">
        <f t="shared" ca="1" si="10"/>
        <v>7000</v>
      </c>
      <c r="AE129" s="28" t="str">
        <f t="shared" ca="1" si="11"/>
        <v>副本51</v>
      </c>
      <c r="AF129" s="28">
        <f t="shared" si="12"/>
        <v>51</v>
      </c>
      <c r="AG129" s="28">
        <f>COUNTIF(AF$3:AF129,AF129)-1</f>
        <v>1</v>
      </c>
    </row>
    <row r="130" spans="1:33" x14ac:dyDescent="0.25">
      <c r="A130" s="27">
        <f ca="1">COUNTIF($F$3:F130,F130)+F130*$F$1</f>
        <v>20128</v>
      </c>
      <c r="B130" s="27" t="str">
        <f ca="1">E130 &amp; COUNTIF($F$3:F130,F130)</f>
        <v>副本128</v>
      </c>
      <c r="C130" s="14">
        <f t="shared" si="14"/>
        <v>4</v>
      </c>
      <c r="D130" s="14">
        <f>IF(C130=0,"",SUM(C$3:C130))</f>
        <v>425</v>
      </c>
      <c r="E130" s="27" t="s">
        <v>33</v>
      </c>
      <c r="F130" s="27">
        <f ca="1">OFFSET(参数!$A$1,MATCH($E130,参数!$B$2:$B$16,0),)</f>
        <v>2</v>
      </c>
      <c r="G130" s="14">
        <v>1</v>
      </c>
      <c r="H130" s="14">
        <v>19</v>
      </c>
      <c r="I130" s="14">
        <v>13</v>
      </c>
      <c r="J130" s="14">
        <v>10</v>
      </c>
      <c r="K130" s="14"/>
      <c r="L130" s="14"/>
      <c r="M130" s="14"/>
      <c r="N130" s="14"/>
      <c r="O130" s="14"/>
      <c r="P130" s="14"/>
      <c r="Q130" s="7">
        <v>1</v>
      </c>
      <c r="R130" s="7">
        <v>0.45</v>
      </c>
      <c r="S130" s="7">
        <v>0.6</v>
      </c>
      <c r="T130" s="7">
        <v>0.7</v>
      </c>
      <c r="U130" s="7"/>
      <c r="V130" s="7"/>
      <c r="W130" s="7"/>
      <c r="X130" s="7"/>
      <c r="Y130" s="7"/>
      <c r="Z130" s="7"/>
      <c r="AA130" s="28">
        <f t="shared" si="13"/>
        <v>128</v>
      </c>
      <c r="AB130" s="28">
        <f t="shared" ca="1" si="8"/>
        <v>20051</v>
      </c>
      <c r="AC130" s="28">
        <f t="shared" ca="1" si="9"/>
        <v>7</v>
      </c>
      <c r="AD130" s="29">
        <f t="shared" ca="1" si="10"/>
        <v>8000</v>
      </c>
      <c r="AE130" s="28" t="str">
        <f t="shared" ca="1" si="11"/>
        <v>副本51</v>
      </c>
      <c r="AF130" s="28">
        <f t="shared" si="12"/>
        <v>51</v>
      </c>
      <c r="AG130" s="28">
        <f>COUNTIF(AF$3:AF130,AF130)-1</f>
        <v>2</v>
      </c>
    </row>
    <row r="131" spans="1:33" x14ac:dyDescent="0.25">
      <c r="A131" s="27">
        <f ca="1">COUNTIF($F$3:F131,F131)+F131*$F$1</f>
        <v>20129</v>
      </c>
      <c r="B131" s="27" t="str">
        <f ca="1">E131 &amp; COUNTIF($F$3:F131,F131)</f>
        <v>副本129</v>
      </c>
      <c r="C131" s="14">
        <f t="shared" si="14"/>
        <v>4</v>
      </c>
      <c r="D131" s="14">
        <f>IF(C131=0,"",SUM(C$3:C131))</f>
        <v>429</v>
      </c>
      <c r="E131" s="27" t="s">
        <v>33</v>
      </c>
      <c r="F131" s="27">
        <f ca="1">OFFSET(参数!$A$1,MATCH($E131,参数!$B$2:$B$16,0),)</f>
        <v>2</v>
      </c>
      <c r="G131" s="14">
        <v>1</v>
      </c>
      <c r="H131" s="14">
        <v>19</v>
      </c>
      <c r="I131" s="14">
        <v>13</v>
      </c>
      <c r="J131" s="14">
        <v>10</v>
      </c>
      <c r="K131" s="14"/>
      <c r="L131" s="14"/>
      <c r="M131" s="14"/>
      <c r="N131" s="14"/>
      <c r="O131" s="14"/>
      <c r="P131" s="14"/>
      <c r="Q131" s="7">
        <v>1</v>
      </c>
      <c r="R131" s="7">
        <v>0.45</v>
      </c>
      <c r="S131" s="7">
        <v>0.6</v>
      </c>
      <c r="T131" s="7">
        <v>0.7</v>
      </c>
      <c r="U131" s="7"/>
      <c r="V131" s="7"/>
      <c r="W131" s="7"/>
      <c r="X131" s="7"/>
      <c r="Y131" s="7"/>
      <c r="Z131" s="7"/>
      <c r="AA131" s="28">
        <f t="shared" si="13"/>
        <v>129</v>
      </c>
      <c r="AB131" s="28">
        <f t="shared" ref="AB131:AB194" ca="1" si="15">OFFSET(A$2,$AF131,)</f>
        <v>20051</v>
      </c>
      <c r="AC131" s="28">
        <f t="shared" ref="AC131:AC194" ca="1" si="16">OFFSET($G$2,$AF131,$AG131)</f>
        <v>3</v>
      </c>
      <c r="AD131" s="29">
        <f t="shared" ref="AD131:AD194" ca="1" si="17">OFFSET($Q$2,$AF131,$AG131)*$AD$1</f>
        <v>9000</v>
      </c>
      <c r="AE131" s="28" t="str">
        <f t="shared" ref="AE131:AE194" ca="1" si="18">OFFSET(B$2,$AF131,)</f>
        <v>副本51</v>
      </c>
      <c r="AF131" s="28">
        <f t="shared" ref="AF131:AF194" si="19">FREQUENCY(D:D,AA131-0.1)+1</f>
        <v>51</v>
      </c>
      <c r="AG131" s="28">
        <f>COUNTIF(AF$3:AF131,AF131)-1</f>
        <v>3</v>
      </c>
    </row>
    <row r="132" spans="1:33" x14ac:dyDescent="0.25">
      <c r="A132" s="27">
        <f ca="1">COUNTIF($F$3:F132,F132)+F132*$F$1</f>
        <v>20130</v>
      </c>
      <c r="B132" s="27" t="str">
        <f ca="1">E132 &amp; COUNTIF($F$3:F132,F132)</f>
        <v>副本130</v>
      </c>
      <c r="C132" s="14">
        <f t="shared" si="14"/>
        <v>4</v>
      </c>
      <c r="D132" s="14">
        <f>IF(C132=0,"",SUM(C$3:C132))</f>
        <v>433</v>
      </c>
      <c r="E132" s="27" t="s">
        <v>33</v>
      </c>
      <c r="F132" s="27">
        <f ca="1">OFFSET(参数!$A$1,MATCH($E132,参数!$B$2:$B$16,0),)</f>
        <v>2</v>
      </c>
      <c r="G132" s="14">
        <v>1</v>
      </c>
      <c r="H132" s="14">
        <v>19</v>
      </c>
      <c r="I132" s="14">
        <v>13</v>
      </c>
      <c r="J132" s="14">
        <v>10</v>
      </c>
      <c r="K132" s="14"/>
      <c r="L132" s="14"/>
      <c r="M132" s="14"/>
      <c r="N132" s="14"/>
      <c r="O132" s="14"/>
      <c r="P132" s="14"/>
      <c r="Q132" s="7">
        <v>1</v>
      </c>
      <c r="R132" s="7">
        <v>0.45</v>
      </c>
      <c r="S132" s="7">
        <v>0.6</v>
      </c>
      <c r="T132" s="7">
        <v>0.7</v>
      </c>
      <c r="U132" s="7"/>
      <c r="V132" s="7"/>
      <c r="W132" s="7"/>
      <c r="X132" s="7"/>
      <c r="Y132" s="7"/>
      <c r="Z132" s="7"/>
      <c r="AA132" s="28">
        <f t="shared" ref="AA132:AA195" si="20">IF(ROW(A130)&gt;MAX(D:D),"",ROW(A130))</f>
        <v>130</v>
      </c>
      <c r="AB132" s="28">
        <f t="shared" ca="1" si="15"/>
        <v>20052</v>
      </c>
      <c r="AC132" s="28">
        <f t="shared" ca="1" si="16"/>
        <v>1</v>
      </c>
      <c r="AD132" s="29">
        <f t="shared" ca="1" si="17"/>
        <v>10000</v>
      </c>
      <c r="AE132" s="28" t="str">
        <f t="shared" ca="1" si="18"/>
        <v>副本52</v>
      </c>
      <c r="AF132" s="28">
        <f t="shared" si="19"/>
        <v>52</v>
      </c>
      <c r="AG132" s="28">
        <f>COUNTIF(AF$3:AF132,AF132)-1</f>
        <v>0</v>
      </c>
    </row>
    <row r="133" spans="1:33" x14ac:dyDescent="0.25">
      <c r="A133" s="27">
        <f ca="1">COUNTIF($F$3:F133,F133)+F133*$F$1</f>
        <v>20131</v>
      </c>
      <c r="B133" s="27" t="str">
        <f ca="1">E133 &amp; COUNTIF($F$3:F133,F133)</f>
        <v>副本131</v>
      </c>
      <c r="C133" s="14">
        <f t="shared" si="14"/>
        <v>4</v>
      </c>
      <c r="D133" s="14">
        <f>IF(C133=0,"",SUM(C$3:C133))</f>
        <v>437</v>
      </c>
      <c r="E133" s="27" t="s">
        <v>33</v>
      </c>
      <c r="F133" s="27">
        <f ca="1">OFFSET(参数!$A$1,MATCH($E133,参数!$B$2:$B$16,0),)</f>
        <v>2</v>
      </c>
      <c r="G133" s="14">
        <v>1</v>
      </c>
      <c r="H133" s="14">
        <v>20</v>
      </c>
      <c r="I133" s="14">
        <v>16</v>
      </c>
      <c r="J133" s="14">
        <v>13</v>
      </c>
      <c r="K133" s="14"/>
      <c r="L133" s="14"/>
      <c r="M133" s="14"/>
      <c r="N133" s="14"/>
      <c r="O133" s="14"/>
      <c r="P133" s="14"/>
      <c r="Q133" s="7">
        <v>1</v>
      </c>
      <c r="R133" s="7">
        <v>0.4</v>
      </c>
      <c r="S133" s="7">
        <v>0.5</v>
      </c>
      <c r="T133" s="7">
        <v>0.6</v>
      </c>
      <c r="U133" s="7"/>
      <c r="V133" s="7"/>
      <c r="W133" s="7"/>
      <c r="X133" s="7"/>
      <c r="Y133" s="7"/>
      <c r="Z133" s="7"/>
      <c r="AA133" s="28">
        <f t="shared" si="20"/>
        <v>131</v>
      </c>
      <c r="AB133" s="28">
        <f t="shared" ca="1" si="15"/>
        <v>20052</v>
      </c>
      <c r="AC133" s="28">
        <f t="shared" ca="1" si="16"/>
        <v>10</v>
      </c>
      <c r="AD133" s="29">
        <f t="shared" ca="1" si="17"/>
        <v>7000</v>
      </c>
      <c r="AE133" s="28" t="str">
        <f t="shared" ca="1" si="18"/>
        <v>副本52</v>
      </c>
      <c r="AF133" s="28">
        <f t="shared" si="19"/>
        <v>52</v>
      </c>
      <c r="AG133" s="28">
        <f>COUNTIF(AF$3:AF133,AF133)-1</f>
        <v>1</v>
      </c>
    </row>
    <row r="134" spans="1:33" x14ac:dyDescent="0.25">
      <c r="A134" s="27">
        <f ca="1">COUNTIF($F$3:F134,F134)+F134*$F$1</f>
        <v>20132</v>
      </c>
      <c r="B134" s="27" t="str">
        <f ca="1">E134 &amp; COUNTIF($F$3:F134,F134)</f>
        <v>副本132</v>
      </c>
      <c r="C134" s="14">
        <f t="shared" si="14"/>
        <v>4</v>
      </c>
      <c r="D134" s="14">
        <f>IF(C134=0,"",SUM(C$3:C134))</f>
        <v>441</v>
      </c>
      <c r="E134" s="27" t="s">
        <v>33</v>
      </c>
      <c r="F134" s="27">
        <f ca="1">OFFSET(参数!$A$1,MATCH($E134,参数!$B$2:$B$16,0),)</f>
        <v>2</v>
      </c>
      <c r="G134" s="14">
        <v>1</v>
      </c>
      <c r="H134" s="14">
        <v>20</v>
      </c>
      <c r="I134" s="14">
        <v>16</v>
      </c>
      <c r="J134" s="14">
        <v>13</v>
      </c>
      <c r="K134" s="14"/>
      <c r="L134" s="14"/>
      <c r="M134" s="14"/>
      <c r="N134" s="14"/>
      <c r="O134" s="14"/>
      <c r="P134" s="14"/>
      <c r="Q134" s="7">
        <v>1</v>
      </c>
      <c r="R134" s="7">
        <v>0.4</v>
      </c>
      <c r="S134" s="7">
        <v>0.5</v>
      </c>
      <c r="T134" s="7">
        <v>0.6</v>
      </c>
      <c r="U134" s="7"/>
      <c r="V134" s="7"/>
      <c r="W134" s="7"/>
      <c r="X134" s="7"/>
      <c r="Y134" s="7"/>
      <c r="Z134" s="7"/>
      <c r="AA134" s="28">
        <f t="shared" si="20"/>
        <v>132</v>
      </c>
      <c r="AB134" s="28">
        <f t="shared" ca="1" si="15"/>
        <v>20052</v>
      </c>
      <c r="AC134" s="28">
        <f t="shared" ca="1" si="16"/>
        <v>5</v>
      </c>
      <c r="AD134" s="29">
        <f t="shared" ca="1" si="17"/>
        <v>8000</v>
      </c>
      <c r="AE134" s="28" t="str">
        <f t="shared" ca="1" si="18"/>
        <v>副本52</v>
      </c>
      <c r="AF134" s="28">
        <f t="shared" si="19"/>
        <v>52</v>
      </c>
      <c r="AG134" s="28">
        <f>COUNTIF(AF$3:AF134,AF134)-1</f>
        <v>2</v>
      </c>
    </row>
    <row r="135" spans="1:33" x14ac:dyDescent="0.25">
      <c r="A135" s="27">
        <f ca="1">COUNTIF($F$3:F135,F135)+F135*$F$1</f>
        <v>20133</v>
      </c>
      <c r="B135" s="27" t="str">
        <f ca="1">E135 &amp; COUNTIF($F$3:F135,F135)</f>
        <v>副本133</v>
      </c>
      <c r="C135" s="14">
        <f t="shared" si="14"/>
        <v>4</v>
      </c>
      <c r="D135" s="14">
        <f>IF(C135=0,"",SUM(C$3:C135))</f>
        <v>445</v>
      </c>
      <c r="E135" s="27" t="s">
        <v>33</v>
      </c>
      <c r="F135" s="27">
        <f ca="1">OFFSET(参数!$A$1,MATCH($E135,参数!$B$2:$B$16,0),)</f>
        <v>2</v>
      </c>
      <c r="G135" s="14">
        <v>1</v>
      </c>
      <c r="H135" s="14">
        <v>20</v>
      </c>
      <c r="I135" s="14">
        <v>16</v>
      </c>
      <c r="J135" s="14">
        <v>13</v>
      </c>
      <c r="K135" s="14"/>
      <c r="L135" s="14"/>
      <c r="M135" s="14"/>
      <c r="N135" s="14"/>
      <c r="O135" s="14"/>
      <c r="P135" s="14"/>
      <c r="Q135" s="7">
        <v>1</v>
      </c>
      <c r="R135" s="7">
        <v>0.4</v>
      </c>
      <c r="S135" s="7">
        <v>0.5</v>
      </c>
      <c r="T135" s="7">
        <v>0.6</v>
      </c>
      <c r="U135" s="7"/>
      <c r="V135" s="7"/>
      <c r="W135" s="7"/>
      <c r="X135" s="7"/>
      <c r="Y135" s="7"/>
      <c r="Z135" s="7"/>
      <c r="AA135" s="28">
        <f t="shared" si="20"/>
        <v>133</v>
      </c>
      <c r="AB135" s="28">
        <f t="shared" ca="1" si="15"/>
        <v>20052</v>
      </c>
      <c r="AC135" s="28">
        <f t="shared" ca="1" si="16"/>
        <v>2</v>
      </c>
      <c r="AD135" s="29">
        <f t="shared" ca="1" si="17"/>
        <v>9000</v>
      </c>
      <c r="AE135" s="28" t="str">
        <f t="shared" ca="1" si="18"/>
        <v>副本52</v>
      </c>
      <c r="AF135" s="28">
        <f t="shared" si="19"/>
        <v>52</v>
      </c>
      <c r="AG135" s="28">
        <f>COUNTIF(AF$3:AF135,AF135)-1</f>
        <v>3</v>
      </c>
    </row>
    <row r="136" spans="1:33" x14ac:dyDescent="0.25">
      <c r="A136" s="27">
        <f ca="1">COUNTIF($F$3:F136,F136)+F136*$F$1</f>
        <v>20134</v>
      </c>
      <c r="B136" s="27" t="str">
        <f ca="1">E136 &amp; COUNTIF($F$3:F136,F136)</f>
        <v>副本134</v>
      </c>
      <c r="C136" s="14">
        <f t="shared" si="14"/>
        <v>4</v>
      </c>
      <c r="D136" s="14">
        <f>IF(C136=0,"",SUM(C$3:C136))</f>
        <v>449</v>
      </c>
      <c r="E136" s="27" t="s">
        <v>33</v>
      </c>
      <c r="F136" s="27">
        <f ca="1">OFFSET(参数!$A$1,MATCH($E136,参数!$B$2:$B$16,0),)</f>
        <v>2</v>
      </c>
      <c r="G136" s="14">
        <v>1</v>
      </c>
      <c r="H136" s="14">
        <v>20</v>
      </c>
      <c r="I136" s="14">
        <v>16</v>
      </c>
      <c r="J136" s="14">
        <v>13</v>
      </c>
      <c r="K136" s="14"/>
      <c r="L136" s="14"/>
      <c r="M136" s="14"/>
      <c r="N136" s="14"/>
      <c r="O136" s="14"/>
      <c r="P136" s="14"/>
      <c r="Q136" s="7">
        <v>1</v>
      </c>
      <c r="R136" s="7">
        <v>0.4</v>
      </c>
      <c r="S136" s="7">
        <v>0.5</v>
      </c>
      <c r="T136" s="7">
        <v>0.6</v>
      </c>
      <c r="U136" s="7"/>
      <c r="V136" s="7"/>
      <c r="W136" s="7"/>
      <c r="X136" s="7"/>
      <c r="Y136" s="7"/>
      <c r="Z136" s="7"/>
      <c r="AA136" s="28">
        <f t="shared" si="20"/>
        <v>134</v>
      </c>
      <c r="AB136" s="28">
        <f t="shared" ca="1" si="15"/>
        <v>20053</v>
      </c>
      <c r="AC136" s="28">
        <f t="shared" ca="1" si="16"/>
        <v>1</v>
      </c>
      <c r="AD136" s="29">
        <f t="shared" ca="1" si="17"/>
        <v>10000</v>
      </c>
      <c r="AE136" s="28" t="str">
        <f t="shared" ca="1" si="18"/>
        <v>副本53</v>
      </c>
      <c r="AF136" s="28">
        <f t="shared" si="19"/>
        <v>53</v>
      </c>
      <c r="AG136" s="28">
        <f>COUNTIF(AF$3:AF136,AF136)-1</f>
        <v>0</v>
      </c>
    </row>
    <row r="137" spans="1:33" x14ac:dyDescent="0.25">
      <c r="A137" s="27">
        <f ca="1">COUNTIF($F$3:F137,F137)+F137*$F$1</f>
        <v>20135</v>
      </c>
      <c r="B137" s="27" t="str">
        <f ca="1">E137 &amp; COUNTIF($F$3:F137,F137)</f>
        <v>副本135</v>
      </c>
      <c r="C137" s="14">
        <f t="shared" si="14"/>
        <v>4</v>
      </c>
      <c r="D137" s="14">
        <f>IF(C137=0,"",SUM(C$3:C137))</f>
        <v>453</v>
      </c>
      <c r="E137" s="27" t="s">
        <v>33</v>
      </c>
      <c r="F137" s="27">
        <f ca="1">OFFSET(参数!$A$1,MATCH($E137,参数!$B$2:$B$16,0),)</f>
        <v>2</v>
      </c>
      <c r="G137" s="14">
        <v>1</v>
      </c>
      <c r="H137" s="14">
        <v>21</v>
      </c>
      <c r="I137" s="14">
        <v>15</v>
      </c>
      <c r="J137" s="14">
        <v>12</v>
      </c>
      <c r="K137" s="14"/>
      <c r="L137" s="14"/>
      <c r="M137" s="14"/>
      <c r="N137" s="14"/>
      <c r="O137" s="14"/>
      <c r="P137" s="14"/>
      <c r="Q137" s="7">
        <v>1</v>
      </c>
      <c r="R137" s="7">
        <v>0.4</v>
      </c>
      <c r="S137" s="7">
        <v>0.5</v>
      </c>
      <c r="T137" s="7">
        <v>0.6</v>
      </c>
      <c r="U137" s="7"/>
      <c r="V137" s="7"/>
      <c r="W137" s="7"/>
      <c r="X137" s="7"/>
      <c r="Y137" s="7"/>
      <c r="Z137" s="7"/>
      <c r="AA137" s="28">
        <f t="shared" si="20"/>
        <v>135</v>
      </c>
      <c r="AB137" s="28">
        <f t="shared" ca="1" si="15"/>
        <v>20053</v>
      </c>
      <c r="AC137" s="28">
        <f t="shared" ca="1" si="16"/>
        <v>10</v>
      </c>
      <c r="AD137" s="29">
        <f t="shared" ca="1" si="17"/>
        <v>7000</v>
      </c>
      <c r="AE137" s="28" t="str">
        <f t="shared" ca="1" si="18"/>
        <v>副本53</v>
      </c>
      <c r="AF137" s="28">
        <f t="shared" si="19"/>
        <v>53</v>
      </c>
      <c r="AG137" s="28">
        <f>COUNTIF(AF$3:AF137,AF137)-1</f>
        <v>1</v>
      </c>
    </row>
    <row r="138" spans="1:33" x14ac:dyDescent="0.25">
      <c r="A138" s="27">
        <f ca="1">COUNTIF($F$3:F138,F138)+F138*$F$1</f>
        <v>20136</v>
      </c>
      <c r="B138" s="27" t="str">
        <f ca="1">E138 &amp; COUNTIF($F$3:F138,F138)</f>
        <v>副本136</v>
      </c>
      <c r="C138" s="14">
        <f t="shared" si="14"/>
        <v>4</v>
      </c>
      <c r="D138" s="14">
        <f>IF(C138=0,"",SUM(C$3:C138))</f>
        <v>457</v>
      </c>
      <c r="E138" s="27" t="s">
        <v>33</v>
      </c>
      <c r="F138" s="27">
        <f ca="1">OFFSET(参数!$A$1,MATCH($E138,参数!$B$2:$B$16,0),)</f>
        <v>2</v>
      </c>
      <c r="G138" s="14">
        <v>1</v>
      </c>
      <c r="H138" s="14">
        <v>21</v>
      </c>
      <c r="I138" s="14">
        <v>15</v>
      </c>
      <c r="J138" s="14">
        <v>12</v>
      </c>
      <c r="K138" s="14"/>
      <c r="L138" s="14"/>
      <c r="M138" s="14"/>
      <c r="N138" s="14"/>
      <c r="O138" s="14"/>
      <c r="P138" s="14"/>
      <c r="Q138" s="7">
        <v>1</v>
      </c>
      <c r="R138" s="7">
        <v>0.4</v>
      </c>
      <c r="S138" s="7">
        <v>0.5</v>
      </c>
      <c r="T138" s="7">
        <v>0.6</v>
      </c>
      <c r="U138" s="7"/>
      <c r="V138" s="7"/>
      <c r="W138" s="7"/>
      <c r="X138" s="7"/>
      <c r="Y138" s="7"/>
      <c r="Z138" s="7"/>
      <c r="AA138" s="28">
        <f t="shared" si="20"/>
        <v>136</v>
      </c>
      <c r="AB138" s="28">
        <f t="shared" ca="1" si="15"/>
        <v>20053</v>
      </c>
      <c r="AC138" s="28">
        <f t="shared" ca="1" si="16"/>
        <v>5</v>
      </c>
      <c r="AD138" s="29">
        <f t="shared" ca="1" si="17"/>
        <v>8000</v>
      </c>
      <c r="AE138" s="28" t="str">
        <f t="shared" ca="1" si="18"/>
        <v>副本53</v>
      </c>
      <c r="AF138" s="28">
        <f t="shared" si="19"/>
        <v>53</v>
      </c>
      <c r="AG138" s="28">
        <f>COUNTIF(AF$3:AF138,AF138)-1</f>
        <v>2</v>
      </c>
    </row>
    <row r="139" spans="1:33" x14ac:dyDescent="0.25">
      <c r="A139" s="27">
        <f ca="1">COUNTIF($F$3:F139,F139)+F139*$F$1</f>
        <v>20137</v>
      </c>
      <c r="B139" s="27" t="str">
        <f ca="1">E139 &amp; COUNTIF($F$3:F139,F139)</f>
        <v>副本137</v>
      </c>
      <c r="C139" s="14">
        <f t="shared" si="14"/>
        <v>4</v>
      </c>
      <c r="D139" s="14">
        <f>IF(C139=0,"",SUM(C$3:C139))</f>
        <v>461</v>
      </c>
      <c r="E139" s="27" t="s">
        <v>33</v>
      </c>
      <c r="F139" s="27">
        <f ca="1">OFFSET(参数!$A$1,MATCH($E139,参数!$B$2:$B$16,0),)</f>
        <v>2</v>
      </c>
      <c r="G139" s="14">
        <v>1</v>
      </c>
      <c r="H139" s="14">
        <v>21</v>
      </c>
      <c r="I139" s="14">
        <v>15</v>
      </c>
      <c r="J139" s="14">
        <v>12</v>
      </c>
      <c r="K139" s="14"/>
      <c r="L139" s="14"/>
      <c r="M139" s="14"/>
      <c r="N139" s="14"/>
      <c r="O139" s="14"/>
      <c r="P139" s="14"/>
      <c r="Q139" s="7">
        <v>1</v>
      </c>
      <c r="R139" s="7">
        <v>0.4</v>
      </c>
      <c r="S139" s="7">
        <v>0.5</v>
      </c>
      <c r="T139" s="7">
        <v>0.6</v>
      </c>
      <c r="U139" s="7"/>
      <c r="V139" s="7"/>
      <c r="W139" s="7"/>
      <c r="X139" s="7"/>
      <c r="Y139" s="7"/>
      <c r="Z139" s="7"/>
      <c r="AA139" s="28">
        <f t="shared" si="20"/>
        <v>137</v>
      </c>
      <c r="AB139" s="28">
        <f t="shared" ca="1" si="15"/>
        <v>20053</v>
      </c>
      <c r="AC139" s="28">
        <f t="shared" ca="1" si="16"/>
        <v>2</v>
      </c>
      <c r="AD139" s="29">
        <f t="shared" ca="1" si="17"/>
        <v>9000</v>
      </c>
      <c r="AE139" s="28" t="str">
        <f t="shared" ca="1" si="18"/>
        <v>副本53</v>
      </c>
      <c r="AF139" s="28">
        <f t="shared" si="19"/>
        <v>53</v>
      </c>
      <c r="AG139" s="28">
        <f>COUNTIF(AF$3:AF139,AF139)-1</f>
        <v>3</v>
      </c>
    </row>
    <row r="140" spans="1:33" x14ac:dyDescent="0.25">
      <c r="A140" s="27">
        <f ca="1">COUNTIF($F$3:F140,F140)+F140*$F$1</f>
        <v>20138</v>
      </c>
      <c r="B140" s="27" t="str">
        <f ca="1">E140 &amp; COUNTIF($F$3:F140,F140)</f>
        <v>副本138</v>
      </c>
      <c r="C140" s="14">
        <f t="shared" si="14"/>
        <v>4</v>
      </c>
      <c r="D140" s="14">
        <f>IF(C140=0,"",SUM(C$3:C140))</f>
        <v>465</v>
      </c>
      <c r="E140" s="27" t="s">
        <v>33</v>
      </c>
      <c r="F140" s="27">
        <f ca="1">OFFSET(参数!$A$1,MATCH($E140,参数!$B$2:$B$16,0),)</f>
        <v>2</v>
      </c>
      <c r="G140" s="14">
        <v>1</v>
      </c>
      <c r="H140" s="14">
        <v>21</v>
      </c>
      <c r="I140" s="14">
        <v>15</v>
      </c>
      <c r="J140" s="14">
        <v>12</v>
      </c>
      <c r="K140" s="14"/>
      <c r="L140" s="14"/>
      <c r="M140" s="14"/>
      <c r="N140" s="14"/>
      <c r="O140" s="14"/>
      <c r="P140" s="14"/>
      <c r="Q140" s="7">
        <v>1</v>
      </c>
      <c r="R140" s="7">
        <v>0.4</v>
      </c>
      <c r="S140" s="7">
        <v>0.5</v>
      </c>
      <c r="T140" s="7">
        <v>0.6</v>
      </c>
      <c r="U140" s="7"/>
      <c r="V140" s="7"/>
      <c r="W140" s="7"/>
      <c r="X140" s="7"/>
      <c r="Y140" s="7"/>
      <c r="Z140" s="7"/>
      <c r="AA140" s="28">
        <f t="shared" si="20"/>
        <v>138</v>
      </c>
      <c r="AB140" s="28">
        <f t="shared" ca="1" si="15"/>
        <v>20054</v>
      </c>
      <c r="AC140" s="28">
        <f t="shared" ca="1" si="16"/>
        <v>1</v>
      </c>
      <c r="AD140" s="29">
        <f t="shared" ca="1" si="17"/>
        <v>10000</v>
      </c>
      <c r="AE140" s="28" t="str">
        <f t="shared" ca="1" si="18"/>
        <v>副本54</v>
      </c>
      <c r="AF140" s="28">
        <f t="shared" si="19"/>
        <v>54</v>
      </c>
      <c r="AG140" s="28">
        <f>COUNTIF(AF$3:AF140,AF140)-1</f>
        <v>0</v>
      </c>
    </row>
    <row r="141" spans="1:33" x14ac:dyDescent="0.25">
      <c r="A141" s="27">
        <f ca="1">COUNTIF($F$3:F141,F141)+F141*$F$1</f>
        <v>20139</v>
      </c>
      <c r="B141" s="27" t="str">
        <f ca="1">E141 &amp; COUNTIF($F$3:F141,F141)</f>
        <v>副本139</v>
      </c>
      <c r="C141" s="14">
        <f t="shared" si="14"/>
        <v>4</v>
      </c>
      <c r="D141" s="14">
        <f>IF(C141=0,"",SUM(C$3:C141))</f>
        <v>469</v>
      </c>
      <c r="E141" s="27" t="s">
        <v>33</v>
      </c>
      <c r="F141" s="27">
        <f ca="1">OFFSET(参数!$A$1,MATCH($E141,参数!$B$2:$B$16,0),)</f>
        <v>2</v>
      </c>
      <c r="G141" s="14">
        <v>1</v>
      </c>
      <c r="H141" s="14">
        <v>22</v>
      </c>
      <c r="I141" s="14">
        <v>14</v>
      </c>
      <c r="J141" s="14">
        <v>11</v>
      </c>
      <c r="K141" s="14"/>
      <c r="L141" s="14"/>
      <c r="M141" s="14"/>
      <c r="N141" s="14"/>
      <c r="O141" s="14"/>
      <c r="P141" s="14"/>
      <c r="Q141" s="7">
        <v>1</v>
      </c>
      <c r="R141" s="7">
        <v>0.4</v>
      </c>
      <c r="S141" s="7">
        <v>0.5</v>
      </c>
      <c r="T141" s="7">
        <v>0.6</v>
      </c>
      <c r="U141" s="7"/>
      <c r="V141" s="7"/>
      <c r="W141" s="7"/>
      <c r="X141" s="7"/>
      <c r="Y141" s="7"/>
      <c r="Z141" s="7"/>
      <c r="AA141" s="28">
        <f t="shared" si="20"/>
        <v>139</v>
      </c>
      <c r="AB141" s="28">
        <f t="shared" ca="1" si="15"/>
        <v>20054</v>
      </c>
      <c r="AC141" s="28">
        <f t="shared" ca="1" si="16"/>
        <v>10</v>
      </c>
      <c r="AD141" s="29">
        <f t="shared" ca="1" si="17"/>
        <v>7000</v>
      </c>
      <c r="AE141" s="28" t="str">
        <f t="shared" ca="1" si="18"/>
        <v>副本54</v>
      </c>
      <c r="AF141" s="28">
        <f t="shared" si="19"/>
        <v>54</v>
      </c>
      <c r="AG141" s="28">
        <f>COUNTIF(AF$3:AF141,AF141)-1</f>
        <v>1</v>
      </c>
    </row>
    <row r="142" spans="1:33" x14ac:dyDescent="0.25">
      <c r="A142" s="27">
        <f ca="1">COUNTIF($F$3:F142,F142)+F142*$F$1</f>
        <v>20140</v>
      </c>
      <c r="B142" s="27" t="str">
        <f ca="1">E142 &amp; COUNTIF($F$3:F142,F142)</f>
        <v>副本140</v>
      </c>
      <c r="C142" s="14">
        <f t="shared" si="14"/>
        <v>4</v>
      </c>
      <c r="D142" s="14">
        <f>IF(C142=0,"",SUM(C$3:C142))</f>
        <v>473</v>
      </c>
      <c r="E142" s="27" t="s">
        <v>33</v>
      </c>
      <c r="F142" s="27">
        <f ca="1">OFFSET(参数!$A$1,MATCH($E142,参数!$B$2:$B$16,0),)</f>
        <v>2</v>
      </c>
      <c r="G142" s="14">
        <v>1</v>
      </c>
      <c r="H142" s="14">
        <v>22</v>
      </c>
      <c r="I142" s="14">
        <v>14</v>
      </c>
      <c r="J142" s="14">
        <v>11</v>
      </c>
      <c r="K142" s="14"/>
      <c r="L142" s="14"/>
      <c r="M142" s="14"/>
      <c r="N142" s="14"/>
      <c r="O142" s="14"/>
      <c r="P142" s="14"/>
      <c r="Q142" s="7">
        <v>1</v>
      </c>
      <c r="R142" s="7">
        <v>0.4</v>
      </c>
      <c r="S142" s="7">
        <v>0.5</v>
      </c>
      <c r="T142" s="7">
        <v>0.6</v>
      </c>
      <c r="U142" s="7"/>
      <c r="V142" s="7"/>
      <c r="W142" s="7"/>
      <c r="X142" s="7"/>
      <c r="Y142" s="7"/>
      <c r="Z142" s="7"/>
      <c r="AA142" s="28">
        <f t="shared" si="20"/>
        <v>140</v>
      </c>
      <c r="AB142" s="28">
        <f t="shared" ca="1" si="15"/>
        <v>20054</v>
      </c>
      <c r="AC142" s="28">
        <f t="shared" ca="1" si="16"/>
        <v>5</v>
      </c>
      <c r="AD142" s="29">
        <f t="shared" ca="1" si="17"/>
        <v>8000</v>
      </c>
      <c r="AE142" s="28" t="str">
        <f t="shared" ca="1" si="18"/>
        <v>副本54</v>
      </c>
      <c r="AF142" s="28">
        <f t="shared" si="19"/>
        <v>54</v>
      </c>
      <c r="AG142" s="28">
        <f>COUNTIF(AF$3:AF142,AF142)-1</f>
        <v>2</v>
      </c>
    </row>
    <row r="143" spans="1:33" x14ac:dyDescent="0.25">
      <c r="A143" s="27">
        <f ca="1">COUNTIF($F$3:F143,F143)+F143*$F$1</f>
        <v>20141</v>
      </c>
      <c r="B143" s="27" t="str">
        <f ca="1">E143 &amp; COUNTIF($F$3:F143,F143)</f>
        <v>副本141</v>
      </c>
      <c r="C143" s="14">
        <f t="shared" si="14"/>
        <v>4</v>
      </c>
      <c r="D143" s="14">
        <f>IF(C143=0,"",SUM(C$3:C143))</f>
        <v>477</v>
      </c>
      <c r="E143" s="27" t="s">
        <v>33</v>
      </c>
      <c r="F143" s="27">
        <f ca="1">OFFSET(参数!$A$1,MATCH($E143,参数!$B$2:$B$16,0),)</f>
        <v>2</v>
      </c>
      <c r="G143" s="14">
        <v>1</v>
      </c>
      <c r="H143" s="14">
        <v>22</v>
      </c>
      <c r="I143" s="14">
        <v>14</v>
      </c>
      <c r="J143" s="14">
        <v>11</v>
      </c>
      <c r="K143" s="14"/>
      <c r="L143" s="14"/>
      <c r="M143" s="14"/>
      <c r="N143" s="14"/>
      <c r="O143" s="14"/>
      <c r="P143" s="14"/>
      <c r="Q143" s="7">
        <v>1</v>
      </c>
      <c r="R143" s="7">
        <v>0.4</v>
      </c>
      <c r="S143" s="7">
        <v>0.5</v>
      </c>
      <c r="T143" s="7">
        <v>0.6</v>
      </c>
      <c r="U143" s="7"/>
      <c r="V143" s="7"/>
      <c r="W143" s="7"/>
      <c r="X143" s="7"/>
      <c r="Y143" s="7"/>
      <c r="Z143" s="7"/>
      <c r="AA143" s="28">
        <f t="shared" si="20"/>
        <v>141</v>
      </c>
      <c r="AB143" s="28">
        <f t="shared" ca="1" si="15"/>
        <v>20054</v>
      </c>
      <c r="AC143" s="28">
        <f t="shared" ca="1" si="16"/>
        <v>2</v>
      </c>
      <c r="AD143" s="29">
        <f t="shared" ca="1" si="17"/>
        <v>9000</v>
      </c>
      <c r="AE143" s="28" t="str">
        <f t="shared" ca="1" si="18"/>
        <v>副本54</v>
      </c>
      <c r="AF143" s="28">
        <f t="shared" si="19"/>
        <v>54</v>
      </c>
      <c r="AG143" s="28">
        <f>COUNTIF(AF$3:AF143,AF143)-1</f>
        <v>3</v>
      </c>
    </row>
    <row r="144" spans="1:33" x14ac:dyDescent="0.25">
      <c r="A144" s="27">
        <f ca="1">COUNTIF($F$3:F144,F144)+F144*$F$1</f>
        <v>20142</v>
      </c>
      <c r="B144" s="27" t="str">
        <f ca="1">E144 &amp; COUNTIF($F$3:F144,F144)</f>
        <v>副本142</v>
      </c>
      <c r="C144" s="14">
        <f t="shared" si="14"/>
        <v>4</v>
      </c>
      <c r="D144" s="14">
        <f>IF(C144=0,"",SUM(C$3:C144))</f>
        <v>481</v>
      </c>
      <c r="E144" s="27" t="s">
        <v>33</v>
      </c>
      <c r="F144" s="27">
        <f ca="1">OFFSET(参数!$A$1,MATCH($E144,参数!$B$2:$B$16,0),)</f>
        <v>2</v>
      </c>
      <c r="G144" s="14">
        <v>1</v>
      </c>
      <c r="H144" s="14">
        <v>22</v>
      </c>
      <c r="I144" s="14">
        <v>14</v>
      </c>
      <c r="J144" s="14">
        <v>11</v>
      </c>
      <c r="K144" s="14"/>
      <c r="L144" s="14"/>
      <c r="M144" s="14"/>
      <c r="N144" s="14"/>
      <c r="O144" s="14"/>
      <c r="P144" s="14"/>
      <c r="Q144" s="7">
        <v>1</v>
      </c>
      <c r="R144" s="7">
        <v>0.4</v>
      </c>
      <c r="S144" s="7">
        <v>0.5</v>
      </c>
      <c r="T144" s="7">
        <v>0.6</v>
      </c>
      <c r="U144" s="7"/>
      <c r="V144" s="7"/>
      <c r="W144" s="7"/>
      <c r="X144" s="7"/>
      <c r="Y144" s="7"/>
      <c r="Z144" s="7"/>
      <c r="AA144" s="28">
        <f t="shared" si="20"/>
        <v>142</v>
      </c>
      <c r="AB144" s="28">
        <f t="shared" ca="1" si="15"/>
        <v>20055</v>
      </c>
      <c r="AC144" s="28">
        <f t="shared" ca="1" si="16"/>
        <v>1</v>
      </c>
      <c r="AD144" s="29">
        <f t="shared" ca="1" si="17"/>
        <v>10000</v>
      </c>
      <c r="AE144" s="28" t="str">
        <f t="shared" ca="1" si="18"/>
        <v>副本55</v>
      </c>
      <c r="AF144" s="28">
        <f t="shared" si="19"/>
        <v>55</v>
      </c>
      <c r="AG144" s="28">
        <f>COUNTIF(AF$3:AF144,AF144)-1</f>
        <v>0</v>
      </c>
    </row>
    <row r="145" spans="1:33" x14ac:dyDescent="0.25">
      <c r="A145" s="27">
        <f ca="1">COUNTIF($F$3:F145,F145)+F145*$F$1</f>
        <v>20143</v>
      </c>
      <c r="B145" s="27" t="str">
        <f ca="1">E145 &amp; COUNTIF($F$3:F145,F145)</f>
        <v>副本143</v>
      </c>
      <c r="C145" s="14">
        <f t="shared" si="14"/>
        <v>4</v>
      </c>
      <c r="D145" s="14">
        <f>IF(C145=0,"",SUM(C$3:C145))</f>
        <v>485</v>
      </c>
      <c r="E145" s="27" t="s">
        <v>33</v>
      </c>
      <c r="F145" s="27">
        <f ca="1">OFFSET(参数!$A$1,MATCH($E145,参数!$B$2:$B$16,0),)</f>
        <v>2</v>
      </c>
      <c r="G145" s="14">
        <v>1</v>
      </c>
      <c r="H145" s="14">
        <v>20</v>
      </c>
      <c r="I145" s="14">
        <v>14</v>
      </c>
      <c r="J145" s="14">
        <v>11</v>
      </c>
      <c r="K145" s="14"/>
      <c r="L145" s="14"/>
      <c r="M145" s="14"/>
      <c r="N145" s="14"/>
      <c r="O145" s="14"/>
      <c r="P145" s="14"/>
      <c r="Q145" s="7">
        <v>1</v>
      </c>
      <c r="R145" s="7">
        <v>0.4</v>
      </c>
      <c r="S145" s="7">
        <v>0.5</v>
      </c>
      <c r="T145" s="7">
        <v>0.6</v>
      </c>
      <c r="U145" s="7"/>
      <c r="V145" s="7"/>
      <c r="W145" s="7"/>
      <c r="X145" s="7"/>
      <c r="Y145" s="7"/>
      <c r="Z145" s="7"/>
      <c r="AA145" s="28">
        <f t="shared" si="20"/>
        <v>143</v>
      </c>
      <c r="AB145" s="28">
        <f t="shared" ca="1" si="15"/>
        <v>20056</v>
      </c>
      <c r="AC145" s="28">
        <f t="shared" ca="1" si="16"/>
        <v>1</v>
      </c>
      <c r="AD145" s="29">
        <f t="shared" ca="1" si="17"/>
        <v>10000</v>
      </c>
      <c r="AE145" s="28" t="str">
        <f t="shared" ca="1" si="18"/>
        <v>副本56</v>
      </c>
      <c r="AF145" s="28">
        <f t="shared" si="19"/>
        <v>56</v>
      </c>
      <c r="AG145" s="28">
        <f>COUNTIF(AF$3:AF145,AF145)-1</f>
        <v>0</v>
      </c>
    </row>
    <row r="146" spans="1:33" x14ac:dyDescent="0.25">
      <c r="A146" s="27">
        <f ca="1">COUNTIF($F$3:F146,F146)+F146*$F$1</f>
        <v>20144</v>
      </c>
      <c r="B146" s="27" t="str">
        <f ca="1">E146 &amp; COUNTIF($F$3:F146,F146)</f>
        <v>副本144</v>
      </c>
      <c r="C146" s="14">
        <f t="shared" si="14"/>
        <v>4</v>
      </c>
      <c r="D146" s="14">
        <f>IF(C146=0,"",SUM(C$3:C146))</f>
        <v>489</v>
      </c>
      <c r="E146" s="27" t="s">
        <v>33</v>
      </c>
      <c r="F146" s="27">
        <f ca="1">OFFSET(参数!$A$1,MATCH($E146,参数!$B$2:$B$16,0),)</f>
        <v>2</v>
      </c>
      <c r="G146" s="14">
        <v>1</v>
      </c>
      <c r="H146" s="14">
        <v>20</v>
      </c>
      <c r="I146" s="14">
        <v>14</v>
      </c>
      <c r="J146" s="14">
        <v>11</v>
      </c>
      <c r="K146" s="14"/>
      <c r="L146" s="14"/>
      <c r="M146" s="14"/>
      <c r="N146" s="14"/>
      <c r="O146" s="14"/>
      <c r="P146" s="14"/>
      <c r="Q146" s="7">
        <v>1</v>
      </c>
      <c r="R146" s="7">
        <v>0.4</v>
      </c>
      <c r="S146" s="7">
        <v>0.5</v>
      </c>
      <c r="T146" s="7">
        <v>0.6</v>
      </c>
      <c r="U146" s="7"/>
      <c r="V146" s="7"/>
      <c r="W146" s="7"/>
      <c r="X146" s="7"/>
      <c r="Y146" s="7"/>
      <c r="Z146" s="7"/>
      <c r="AA146" s="28">
        <f t="shared" si="20"/>
        <v>144</v>
      </c>
      <c r="AB146" s="28">
        <f t="shared" ca="1" si="15"/>
        <v>20056</v>
      </c>
      <c r="AC146" s="28">
        <f t="shared" ca="1" si="16"/>
        <v>8</v>
      </c>
      <c r="AD146" s="29">
        <f t="shared" ca="1" si="17"/>
        <v>7000</v>
      </c>
      <c r="AE146" s="28" t="str">
        <f t="shared" ca="1" si="18"/>
        <v>副本56</v>
      </c>
      <c r="AF146" s="28">
        <f t="shared" si="19"/>
        <v>56</v>
      </c>
      <c r="AG146" s="28">
        <f>COUNTIF(AF$3:AF146,AF146)-1</f>
        <v>1</v>
      </c>
    </row>
    <row r="147" spans="1:33" x14ac:dyDescent="0.25">
      <c r="A147" s="27">
        <f ca="1">COUNTIF($F$3:F147,F147)+F147*$F$1</f>
        <v>20145</v>
      </c>
      <c r="B147" s="27" t="str">
        <f ca="1">E147 &amp; COUNTIF($F$3:F147,F147)</f>
        <v>副本145</v>
      </c>
      <c r="C147" s="14">
        <f t="shared" si="14"/>
        <v>4</v>
      </c>
      <c r="D147" s="14">
        <f>IF(C147=0,"",SUM(C$3:C147))</f>
        <v>493</v>
      </c>
      <c r="E147" s="27" t="s">
        <v>33</v>
      </c>
      <c r="F147" s="27">
        <f ca="1">OFFSET(参数!$A$1,MATCH($E147,参数!$B$2:$B$16,0),)</f>
        <v>2</v>
      </c>
      <c r="G147" s="14">
        <v>1</v>
      </c>
      <c r="H147" s="14">
        <v>20</v>
      </c>
      <c r="I147" s="14">
        <v>14</v>
      </c>
      <c r="J147" s="14">
        <v>11</v>
      </c>
      <c r="K147" s="14"/>
      <c r="L147" s="14"/>
      <c r="M147" s="14"/>
      <c r="N147" s="14"/>
      <c r="O147" s="14"/>
      <c r="P147" s="14"/>
      <c r="Q147" s="7">
        <v>1</v>
      </c>
      <c r="R147" s="7">
        <v>0.4</v>
      </c>
      <c r="S147" s="7">
        <v>0.5</v>
      </c>
      <c r="T147" s="7">
        <v>0.6</v>
      </c>
      <c r="U147" s="7"/>
      <c r="V147" s="7"/>
      <c r="W147" s="7"/>
      <c r="X147" s="7"/>
      <c r="Y147" s="7"/>
      <c r="Z147" s="7"/>
      <c r="AA147" s="28">
        <f t="shared" si="20"/>
        <v>145</v>
      </c>
      <c r="AB147" s="28">
        <f t="shared" ca="1" si="15"/>
        <v>20056</v>
      </c>
      <c r="AC147" s="28">
        <f t="shared" ca="1" si="16"/>
        <v>6</v>
      </c>
      <c r="AD147" s="29">
        <f t="shared" ca="1" si="17"/>
        <v>8000</v>
      </c>
      <c r="AE147" s="28" t="str">
        <f t="shared" ca="1" si="18"/>
        <v>副本56</v>
      </c>
      <c r="AF147" s="28">
        <f t="shared" si="19"/>
        <v>56</v>
      </c>
      <c r="AG147" s="28">
        <f>COUNTIF(AF$3:AF147,AF147)-1</f>
        <v>2</v>
      </c>
    </row>
    <row r="148" spans="1:33" x14ac:dyDescent="0.25">
      <c r="A148" s="27">
        <f ca="1">COUNTIF($F$3:F148,F148)+F148*$F$1</f>
        <v>20146</v>
      </c>
      <c r="B148" s="27" t="str">
        <f ca="1">E148 &amp; COUNTIF($F$3:F148,F148)</f>
        <v>副本146</v>
      </c>
      <c r="C148" s="14">
        <f t="shared" si="14"/>
        <v>4</v>
      </c>
      <c r="D148" s="14">
        <f>IF(C148=0,"",SUM(C$3:C148))</f>
        <v>497</v>
      </c>
      <c r="E148" s="27" t="s">
        <v>33</v>
      </c>
      <c r="F148" s="27">
        <f ca="1">OFFSET(参数!$A$1,MATCH($E148,参数!$B$2:$B$16,0),)</f>
        <v>2</v>
      </c>
      <c r="G148" s="14">
        <v>1</v>
      </c>
      <c r="H148" s="14">
        <v>20</v>
      </c>
      <c r="I148" s="14">
        <v>14</v>
      </c>
      <c r="J148" s="14">
        <v>11</v>
      </c>
      <c r="K148" s="14"/>
      <c r="L148" s="14"/>
      <c r="M148" s="14"/>
      <c r="N148" s="14"/>
      <c r="O148" s="14"/>
      <c r="P148" s="14"/>
      <c r="Q148" s="7">
        <v>1</v>
      </c>
      <c r="R148" s="7">
        <v>0.4</v>
      </c>
      <c r="S148" s="7">
        <v>0.5</v>
      </c>
      <c r="T148" s="7">
        <v>0.6</v>
      </c>
      <c r="U148" s="7"/>
      <c r="V148" s="7"/>
      <c r="W148" s="7"/>
      <c r="X148" s="7"/>
      <c r="Y148" s="7"/>
      <c r="Z148" s="7"/>
      <c r="AA148" s="28">
        <f t="shared" si="20"/>
        <v>146</v>
      </c>
      <c r="AB148" s="28">
        <f t="shared" ca="1" si="15"/>
        <v>20056</v>
      </c>
      <c r="AC148" s="28">
        <f t="shared" ca="1" si="16"/>
        <v>4</v>
      </c>
      <c r="AD148" s="29">
        <f t="shared" ca="1" si="17"/>
        <v>9000</v>
      </c>
      <c r="AE148" s="28" t="str">
        <f t="shared" ca="1" si="18"/>
        <v>副本56</v>
      </c>
      <c r="AF148" s="28">
        <f t="shared" si="19"/>
        <v>56</v>
      </c>
      <c r="AG148" s="28">
        <f>COUNTIF(AF$3:AF148,AF148)-1</f>
        <v>3</v>
      </c>
    </row>
    <row r="149" spans="1:33" x14ac:dyDescent="0.25">
      <c r="A149" s="27">
        <f ca="1">COUNTIF($F$3:F149,F149)+F149*$F$1</f>
        <v>20147</v>
      </c>
      <c r="B149" s="27" t="str">
        <f ca="1">E149 &amp; COUNTIF($F$3:F149,F149)</f>
        <v>副本147</v>
      </c>
      <c r="C149" s="14">
        <f t="shared" si="14"/>
        <v>4</v>
      </c>
      <c r="D149" s="14">
        <f>IF(C149=0,"",SUM(C$3:C149))</f>
        <v>501</v>
      </c>
      <c r="E149" s="27" t="s">
        <v>33</v>
      </c>
      <c r="F149" s="27">
        <f ca="1">OFFSET(参数!$A$1,MATCH($E149,参数!$B$2:$B$16,0),)</f>
        <v>2</v>
      </c>
      <c r="G149" s="14">
        <v>1</v>
      </c>
      <c r="H149" s="14">
        <v>21</v>
      </c>
      <c r="I149" s="14">
        <v>15</v>
      </c>
      <c r="J149" s="14">
        <v>12</v>
      </c>
      <c r="K149" s="14"/>
      <c r="L149" s="14"/>
      <c r="M149" s="14"/>
      <c r="N149" s="14"/>
      <c r="O149" s="14"/>
      <c r="P149" s="14"/>
      <c r="Q149" s="7">
        <v>1</v>
      </c>
      <c r="R149" s="7">
        <v>0.4</v>
      </c>
      <c r="S149" s="7">
        <v>0.5</v>
      </c>
      <c r="T149" s="7">
        <v>0.6</v>
      </c>
      <c r="U149" s="7"/>
      <c r="V149" s="7"/>
      <c r="W149" s="7"/>
      <c r="X149" s="7"/>
      <c r="Y149" s="7"/>
      <c r="Z149" s="7"/>
      <c r="AA149" s="28">
        <f t="shared" si="20"/>
        <v>147</v>
      </c>
      <c r="AB149" s="28">
        <f t="shared" ca="1" si="15"/>
        <v>20057</v>
      </c>
      <c r="AC149" s="28">
        <f t="shared" ca="1" si="16"/>
        <v>1</v>
      </c>
      <c r="AD149" s="29">
        <f t="shared" ca="1" si="17"/>
        <v>10000</v>
      </c>
      <c r="AE149" s="28" t="str">
        <f t="shared" ca="1" si="18"/>
        <v>副本57</v>
      </c>
      <c r="AF149" s="28">
        <f t="shared" si="19"/>
        <v>57</v>
      </c>
      <c r="AG149" s="28">
        <f>COUNTIF(AF$3:AF149,AF149)-1</f>
        <v>0</v>
      </c>
    </row>
    <row r="150" spans="1:33" x14ac:dyDescent="0.25">
      <c r="A150" s="27">
        <f ca="1">COUNTIF($F$3:F150,F150)+F150*$F$1</f>
        <v>20148</v>
      </c>
      <c r="B150" s="27" t="str">
        <f ca="1">E150 &amp; COUNTIF($F$3:F150,F150)</f>
        <v>副本148</v>
      </c>
      <c r="C150" s="14">
        <f t="shared" si="14"/>
        <v>4</v>
      </c>
      <c r="D150" s="14">
        <f>IF(C150=0,"",SUM(C$3:C150))</f>
        <v>505</v>
      </c>
      <c r="E150" s="27" t="s">
        <v>33</v>
      </c>
      <c r="F150" s="27">
        <f ca="1">OFFSET(参数!$A$1,MATCH($E150,参数!$B$2:$B$16,0),)</f>
        <v>2</v>
      </c>
      <c r="G150" s="14">
        <v>1</v>
      </c>
      <c r="H150" s="14">
        <v>21</v>
      </c>
      <c r="I150" s="14">
        <v>15</v>
      </c>
      <c r="J150" s="14">
        <v>12</v>
      </c>
      <c r="K150" s="14"/>
      <c r="L150" s="14"/>
      <c r="M150" s="14"/>
      <c r="N150" s="14"/>
      <c r="O150" s="14"/>
      <c r="P150" s="14"/>
      <c r="Q150" s="7">
        <v>1</v>
      </c>
      <c r="R150" s="7">
        <v>0.4</v>
      </c>
      <c r="S150" s="7">
        <v>0.5</v>
      </c>
      <c r="T150" s="7">
        <v>0.6</v>
      </c>
      <c r="U150" s="7"/>
      <c r="V150" s="7"/>
      <c r="W150" s="7"/>
      <c r="X150" s="7"/>
      <c r="Y150" s="7"/>
      <c r="Z150" s="7"/>
      <c r="AA150" s="28">
        <f t="shared" si="20"/>
        <v>148</v>
      </c>
      <c r="AB150" s="28">
        <f t="shared" ca="1" si="15"/>
        <v>20057</v>
      </c>
      <c r="AC150" s="28">
        <f t="shared" ca="1" si="16"/>
        <v>8</v>
      </c>
      <c r="AD150" s="29">
        <f t="shared" ca="1" si="17"/>
        <v>7000</v>
      </c>
      <c r="AE150" s="28" t="str">
        <f t="shared" ca="1" si="18"/>
        <v>副本57</v>
      </c>
      <c r="AF150" s="28">
        <f t="shared" si="19"/>
        <v>57</v>
      </c>
      <c r="AG150" s="28">
        <f>COUNTIF(AF$3:AF150,AF150)-1</f>
        <v>1</v>
      </c>
    </row>
    <row r="151" spans="1:33" x14ac:dyDescent="0.25">
      <c r="A151" s="27">
        <f ca="1">COUNTIF($F$3:F151,F151)+F151*$F$1</f>
        <v>20149</v>
      </c>
      <c r="B151" s="27" t="str">
        <f ca="1">E151 &amp; COUNTIF($F$3:F151,F151)</f>
        <v>副本149</v>
      </c>
      <c r="C151" s="14">
        <f t="shared" si="14"/>
        <v>4</v>
      </c>
      <c r="D151" s="14">
        <f>IF(C151=0,"",SUM(C$3:C151))</f>
        <v>509</v>
      </c>
      <c r="E151" s="27" t="s">
        <v>33</v>
      </c>
      <c r="F151" s="27">
        <f ca="1">OFFSET(参数!$A$1,MATCH($E151,参数!$B$2:$B$16,0),)</f>
        <v>2</v>
      </c>
      <c r="G151" s="14">
        <v>1</v>
      </c>
      <c r="H151" s="14">
        <v>21</v>
      </c>
      <c r="I151" s="14">
        <v>15</v>
      </c>
      <c r="J151" s="14">
        <v>12</v>
      </c>
      <c r="K151" s="14"/>
      <c r="L151" s="14"/>
      <c r="M151" s="14"/>
      <c r="N151" s="14"/>
      <c r="O151" s="14"/>
      <c r="P151" s="14"/>
      <c r="Q151" s="7">
        <v>1</v>
      </c>
      <c r="R151" s="7">
        <v>0.4</v>
      </c>
      <c r="S151" s="7">
        <v>0.5</v>
      </c>
      <c r="T151" s="7">
        <v>0.6</v>
      </c>
      <c r="U151" s="7"/>
      <c r="V151" s="7"/>
      <c r="W151" s="7"/>
      <c r="X151" s="7"/>
      <c r="Y151" s="7"/>
      <c r="Z151" s="7"/>
      <c r="AA151" s="28">
        <f t="shared" si="20"/>
        <v>149</v>
      </c>
      <c r="AB151" s="28">
        <f t="shared" ca="1" si="15"/>
        <v>20057</v>
      </c>
      <c r="AC151" s="28">
        <f t="shared" ca="1" si="16"/>
        <v>6</v>
      </c>
      <c r="AD151" s="29">
        <f t="shared" ca="1" si="17"/>
        <v>8000</v>
      </c>
      <c r="AE151" s="28" t="str">
        <f t="shared" ca="1" si="18"/>
        <v>副本57</v>
      </c>
      <c r="AF151" s="28">
        <f t="shared" si="19"/>
        <v>57</v>
      </c>
      <c r="AG151" s="28">
        <f>COUNTIF(AF$3:AF151,AF151)-1</f>
        <v>2</v>
      </c>
    </row>
    <row r="152" spans="1:33" x14ac:dyDescent="0.25">
      <c r="A152" s="27">
        <f ca="1">COUNTIF($F$3:F152,F152)+F152*$F$1</f>
        <v>20150</v>
      </c>
      <c r="B152" s="27" t="str">
        <f ca="1">E152 &amp; COUNTIF($F$3:F152,F152)</f>
        <v>副本150</v>
      </c>
      <c r="C152" s="14">
        <f t="shared" si="14"/>
        <v>4</v>
      </c>
      <c r="D152" s="14">
        <f>IF(C152=0,"",SUM(C$3:C152))</f>
        <v>513</v>
      </c>
      <c r="E152" s="27" t="s">
        <v>33</v>
      </c>
      <c r="F152" s="27">
        <f ca="1">OFFSET(参数!$A$1,MATCH($E152,参数!$B$2:$B$16,0),)</f>
        <v>2</v>
      </c>
      <c r="G152" s="14">
        <v>1</v>
      </c>
      <c r="H152" s="14">
        <v>21</v>
      </c>
      <c r="I152" s="14">
        <v>15</v>
      </c>
      <c r="J152" s="14">
        <v>12</v>
      </c>
      <c r="K152" s="14"/>
      <c r="L152" s="14"/>
      <c r="M152" s="14"/>
      <c r="N152" s="14"/>
      <c r="O152" s="14"/>
      <c r="P152" s="14"/>
      <c r="Q152" s="7">
        <v>1</v>
      </c>
      <c r="R152" s="7">
        <v>0.4</v>
      </c>
      <c r="S152" s="7">
        <v>0.5</v>
      </c>
      <c r="T152" s="7">
        <v>0.6</v>
      </c>
      <c r="U152" s="7"/>
      <c r="V152" s="7"/>
      <c r="W152" s="7"/>
      <c r="X152" s="7"/>
      <c r="Y152" s="7"/>
      <c r="Z152" s="7"/>
      <c r="AA152" s="28">
        <f t="shared" si="20"/>
        <v>150</v>
      </c>
      <c r="AB152" s="28">
        <f t="shared" ca="1" si="15"/>
        <v>20057</v>
      </c>
      <c r="AC152" s="28">
        <f t="shared" ca="1" si="16"/>
        <v>4</v>
      </c>
      <c r="AD152" s="29">
        <f t="shared" ca="1" si="17"/>
        <v>9000</v>
      </c>
      <c r="AE152" s="28" t="str">
        <f t="shared" ca="1" si="18"/>
        <v>副本57</v>
      </c>
      <c r="AF152" s="28">
        <f t="shared" si="19"/>
        <v>57</v>
      </c>
      <c r="AG152" s="28">
        <f>COUNTIF(AF$3:AF152,AF152)-1</f>
        <v>3</v>
      </c>
    </row>
    <row r="153" spans="1:33" x14ac:dyDescent="0.25">
      <c r="A153" s="27">
        <f ca="1">COUNTIF($F$3:F153,F153)+F153*$F$1</f>
        <v>20151</v>
      </c>
      <c r="B153" s="27" t="str">
        <f ca="1">E153 &amp; COUNTIF($F$3:F153,F153)</f>
        <v>副本151</v>
      </c>
      <c r="C153" s="14">
        <f t="shared" si="14"/>
        <v>4</v>
      </c>
      <c r="D153" s="14">
        <f>IF(C153=0,"",SUM(C$3:C153))</f>
        <v>517</v>
      </c>
      <c r="E153" s="27" t="s">
        <v>33</v>
      </c>
      <c r="F153" s="27">
        <f ca="1">OFFSET(参数!$A$1,MATCH($E153,参数!$B$2:$B$16,0),)</f>
        <v>2</v>
      </c>
      <c r="G153" s="14">
        <v>1</v>
      </c>
      <c r="H153" s="14">
        <v>22</v>
      </c>
      <c r="I153" s="14">
        <v>16</v>
      </c>
      <c r="J153" s="14">
        <v>13</v>
      </c>
      <c r="K153" s="14"/>
      <c r="L153" s="14"/>
      <c r="M153" s="14"/>
      <c r="N153" s="14"/>
      <c r="O153" s="14"/>
      <c r="P153" s="14"/>
      <c r="Q153" s="7">
        <v>1</v>
      </c>
      <c r="R153" s="7">
        <v>0.4</v>
      </c>
      <c r="S153" s="7">
        <v>0.5</v>
      </c>
      <c r="T153" s="7">
        <v>0.6</v>
      </c>
      <c r="U153" s="7"/>
      <c r="V153" s="7"/>
      <c r="W153" s="7"/>
      <c r="X153" s="7"/>
      <c r="Y153" s="7"/>
      <c r="Z153" s="7"/>
      <c r="AA153" s="28">
        <f t="shared" si="20"/>
        <v>151</v>
      </c>
      <c r="AB153" s="28">
        <f t="shared" ca="1" si="15"/>
        <v>20058</v>
      </c>
      <c r="AC153" s="28">
        <f t="shared" ca="1" si="16"/>
        <v>1</v>
      </c>
      <c r="AD153" s="29">
        <f t="shared" ca="1" si="17"/>
        <v>10000</v>
      </c>
      <c r="AE153" s="28" t="str">
        <f t="shared" ca="1" si="18"/>
        <v>副本58</v>
      </c>
      <c r="AF153" s="28">
        <f t="shared" si="19"/>
        <v>58</v>
      </c>
      <c r="AG153" s="28">
        <f>COUNTIF(AF$3:AF153,AF153)-1</f>
        <v>0</v>
      </c>
    </row>
    <row r="154" spans="1:33" x14ac:dyDescent="0.25">
      <c r="A154" s="27">
        <f ca="1">COUNTIF($F$3:F154,F154)+F154*$F$1</f>
        <v>20152</v>
      </c>
      <c r="B154" s="27" t="str">
        <f ca="1">E154 &amp; COUNTIF($F$3:F154,F154)</f>
        <v>副本152</v>
      </c>
      <c r="C154" s="14">
        <f t="shared" si="14"/>
        <v>4</v>
      </c>
      <c r="D154" s="14">
        <f>IF(C154=0,"",SUM(C$3:C154))</f>
        <v>521</v>
      </c>
      <c r="E154" s="27" t="s">
        <v>33</v>
      </c>
      <c r="F154" s="27">
        <f ca="1">OFFSET(参数!$A$1,MATCH($E154,参数!$B$2:$B$16,0),)</f>
        <v>2</v>
      </c>
      <c r="G154" s="14">
        <v>1</v>
      </c>
      <c r="H154" s="14">
        <v>22</v>
      </c>
      <c r="I154" s="14">
        <v>16</v>
      </c>
      <c r="J154" s="14">
        <v>13</v>
      </c>
      <c r="K154" s="14"/>
      <c r="L154" s="14"/>
      <c r="M154" s="14"/>
      <c r="N154" s="14"/>
      <c r="O154" s="14"/>
      <c r="P154" s="14"/>
      <c r="Q154" s="7">
        <v>1</v>
      </c>
      <c r="R154" s="7">
        <v>0.4</v>
      </c>
      <c r="S154" s="7">
        <v>0.5</v>
      </c>
      <c r="T154" s="7">
        <v>0.6</v>
      </c>
      <c r="U154" s="7"/>
      <c r="V154" s="7"/>
      <c r="W154" s="7"/>
      <c r="X154" s="7"/>
      <c r="Y154" s="7"/>
      <c r="Z154" s="7"/>
      <c r="AA154" s="28">
        <f t="shared" si="20"/>
        <v>152</v>
      </c>
      <c r="AB154" s="28">
        <f t="shared" ca="1" si="15"/>
        <v>20058</v>
      </c>
      <c r="AC154" s="28">
        <f t="shared" ca="1" si="16"/>
        <v>8</v>
      </c>
      <c r="AD154" s="29">
        <f t="shared" ca="1" si="17"/>
        <v>7000</v>
      </c>
      <c r="AE154" s="28" t="str">
        <f t="shared" ca="1" si="18"/>
        <v>副本58</v>
      </c>
      <c r="AF154" s="28">
        <f t="shared" si="19"/>
        <v>58</v>
      </c>
      <c r="AG154" s="28">
        <f>COUNTIF(AF$3:AF154,AF154)-1</f>
        <v>1</v>
      </c>
    </row>
    <row r="155" spans="1:33" x14ac:dyDescent="0.25">
      <c r="A155" s="27">
        <f ca="1">COUNTIF($F$3:F155,F155)+F155*$F$1</f>
        <v>20153</v>
      </c>
      <c r="B155" s="27" t="str">
        <f ca="1">E155 &amp; COUNTIF($F$3:F155,F155)</f>
        <v>副本153</v>
      </c>
      <c r="C155" s="14">
        <f t="shared" si="14"/>
        <v>4</v>
      </c>
      <c r="D155" s="14">
        <f>IF(C155=0,"",SUM(C$3:C155))</f>
        <v>525</v>
      </c>
      <c r="E155" s="27" t="s">
        <v>33</v>
      </c>
      <c r="F155" s="27">
        <f ca="1">OFFSET(参数!$A$1,MATCH($E155,参数!$B$2:$B$16,0),)</f>
        <v>2</v>
      </c>
      <c r="G155" s="14">
        <v>1</v>
      </c>
      <c r="H155" s="14">
        <v>22</v>
      </c>
      <c r="I155" s="14">
        <v>16</v>
      </c>
      <c r="J155" s="14">
        <v>13</v>
      </c>
      <c r="K155" s="14"/>
      <c r="L155" s="14"/>
      <c r="M155" s="14"/>
      <c r="N155" s="14"/>
      <c r="O155" s="14"/>
      <c r="P155" s="14"/>
      <c r="Q155" s="7">
        <v>1</v>
      </c>
      <c r="R155" s="7">
        <v>0.4</v>
      </c>
      <c r="S155" s="7">
        <v>0.5</v>
      </c>
      <c r="T155" s="7">
        <v>0.6</v>
      </c>
      <c r="U155" s="7"/>
      <c r="V155" s="7"/>
      <c r="W155" s="7"/>
      <c r="X155" s="7"/>
      <c r="Y155" s="7"/>
      <c r="Z155" s="7"/>
      <c r="AA155" s="28">
        <f t="shared" si="20"/>
        <v>153</v>
      </c>
      <c r="AB155" s="28">
        <f t="shared" ca="1" si="15"/>
        <v>20058</v>
      </c>
      <c r="AC155" s="28">
        <f t="shared" ca="1" si="16"/>
        <v>6</v>
      </c>
      <c r="AD155" s="29">
        <f t="shared" ca="1" si="17"/>
        <v>8000</v>
      </c>
      <c r="AE155" s="28" t="str">
        <f t="shared" ca="1" si="18"/>
        <v>副本58</v>
      </c>
      <c r="AF155" s="28">
        <f t="shared" si="19"/>
        <v>58</v>
      </c>
      <c r="AG155" s="28">
        <f>COUNTIF(AF$3:AF155,AF155)-1</f>
        <v>2</v>
      </c>
    </row>
    <row r="156" spans="1:33" x14ac:dyDescent="0.25">
      <c r="A156" s="27">
        <f ca="1">COUNTIF($F$3:F156,F156)+F156*$F$1</f>
        <v>20154</v>
      </c>
      <c r="B156" s="27" t="str">
        <f ca="1">E156 &amp; COUNTIF($F$3:F156,F156)</f>
        <v>副本154</v>
      </c>
      <c r="C156" s="14">
        <f t="shared" si="14"/>
        <v>4</v>
      </c>
      <c r="D156" s="14">
        <f>IF(C156=0,"",SUM(C$3:C156))</f>
        <v>529</v>
      </c>
      <c r="E156" s="27" t="s">
        <v>33</v>
      </c>
      <c r="F156" s="27">
        <f ca="1">OFFSET(参数!$A$1,MATCH($E156,参数!$B$2:$B$16,0),)</f>
        <v>2</v>
      </c>
      <c r="G156" s="14">
        <v>1</v>
      </c>
      <c r="H156" s="14">
        <v>22</v>
      </c>
      <c r="I156" s="14">
        <v>16</v>
      </c>
      <c r="J156" s="14">
        <v>13</v>
      </c>
      <c r="K156" s="14"/>
      <c r="L156" s="14"/>
      <c r="M156" s="14"/>
      <c r="N156" s="14"/>
      <c r="O156" s="14"/>
      <c r="P156" s="14"/>
      <c r="Q156" s="7">
        <v>1</v>
      </c>
      <c r="R156" s="7">
        <v>0.4</v>
      </c>
      <c r="S156" s="7">
        <v>0.5</v>
      </c>
      <c r="T156" s="7">
        <v>0.6</v>
      </c>
      <c r="U156" s="7"/>
      <c r="V156" s="7"/>
      <c r="W156" s="7"/>
      <c r="X156" s="7"/>
      <c r="Y156" s="7"/>
      <c r="Z156" s="7"/>
      <c r="AA156" s="28">
        <f t="shared" si="20"/>
        <v>154</v>
      </c>
      <c r="AB156" s="28">
        <f t="shared" ca="1" si="15"/>
        <v>20058</v>
      </c>
      <c r="AC156" s="28">
        <f t="shared" ca="1" si="16"/>
        <v>4</v>
      </c>
      <c r="AD156" s="29">
        <f t="shared" ca="1" si="17"/>
        <v>9000</v>
      </c>
      <c r="AE156" s="28" t="str">
        <f t="shared" ca="1" si="18"/>
        <v>副本58</v>
      </c>
      <c r="AF156" s="28">
        <f t="shared" si="19"/>
        <v>58</v>
      </c>
      <c r="AG156" s="28">
        <f>COUNTIF(AF$3:AF156,AF156)-1</f>
        <v>3</v>
      </c>
    </row>
    <row r="157" spans="1:33" x14ac:dyDescent="0.25">
      <c r="A157" s="27">
        <f ca="1">COUNTIF($F$3:F157,F157)+F157*$F$1</f>
        <v>30001</v>
      </c>
      <c r="B157" s="27" t="str">
        <f ca="1">E157 &amp; COUNTIF($F$3:F157,F157)</f>
        <v>经验卡1</v>
      </c>
      <c r="C157" s="14">
        <f t="shared" ref="C157" si="21">COUNTA(G157:P157)</f>
        <v>1</v>
      </c>
      <c r="D157" s="14">
        <f>IF(C157=0,"",SUM(C$3:C157))</f>
        <v>530</v>
      </c>
      <c r="E157" s="27" t="s">
        <v>139</v>
      </c>
      <c r="F157" s="27">
        <f ca="1">OFFSET(参数!$A$1,MATCH($E157,参数!$B$2:$B$16,0),)</f>
        <v>3</v>
      </c>
      <c r="G157" s="14">
        <v>23</v>
      </c>
      <c r="H157" s="14"/>
      <c r="I157" s="14"/>
      <c r="J157" s="14"/>
      <c r="K157" s="14"/>
      <c r="L157" s="14"/>
      <c r="M157" s="14"/>
      <c r="N157" s="14"/>
      <c r="O157" s="14"/>
      <c r="P157" s="14"/>
      <c r="Q157" s="7">
        <v>0.5</v>
      </c>
      <c r="R157" s="7"/>
      <c r="S157" s="7"/>
      <c r="T157" s="7"/>
      <c r="U157" s="7"/>
      <c r="V157" s="7"/>
      <c r="W157" s="7"/>
      <c r="X157" s="7"/>
      <c r="Y157" s="7"/>
      <c r="Z157" s="7"/>
      <c r="AA157" s="28">
        <f t="shared" si="20"/>
        <v>155</v>
      </c>
      <c r="AB157" s="28">
        <f t="shared" ca="1" si="15"/>
        <v>20059</v>
      </c>
      <c r="AC157" s="28">
        <f t="shared" ca="1" si="16"/>
        <v>1</v>
      </c>
      <c r="AD157" s="29">
        <f t="shared" ca="1" si="17"/>
        <v>10000</v>
      </c>
      <c r="AE157" s="28" t="str">
        <f t="shared" ca="1" si="18"/>
        <v>副本59</v>
      </c>
      <c r="AF157" s="28">
        <f t="shared" si="19"/>
        <v>59</v>
      </c>
      <c r="AG157" s="28">
        <f>COUNTIF(AF$3:AF157,AF157)-1</f>
        <v>0</v>
      </c>
    </row>
    <row r="158" spans="1:33" x14ac:dyDescent="0.25">
      <c r="A158" s="27">
        <f ca="1">COUNTIF($F$3:F158,F158)+F158*$F$1</f>
        <v>70001</v>
      </c>
      <c r="B158" s="27" t="str">
        <f ca="1">E158 &amp; COUNTIF($F$3:F158,F158)</f>
        <v>装备设计图1</v>
      </c>
      <c r="C158" s="14">
        <f t="shared" ref="C158:C164" si="22">COUNTA(G158:P158)</f>
        <v>1</v>
      </c>
      <c r="D158" s="14">
        <f>IF(C158=0,"",SUM(C$3:C158))</f>
        <v>531</v>
      </c>
      <c r="E158" s="27" t="s">
        <v>145</v>
      </c>
      <c r="F158" s="27">
        <f ca="1">OFFSET(参数!$A$1,MATCH($E158,参数!$B$2:$B$16,0),)</f>
        <v>7</v>
      </c>
      <c r="G158" s="14">
        <v>24</v>
      </c>
      <c r="H158" s="14"/>
      <c r="I158" s="14"/>
      <c r="J158" s="14"/>
      <c r="K158" s="14"/>
      <c r="L158" s="14"/>
      <c r="M158" s="14"/>
      <c r="N158" s="14"/>
      <c r="O158" s="14"/>
      <c r="P158" s="14"/>
      <c r="Q158" s="7">
        <v>1</v>
      </c>
      <c r="R158" s="7"/>
      <c r="S158" s="7"/>
      <c r="T158" s="7"/>
      <c r="U158" s="7"/>
      <c r="V158" s="7"/>
      <c r="W158" s="7"/>
      <c r="X158" s="7"/>
      <c r="Y158" s="7"/>
      <c r="Z158" s="7"/>
      <c r="AA158" s="28">
        <f t="shared" si="20"/>
        <v>156</v>
      </c>
      <c r="AB158" s="28">
        <f t="shared" ca="1" si="15"/>
        <v>20059</v>
      </c>
      <c r="AC158" s="28">
        <f t="shared" ca="1" si="16"/>
        <v>9</v>
      </c>
      <c r="AD158" s="29">
        <f t="shared" ca="1" si="17"/>
        <v>7000</v>
      </c>
      <c r="AE158" s="28" t="str">
        <f t="shared" ca="1" si="18"/>
        <v>副本59</v>
      </c>
      <c r="AF158" s="28">
        <f t="shared" si="19"/>
        <v>59</v>
      </c>
      <c r="AG158" s="28">
        <f>COUNTIF(AF$3:AF158,AF158)-1</f>
        <v>1</v>
      </c>
    </row>
    <row r="159" spans="1:33" x14ac:dyDescent="0.25">
      <c r="A159" s="27">
        <f ca="1">COUNTIF($F$3:F159,F159)+F159*$F$1</f>
        <v>70002</v>
      </c>
      <c r="B159" s="27" t="str">
        <f ca="1">E159 &amp; COUNTIF($F$3:F159,F159)</f>
        <v>装备设计图2</v>
      </c>
      <c r="C159" s="14">
        <f t="shared" si="22"/>
        <v>1</v>
      </c>
      <c r="D159" s="14">
        <f>IF(C159=0,"",SUM(C$3:C159))</f>
        <v>532</v>
      </c>
      <c r="E159" s="27" t="s">
        <v>145</v>
      </c>
      <c r="F159" s="27">
        <f ca="1">OFFSET(参数!$A$1,MATCH($E159,参数!$B$2:$B$16,0),)</f>
        <v>7</v>
      </c>
      <c r="G159" s="14">
        <v>25</v>
      </c>
      <c r="H159" s="14"/>
      <c r="I159" s="14"/>
      <c r="J159" s="14"/>
      <c r="K159" s="14"/>
      <c r="L159" s="14"/>
      <c r="M159" s="14"/>
      <c r="N159" s="14"/>
      <c r="O159" s="14"/>
      <c r="P159" s="14"/>
      <c r="Q159" s="7">
        <v>1</v>
      </c>
      <c r="R159" s="7"/>
      <c r="S159" s="7"/>
      <c r="T159" s="7"/>
      <c r="U159" s="7"/>
      <c r="V159" s="7"/>
      <c r="W159" s="7"/>
      <c r="X159" s="7"/>
      <c r="Y159" s="7"/>
      <c r="Z159" s="7"/>
      <c r="AA159" s="28">
        <f t="shared" si="20"/>
        <v>157</v>
      </c>
      <c r="AB159" s="28">
        <f t="shared" ca="1" si="15"/>
        <v>20059</v>
      </c>
      <c r="AC159" s="28">
        <f t="shared" ca="1" si="16"/>
        <v>7</v>
      </c>
      <c r="AD159" s="29">
        <f t="shared" ca="1" si="17"/>
        <v>8000</v>
      </c>
      <c r="AE159" s="28" t="str">
        <f t="shared" ca="1" si="18"/>
        <v>副本59</v>
      </c>
      <c r="AF159" s="28">
        <f t="shared" si="19"/>
        <v>59</v>
      </c>
      <c r="AG159" s="28">
        <f>COUNTIF(AF$3:AF159,AF159)-1</f>
        <v>2</v>
      </c>
    </row>
    <row r="160" spans="1:33" x14ac:dyDescent="0.25">
      <c r="A160" s="27">
        <f ca="1">COUNTIF($F$3:F160,F160)+F160*$F$1</f>
        <v>70003</v>
      </c>
      <c r="B160" s="27" t="str">
        <f ca="1">E160 &amp; COUNTIF($F$3:F160,F160)</f>
        <v>装备设计图3</v>
      </c>
      <c r="C160" s="14">
        <f t="shared" si="22"/>
        <v>1</v>
      </c>
      <c r="D160" s="14">
        <f>IF(C160=0,"",SUM(C$3:C160))</f>
        <v>533</v>
      </c>
      <c r="E160" s="27" t="s">
        <v>145</v>
      </c>
      <c r="F160" s="27">
        <f ca="1">OFFSET(参数!$A$1,MATCH($E160,参数!$B$2:$B$16,0),)</f>
        <v>7</v>
      </c>
      <c r="G160" s="14">
        <v>26</v>
      </c>
      <c r="H160" s="14"/>
      <c r="I160" s="14"/>
      <c r="J160" s="14"/>
      <c r="K160" s="14"/>
      <c r="L160" s="14"/>
      <c r="M160" s="14"/>
      <c r="N160" s="14"/>
      <c r="O160" s="14"/>
      <c r="P160" s="14"/>
      <c r="Q160" s="7">
        <v>1</v>
      </c>
      <c r="R160" s="7"/>
      <c r="S160" s="7"/>
      <c r="T160" s="7"/>
      <c r="U160" s="7"/>
      <c r="V160" s="7"/>
      <c r="W160" s="7"/>
      <c r="X160" s="7"/>
      <c r="Y160" s="7"/>
      <c r="Z160" s="7"/>
      <c r="AA160" s="28">
        <f t="shared" si="20"/>
        <v>158</v>
      </c>
      <c r="AB160" s="28">
        <f t="shared" ca="1" si="15"/>
        <v>20059</v>
      </c>
      <c r="AC160" s="28">
        <f t="shared" ca="1" si="16"/>
        <v>3</v>
      </c>
      <c r="AD160" s="29">
        <f t="shared" ca="1" si="17"/>
        <v>9000</v>
      </c>
      <c r="AE160" s="28" t="str">
        <f t="shared" ca="1" si="18"/>
        <v>副本59</v>
      </c>
      <c r="AF160" s="28">
        <f t="shared" si="19"/>
        <v>59</v>
      </c>
      <c r="AG160" s="28">
        <f>COUNTIF(AF$3:AF160,AF160)-1</f>
        <v>3</v>
      </c>
    </row>
    <row r="161" spans="1:33" x14ac:dyDescent="0.25">
      <c r="A161" s="27">
        <f ca="1">COUNTIF($F$3:F161,F161)+F161*$F$1</f>
        <v>70004</v>
      </c>
      <c r="B161" s="27" t="str">
        <f ca="1">E161 &amp; COUNTIF($F$3:F161,F161)</f>
        <v>装备设计图4</v>
      </c>
      <c r="C161" s="14">
        <f t="shared" si="22"/>
        <v>1</v>
      </c>
      <c r="D161" s="14">
        <f>IF(C161=0,"",SUM(C$3:C161))</f>
        <v>534</v>
      </c>
      <c r="E161" s="27" t="s">
        <v>145</v>
      </c>
      <c r="F161" s="27">
        <f ca="1">OFFSET(参数!$A$1,MATCH($E161,参数!$B$2:$B$16,0),)</f>
        <v>7</v>
      </c>
      <c r="G161" s="14">
        <v>27</v>
      </c>
      <c r="H161" s="14"/>
      <c r="I161" s="14"/>
      <c r="J161" s="14"/>
      <c r="K161" s="14"/>
      <c r="L161" s="14"/>
      <c r="M161" s="14"/>
      <c r="N161" s="14"/>
      <c r="O161" s="14"/>
      <c r="P161" s="14"/>
      <c r="Q161" s="7">
        <v>1</v>
      </c>
      <c r="R161" s="7"/>
      <c r="S161" s="7"/>
      <c r="T161" s="7"/>
      <c r="U161" s="7"/>
      <c r="V161" s="7"/>
      <c r="W161" s="7"/>
      <c r="X161" s="7"/>
      <c r="Y161" s="7"/>
      <c r="Z161" s="7"/>
      <c r="AA161" s="28">
        <f t="shared" si="20"/>
        <v>159</v>
      </c>
      <c r="AB161" s="28">
        <f t="shared" ca="1" si="15"/>
        <v>20060</v>
      </c>
      <c r="AC161" s="28">
        <f t="shared" ca="1" si="16"/>
        <v>1</v>
      </c>
      <c r="AD161" s="29">
        <f t="shared" ca="1" si="17"/>
        <v>10000</v>
      </c>
      <c r="AE161" s="28" t="str">
        <f t="shared" ca="1" si="18"/>
        <v>副本60</v>
      </c>
      <c r="AF161" s="28">
        <f t="shared" si="19"/>
        <v>60</v>
      </c>
      <c r="AG161" s="28">
        <f>COUNTIF(AF$3:AF161,AF161)-1</f>
        <v>0</v>
      </c>
    </row>
    <row r="162" spans="1:33" x14ac:dyDescent="0.25">
      <c r="A162" s="27">
        <f ca="1">COUNTIF($F$3:F162,F162)+F162*$F$1</f>
        <v>70005</v>
      </c>
      <c r="B162" s="27" t="str">
        <f ca="1">E162 &amp; COUNTIF($F$3:F162,F162)</f>
        <v>装备设计图5</v>
      </c>
      <c r="C162" s="14">
        <f t="shared" si="22"/>
        <v>1</v>
      </c>
      <c r="D162" s="14">
        <f>IF(C162=0,"",SUM(C$3:C162))</f>
        <v>535</v>
      </c>
      <c r="E162" s="27" t="s">
        <v>145</v>
      </c>
      <c r="F162" s="27">
        <f ca="1">OFFSET(参数!$A$1,MATCH($E162,参数!$B$2:$B$16,0),)</f>
        <v>7</v>
      </c>
      <c r="G162" s="14">
        <v>28</v>
      </c>
      <c r="H162" s="14"/>
      <c r="I162" s="14"/>
      <c r="J162" s="14"/>
      <c r="K162" s="14"/>
      <c r="L162" s="14"/>
      <c r="M162" s="14"/>
      <c r="N162" s="14"/>
      <c r="O162" s="14"/>
      <c r="P162" s="14"/>
      <c r="Q162" s="7">
        <v>1</v>
      </c>
      <c r="R162" s="7"/>
      <c r="S162" s="7"/>
      <c r="T162" s="7"/>
      <c r="U162" s="7"/>
      <c r="V162" s="7"/>
      <c r="W162" s="7"/>
      <c r="X162" s="7"/>
      <c r="Y162" s="7"/>
      <c r="Z162" s="7"/>
      <c r="AA162" s="28">
        <f t="shared" si="20"/>
        <v>160</v>
      </c>
      <c r="AB162" s="28">
        <f t="shared" ca="1" si="15"/>
        <v>20060</v>
      </c>
      <c r="AC162" s="28">
        <f t="shared" ca="1" si="16"/>
        <v>9</v>
      </c>
      <c r="AD162" s="29">
        <f t="shared" ca="1" si="17"/>
        <v>7000</v>
      </c>
      <c r="AE162" s="28" t="str">
        <f t="shared" ca="1" si="18"/>
        <v>副本60</v>
      </c>
      <c r="AF162" s="28">
        <f t="shared" si="19"/>
        <v>60</v>
      </c>
      <c r="AG162" s="28">
        <f>COUNTIF(AF$3:AF162,AF162)-1</f>
        <v>1</v>
      </c>
    </row>
    <row r="163" spans="1:33" x14ac:dyDescent="0.25">
      <c r="A163" s="27">
        <f ca="1">COUNTIF($F$3:F163,F163)+F163*$F$1</f>
        <v>70006</v>
      </c>
      <c r="B163" s="27" t="str">
        <f ca="1">E163 &amp; COUNTIF($F$3:F163,F163)</f>
        <v>装备设计图6</v>
      </c>
      <c r="C163" s="14">
        <f t="shared" si="22"/>
        <v>1</v>
      </c>
      <c r="D163" s="14">
        <f>IF(C163=0,"",SUM(C$3:C163))</f>
        <v>536</v>
      </c>
      <c r="E163" s="27" t="s">
        <v>145</v>
      </c>
      <c r="F163" s="27">
        <f ca="1">OFFSET(参数!$A$1,MATCH($E163,参数!$B$2:$B$16,0),)</f>
        <v>7</v>
      </c>
      <c r="G163" s="14">
        <v>29</v>
      </c>
      <c r="H163" s="14"/>
      <c r="I163" s="14"/>
      <c r="J163" s="14"/>
      <c r="K163" s="14"/>
      <c r="L163" s="14"/>
      <c r="M163" s="14"/>
      <c r="N163" s="14"/>
      <c r="O163" s="14"/>
      <c r="P163" s="14"/>
      <c r="Q163" s="7">
        <v>1</v>
      </c>
      <c r="R163" s="7"/>
      <c r="S163" s="7"/>
      <c r="T163" s="7"/>
      <c r="U163" s="7"/>
      <c r="V163" s="7"/>
      <c r="W163" s="7"/>
      <c r="X163" s="7"/>
      <c r="Y163" s="7"/>
      <c r="Z163" s="7"/>
      <c r="AA163" s="28">
        <f t="shared" si="20"/>
        <v>161</v>
      </c>
      <c r="AB163" s="28">
        <f t="shared" ca="1" si="15"/>
        <v>20060</v>
      </c>
      <c r="AC163" s="28">
        <f t="shared" ca="1" si="16"/>
        <v>7</v>
      </c>
      <c r="AD163" s="29">
        <f t="shared" ca="1" si="17"/>
        <v>8000</v>
      </c>
      <c r="AE163" s="28" t="str">
        <f t="shared" ca="1" si="18"/>
        <v>副本60</v>
      </c>
      <c r="AF163" s="28">
        <f t="shared" si="19"/>
        <v>60</v>
      </c>
      <c r="AG163" s="28">
        <f>COUNTIF(AF$3:AF163,AF163)-1</f>
        <v>2</v>
      </c>
    </row>
    <row r="164" spans="1:33" x14ac:dyDescent="0.25">
      <c r="A164" s="27">
        <f ca="1">COUNTIF($F$3:F164,F164)+F164*$F$1</f>
        <v>70007</v>
      </c>
      <c r="B164" s="27" t="str">
        <f ca="1">E164 &amp; COUNTIF($F$3:F164,F164)</f>
        <v>装备设计图7</v>
      </c>
      <c r="C164" s="14">
        <f t="shared" si="22"/>
        <v>1</v>
      </c>
      <c r="D164" s="14">
        <f>IF(C164=0,"",SUM(C$3:C164))</f>
        <v>537</v>
      </c>
      <c r="E164" s="27" t="s">
        <v>145</v>
      </c>
      <c r="F164" s="27">
        <f ca="1">OFFSET(参数!$A$1,MATCH($E164,参数!$B$2:$B$16,0),)</f>
        <v>7</v>
      </c>
      <c r="G164" s="14">
        <v>30</v>
      </c>
      <c r="H164" s="14"/>
      <c r="I164" s="14"/>
      <c r="J164" s="14"/>
      <c r="K164" s="14"/>
      <c r="L164" s="14"/>
      <c r="M164" s="14"/>
      <c r="N164" s="14"/>
      <c r="O164" s="14"/>
      <c r="P164" s="14"/>
      <c r="Q164" s="7">
        <v>1</v>
      </c>
      <c r="R164" s="7"/>
      <c r="S164" s="7"/>
      <c r="T164" s="7"/>
      <c r="U164" s="7"/>
      <c r="V164" s="7"/>
      <c r="W164" s="7"/>
      <c r="X164" s="7"/>
      <c r="Y164" s="7"/>
      <c r="Z164" s="7"/>
      <c r="AA164" s="28">
        <f t="shared" si="20"/>
        <v>162</v>
      </c>
      <c r="AB164" s="28">
        <f t="shared" ca="1" si="15"/>
        <v>20060</v>
      </c>
      <c r="AC164" s="28">
        <f t="shared" ca="1" si="16"/>
        <v>3</v>
      </c>
      <c r="AD164" s="29">
        <f t="shared" ca="1" si="17"/>
        <v>9000</v>
      </c>
      <c r="AE164" s="28" t="str">
        <f t="shared" ca="1" si="18"/>
        <v>副本60</v>
      </c>
      <c r="AF164" s="28">
        <f t="shared" si="19"/>
        <v>60</v>
      </c>
      <c r="AG164" s="28">
        <f>COUNTIF(AF$3:AF164,AF164)-1</f>
        <v>3</v>
      </c>
    </row>
    <row r="165" spans="1:33" x14ac:dyDescent="0.25">
      <c r="A165" s="27">
        <f ca="1">COUNTIF($F$3:F165,F165)+F165*$F$1</f>
        <v>10001</v>
      </c>
      <c r="B165" s="27" t="str">
        <f ca="1">E165 &amp; COUNTIF($F$3:F165,F165)</f>
        <v>卡碎片1</v>
      </c>
      <c r="C165" s="14">
        <f t="shared" ref="C165:C171" si="23">COUNTA(G165:P165)</f>
        <v>1</v>
      </c>
      <c r="D165" s="14">
        <f>IF(C165=0,"",SUM(C$3:C165))</f>
        <v>538</v>
      </c>
      <c r="E165" s="27" t="s">
        <v>147</v>
      </c>
      <c r="F165" s="27">
        <f ca="1">OFFSET(参数!$A$1,MATCH($E165,参数!$B$2:$B$16,0),)</f>
        <v>1</v>
      </c>
      <c r="G165" s="14">
        <v>31</v>
      </c>
      <c r="H165" s="14"/>
      <c r="I165" s="14"/>
      <c r="J165" s="14"/>
      <c r="K165" s="14"/>
      <c r="L165" s="14"/>
      <c r="M165" s="14"/>
      <c r="N165" s="14"/>
      <c r="O165" s="14"/>
      <c r="P165" s="14"/>
      <c r="Q165" s="7">
        <v>1</v>
      </c>
      <c r="R165" s="7"/>
      <c r="S165" s="7"/>
      <c r="T165" s="7"/>
      <c r="U165" s="7"/>
      <c r="V165" s="7"/>
      <c r="W165" s="7"/>
      <c r="X165" s="7"/>
      <c r="Y165" s="7"/>
      <c r="Z165" s="7"/>
      <c r="AA165" s="28">
        <f t="shared" si="20"/>
        <v>163</v>
      </c>
      <c r="AB165" s="28">
        <f t="shared" ca="1" si="15"/>
        <v>20061</v>
      </c>
      <c r="AC165" s="28">
        <f t="shared" ca="1" si="16"/>
        <v>1</v>
      </c>
      <c r="AD165" s="29">
        <f t="shared" ca="1" si="17"/>
        <v>10000</v>
      </c>
      <c r="AE165" s="28" t="str">
        <f t="shared" ca="1" si="18"/>
        <v>副本61</v>
      </c>
      <c r="AF165" s="28">
        <f t="shared" si="19"/>
        <v>61</v>
      </c>
      <c r="AG165" s="28">
        <f>COUNTIF(AF$3:AF165,AF165)-1</f>
        <v>0</v>
      </c>
    </row>
    <row r="166" spans="1:33" x14ac:dyDescent="0.25">
      <c r="A166" s="27">
        <f ca="1">COUNTIF($F$3:F166,F166)+F166*$F$1</f>
        <v>80001</v>
      </c>
      <c r="B166" s="27" t="str">
        <f ca="1">E166 &amp; COUNTIF($F$3:F166,F166)</f>
        <v>经验卡副本1</v>
      </c>
      <c r="C166" s="14">
        <f t="shared" si="23"/>
        <v>2</v>
      </c>
      <c r="D166" s="14">
        <f>IF(C166=0,"",SUM(C$3:C166))</f>
        <v>540</v>
      </c>
      <c r="E166" s="27" t="s">
        <v>184</v>
      </c>
      <c r="F166" s="27">
        <f ca="1">OFFSET(参数!$A$1,MATCH($E166,参数!$B$2:$B$16,0),)</f>
        <v>8</v>
      </c>
      <c r="G166" s="14">
        <v>54</v>
      </c>
      <c r="H166" s="14">
        <v>55</v>
      </c>
      <c r="I166" s="14"/>
      <c r="J166" s="14"/>
      <c r="K166" s="14"/>
      <c r="L166" s="14"/>
      <c r="M166" s="14"/>
      <c r="N166" s="14"/>
      <c r="O166" s="14"/>
      <c r="P166" s="14"/>
      <c r="Q166" s="7">
        <v>1</v>
      </c>
      <c r="R166" s="7">
        <v>1</v>
      </c>
      <c r="S166" s="7"/>
      <c r="T166" s="7"/>
      <c r="U166" s="7"/>
      <c r="V166" s="7"/>
      <c r="W166" s="7"/>
      <c r="X166" s="7"/>
      <c r="Y166" s="7"/>
      <c r="Z166" s="7"/>
      <c r="AA166" s="28">
        <f t="shared" si="20"/>
        <v>164</v>
      </c>
      <c r="AB166" s="28">
        <f t="shared" ca="1" si="15"/>
        <v>20061</v>
      </c>
      <c r="AC166" s="28">
        <f t="shared" ca="1" si="16"/>
        <v>9</v>
      </c>
      <c r="AD166" s="29">
        <f t="shared" ca="1" si="17"/>
        <v>7000</v>
      </c>
      <c r="AE166" s="28" t="str">
        <f t="shared" ca="1" si="18"/>
        <v>副本61</v>
      </c>
      <c r="AF166" s="28">
        <f t="shared" si="19"/>
        <v>61</v>
      </c>
      <c r="AG166" s="28">
        <f>COUNTIF(AF$3:AF166,AF166)-1</f>
        <v>1</v>
      </c>
    </row>
    <row r="167" spans="1:33" x14ac:dyDescent="0.25">
      <c r="A167" s="27">
        <f ca="1">COUNTIF($F$3:F167,F167)+F167*$F$1</f>
        <v>80002</v>
      </c>
      <c r="B167" s="27" t="str">
        <f ca="1">E167 &amp; COUNTIF($F$3:F167,F167)</f>
        <v>经验卡副本2</v>
      </c>
      <c r="C167" s="14">
        <f t="shared" si="23"/>
        <v>2</v>
      </c>
      <c r="D167" s="14">
        <f>IF(C167=0,"",SUM(C$3:C167))</f>
        <v>542</v>
      </c>
      <c r="E167" s="27" t="s">
        <v>184</v>
      </c>
      <c r="F167" s="27">
        <f ca="1">OFFSET(参数!$A$1,MATCH($E167,参数!$B$2:$B$16,0),)</f>
        <v>8</v>
      </c>
      <c r="G167" s="14">
        <v>54</v>
      </c>
      <c r="H167" s="14">
        <v>56</v>
      </c>
      <c r="I167" s="14"/>
      <c r="J167" s="14"/>
      <c r="K167" s="14"/>
      <c r="L167" s="14"/>
      <c r="M167" s="14"/>
      <c r="N167" s="14"/>
      <c r="O167" s="14"/>
      <c r="P167" s="14"/>
      <c r="Q167" s="7">
        <v>1</v>
      </c>
      <c r="R167" s="7">
        <v>1</v>
      </c>
      <c r="S167" s="7"/>
      <c r="T167" s="7"/>
      <c r="U167" s="7"/>
      <c r="V167" s="7"/>
      <c r="W167" s="7"/>
      <c r="X167" s="7"/>
      <c r="Y167" s="7"/>
      <c r="Z167" s="7"/>
      <c r="AA167" s="28">
        <f t="shared" si="20"/>
        <v>165</v>
      </c>
      <c r="AB167" s="28">
        <f t="shared" ca="1" si="15"/>
        <v>20061</v>
      </c>
      <c r="AC167" s="28">
        <f t="shared" ca="1" si="16"/>
        <v>7</v>
      </c>
      <c r="AD167" s="29">
        <f t="shared" ca="1" si="17"/>
        <v>8000</v>
      </c>
      <c r="AE167" s="28" t="str">
        <f t="shared" ca="1" si="18"/>
        <v>副本61</v>
      </c>
      <c r="AF167" s="28">
        <f t="shared" si="19"/>
        <v>61</v>
      </c>
      <c r="AG167" s="28">
        <f>COUNTIF(AF$3:AF167,AF167)-1</f>
        <v>2</v>
      </c>
    </row>
    <row r="168" spans="1:33" x14ac:dyDescent="0.25">
      <c r="A168" s="27">
        <f ca="1">COUNTIF($F$3:F168,F168)+F168*$F$1</f>
        <v>80003</v>
      </c>
      <c r="B168" s="27" t="str">
        <f ca="1">E168 &amp; COUNTIF($F$3:F168,F168)</f>
        <v>经验卡副本3</v>
      </c>
      <c r="C168" s="14">
        <f t="shared" si="23"/>
        <v>2</v>
      </c>
      <c r="D168" s="14">
        <f>IF(C168=0,"",SUM(C$3:C168))</f>
        <v>544</v>
      </c>
      <c r="E168" s="27" t="s">
        <v>184</v>
      </c>
      <c r="F168" s="27">
        <f ca="1">OFFSET(参数!$A$1,MATCH($E168,参数!$B$2:$B$16,0),)</f>
        <v>8</v>
      </c>
      <c r="G168" s="14">
        <v>54</v>
      </c>
      <c r="H168" s="14">
        <v>57</v>
      </c>
      <c r="I168" s="14"/>
      <c r="J168" s="14"/>
      <c r="K168" s="14"/>
      <c r="L168" s="14"/>
      <c r="M168" s="14"/>
      <c r="N168" s="14"/>
      <c r="O168" s="14"/>
      <c r="P168" s="14"/>
      <c r="Q168" s="7">
        <v>1</v>
      </c>
      <c r="R168" s="7">
        <v>1</v>
      </c>
      <c r="S168" s="7"/>
      <c r="T168" s="7"/>
      <c r="U168" s="7"/>
      <c r="V168" s="7"/>
      <c r="W168" s="7"/>
      <c r="X168" s="7"/>
      <c r="Y168" s="7"/>
      <c r="Z168" s="7"/>
      <c r="AA168" s="28">
        <f t="shared" si="20"/>
        <v>166</v>
      </c>
      <c r="AB168" s="28">
        <f t="shared" ca="1" si="15"/>
        <v>20061</v>
      </c>
      <c r="AC168" s="28">
        <f t="shared" ca="1" si="16"/>
        <v>3</v>
      </c>
      <c r="AD168" s="29">
        <f t="shared" ca="1" si="17"/>
        <v>9000</v>
      </c>
      <c r="AE168" s="28" t="str">
        <f t="shared" ca="1" si="18"/>
        <v>副本61</v>
      </c>
      <c r="AF168" s="28">
        <f t="shared" si="19"/>
        <v>61</v>
      </c>
      <c r="AG168" s="28">
        <f>COUNTIF(AF$3:AF168,AF168)-1</f>
        <v>3</v>
      </c>
    </row>
    <row r="169" spans="1:33" x14ac:dyDescent="0.25">
      <c r="A169" s="27">
        <f ca="1">COUNTIF($F$3:F169,F169)+F169*$F$1</f>
        <v>80004</v>
      </c>
      <c r="B169" s="27" t="str">
        <f ca="1">E169 &amp; COUNTIF($F$3:F169,F169)</f>
        <v>经验卡副本4</v>
      </c>
      <c r="C169" s="14">
        <f t="shared" si="23"/>
        <v>2</v>
      </c>
      <c r="D169" s="14">
        <f>IF(C169=0,"",SUM(C$3:C169))</f>
        <v>546</v>
      </c>
      <c r="E169" s="27" t="s">
        <v>184</v>
      </c>
      <c r="F169" s="27">
        <f ca="1">OFFSET(参数!$A$1,MATCH($E169,参数!$B$2:$B$16,0),)</f>
        <v>8</v>
      </c>
      <c r="G169" s="14">
        <v>54</v>
      </c>
      <c r="H169" s="14">
        <v>58</v>
      </c>
      <c r="I169" s="14"/>
      <c r="J169" s="14"/>
      <c r="K169" s="14"/>
      <c r="L169" s="14"/>
      <c r="M169" s="14"/>
      <c r="N169" s="14"/>
      <c r="O169" s="14"/>
      <c r="P169" s="14"/>
      <c r="Q169" s="7">
        <v>1</v>
      </c>
      <c r="R169" s="7">
        <v>1</v>
      </c>
      <c r="S169" s="7"/>
      <c r="T169" s="7"/>
      <c r="U169" s="7"/>
      <c r="V169" s="7"/>
      <c r="W169" s="7"/>
      <c r="X169" s="7"/>
      <c r="Y169" s="7"/>
      <c r="Z169" s="7"/>
      <c r="AA169" s="28">
        <f t="shared" si="20"/>
        <v>167</v>
      </c>
      <c r="AB169" s="28">
        <f t="shared" ca="1" si="15"/>
        <v>20062</v>
      </c>
      <c r="AC169" s="28">
        <f t="shared" ca="1" si="16"/>
        <v>1</v>
      </c>
      <c r="AD169" s="29">
        <f t="shared" ca="1" si="17"/>
        <v>10000</v>
      </c>
      <c r="AE169" s="28" t="str">
        <f t="shared" ca="1" si="18"/>
        <v>副本62</v>
      </c>
      <c r="AF169" s="28">
        <f t="shared" si="19"/>
        <v>62</v>
      </c>
      <c r="AG169" s="28">
        <f>COUNTIF(AF$3:AF169,AF169)-1</f>
        <v>0</v>
      </c>
    </row>
    <row r="170" spans="1:33" x14ac:dyDescent="0.25">
      <c r="A170" s="27">
        <f ca="1">COUNTIF($F$3:F170,F170)+F170*$F$1</f>
        <v>80005</v>
      </c>
      <c r="B170" s="27" t="str">
        <f ca="1">E170 &amp; COUNTIF($F$3:F170,F170)</f>
        <v>经验卡副本5</v>
      </c>
      <c r="C170" s="14">
        <f t="shared" si="23"/>
        <v>2</v>
      </c>
      <c r="D170" s="14">
        <f>IF(C170=0,"",SUM(C$3:C170))</f>
        <v>548</v>
      </c>
      <c r="E170" s="27" t="s">
        <v>184</v>
      </c>
      <c r="F170" s="27">
        <f ca="1">OFFSET(参数!$A$1,MATCH($E170,参数!$B$2:$B$16,0),)</f>
        <v>8</v>
      </c>
      <c r="G170" s="14">
        <v>54</v>
      </c>
      <c r="H170" s="14">
        <v>59</v>
      </c>
      <c r="I170" s="14"/>
      <c r="J170" s="14"/>
      <c r="K170" s="14"/>
      <c r="L170" s="14"/>
      <c r="M170" s="14"/>
      <c r="N170" s="14"/>
      <c r="O170" s="14"/>
      <c r="P170" s="14"/>
      <c r="Q170" s="7">
        <v>1</v>
      </c>
      <c r="R170" s="7">
        <v>1</v>
      </c>
      <c r="S170" s="7"/>
      <c r="T170" s="7"/>
      <c r="U170" s="7"/>
      <c r="V170" s="7"/>
      <c r="W170" s="7"/>
      <c r="X170" s="7"/>
      <c r="Y170" s="7"/>
      <c r="Z170" s="7"/>
      <c r="AA170" s="28">
        <f t="shared" si="20"/>
        <v>168</v>
      </c>
      <c r="AB170" s="28">
        <f t="shared" ca="1" si="15"/>
        <v>20062</v>
      </c>
      <c r="AC170" s="28">
        <f t="shared" ca="1" si="16"/>
        <v>10</v>
      </c>
      <c r="AD170" s="29">
        <f t="shared" ca="1" si="17"/>
        <v>7000</v>
      </c>
      <c r="AE170" s="28" t="str">
        <f t="shared" ca="1" si="18"/>
        <v>副本62</v>
      </c>
      <c r="AF170" s="28">
        <f t="shared" si="19"/>
        <v>62</v>
      </c>
      <c r="AG170" s="28">
        <f>COUNTIF(AF$3:AF170,AF170)-1</f>
        <v>1</v>
      </c>
    </row>
    <row r="171" spans="1:33" x14ac:dyDescent="0.25">
      <c r="A171" s="27">
        <f ca="1">COUNTIF($F$3:F171,F171)+F171*$F$1</f>
        <v>80006</v>
      </c>
      <c r="B171" s="27" t="str">
        <f ca="1">E171 &amp; COUNTIF($F$3:F171,F171)</f>
        <v>经验卡副本6</v>
      </c>
      <c r="C171" s="14">
        <f t="shared" si="23"/>
        <v>2</v>
      </c>
      <c r="D171" s="14">
        <f>IF(C171=0,"",SUM(C$3:C171))</f>
        <v>550</v>
      </c>
      <c r="E171" s="27" t="s">
        <v>184</v>
      </c>
      <c r="F171" s="27">
        <f ca="1">OFFSET(参数!$A$1,MATCH($E171,参数!$B$2:$B$16,0),)</f>
        <v>8</v>
      </c>
      <c r="G171" s="14">
        <v>54</v>
      </c>
      <c r="H171" s="14">
        <v>60</v>
      </c>
      <c r="I171" s="14"/>
      <c r="J171" s="14"/>
      <c r="K171" s="14"/>
      <c r="L171" s="14"/>
      <c r="M171" s="14"/>
      <c r="N171" s="14"/>
      <c r="O171" s="14"/>
      <c r="P171" s="14"/>
      <c r="Q171" s="7">
        <v>1</v>
      </c>
      <c r="R171" s="7">
        <v>1</v>
      </c>
      <c r="S171" s="7"/>
      <c r="T171" s="7"/>
      <c r="U171" s="7"/>
      <c r="V171" s="7"/>
      <c r="W171" s="7"/>
      <c r="X171" s="7"/>
      <c r="Y171" s="7"/>
      <c r="Z171" s="7"/>
      <c r="AA171" s="28">
        <f t="shared" si="20"/>
        <v>169</v>
      </c>
      <c r="AB171" s="28">
        <f t="shared" ca="1" si="15"/>
        <v>20062</v>
      </c>
      <c r="AC171" s="28">
        <f t="shared" ca="1" si="16"/>
        <v>5</v>
      </c>
      <c r="AD171" s="29">
        <f t="shared" ca="1" si="17"/>
        <v>8000</v>
      </c>
      <c r="AE171" s="28" t="str">
        <f t="shared" ca="1" si="18"/>
        <v>副本62</v>
      </c>
      <c r="AF171" s="28">
        <f t="shared" si="19"/>
        <v>62</v>
      </c>
      <c r="AG171" s="28">
        <f>COUNTIF(AF$3:AF171,AF171)-1</f>
        <v>2</v>
      </c>
    </row>
    <row r="172" spans="1:33" x14ac:dyDescent="0.25">
      <c r="A172" s="27">
        <f ca="1">COUNTIF($F$3:F172,F172)+F172*$F$1</f>
        <v>60001</v>
      </c>
      <c r="B172" s="27" t="str">
        <f ca="1">E172 &amp; COUNTIF($F$3:F172,F172)</f>
        <v>融合副本1</v>
      </c>
      <c r="C172" s="14">
        <f t="shared" ref="C172:C178" si="24">COUNTA(G172:P172)</f>
        <v>4</v>
      </c>
      <c r="D172" s="14">
        <f>IF(C172=0,"",SUM(C$3:C172))</f>
        <v>554</v>
      </c>
      <c r="E172" s="27" t="s">
        <v>182</v>
      </c>
      <c r="F172" s="27">
        <f ca="1">OFFSET(参数!$A$1,MATCH($E172,参数!$B$2:$B$16,0),)</f>
        <v>6</v>
      </c>
      <c r="G172" s="14">
        <v>32</v>
      </c>
      <c r="H172" s="14">
        <v>33</v>
      </c>
      <c r="I172" s="14">
        <v>34</v>
      </c>
      <c r="J172" s="14">
        <v>35</v>
      </c>
      <c r="K172" s="14"/>
      <c r="L172" s="14"/>
      <c r="M172" s="14"/>
      <c r="N172" s="14"/>
      <c r="O172" s="14"/>
      <c r="P172" s="14"/>
      <c r="Q172" s="7">
        <v>1</v>
      </c>
      <c r="R172" s="7">
        <v>0.9</v>
      </c>
      <c r="S172" s="7">
        <v>0.9</v>
      </c>
      <c r="T172" s="7">
        <v>0.9</v>
      </c>
      <c r="U172" s="7"/>
      <c r="V172" s="7"/>
      <c r="W172" s="7"/>
      <c r="X172" s="7"/>
      <c r="Y172" s="7"/>
      <c r="Z172" s="7"/>
      <c r="AA172" s="28">
        <f t="shared" si="20"/>
        <v>170</v>
      </c>
      <c r="AB172" s="28">
        <f t="shared" ca="1" si="15"/>
        <v>20062</v>
      </c>
      <c r="AC172" s="28">
        <f t="shared" ca="1" si="16"/>
        <v>2</v>
      </c>
      <c r="AD172" s="29">
        <f t="shared" ca="1" si="17"/>
        <v>9000</v>
      </c>
      <c r="AE172" s="28" t="str">
        <f t="shared" ca="1" si="18"/>
        <v>副本62</v>
      </c>
      <c r="AF172" s="28">
        <f t="shared" si="19"/>
        <v>62</v>
      </c>
      <c r="AG172" s="28">
        <f>COUNTIF(AF$3:AF172,AF172)-1</f>
        <v>3</v>
      </c>
    </row>
    <row r="173" spans="1:33" x14ac:dyDescent="0.25">
      <c r="A173" s="27">
        <f ca="1">COUNTIF($F$3:F173,F173)+F173*$F$1</f>
        <v>60002</v>
      </c>
      <c r="B173" s="27" t="str">
        <f ca="1">E173 &amp; COUNTIF($F$3:F173,F173)</f>
        <v>融合副本2</v>
      </c>
      <c r="C173" s="14">
        <f t="shared" si="24"/>
        <v>4</v>
      </c>
      <c r="D173" s="14">
        <f>IF(C173=0,"",SUM(C$3:C173))</f>
        <v>558</v>
      </c>
      <c r="E173" s="27" t="s">
        <v>182</v>
      </c>
      <c r="F173" s="27">
        <f ca="1">OFFSET(参数!$A$1,MATCH($E173,参数!$B$2:$B$16,0),)</f>
        <v>6</v>
      </c>
      <c r="G173" s="14">
        <v>32</v>
      </c>
      <c r="H173" s="14">
        <v>36</v>
      </c>
      <c r="I173" s="14">
        <v>37</v>
      </c>
      <c r="J173" s="14">
        <v>38</v>
      </c>
      <c r="K173" s="14"/>
      <c r="L173" s="14"/>
      <c r="M173" s="14"/>
      <c r="N173" s="14"/>
      <c r="O173" s="14"/>
      <c r="P173" s="14"/>
      <c r="Q173" s="7">
        <v>1</v>
      </c>
      <c r="R173" s="7">
        <v>0.8</v>
      </c>
      <c r="S173" s="7">
        <v>0.8</v>
      </c>
      <c r="T173" s="7">
        <v>0.8</v>
      </c>
      <c r="U173" s="7"/>
      <c r="V173" s="7"/>
      <c r="W173" s="7"/>
      <c r="X173" s="7"/>
      <c r="Y173" s="7"/>
      <c r="Z173" s="7"/>
      <c r="AA173" s="28">
        <f t="shared" si="20"/>
        <v>171</v>
      </c>
      <c r="AB173" s="28">
        <f t="shared" ca="1" si="15"/>
        <v>20063</v>
      </c>
      <c r="AC173" s="28">
        <f t="shared" ca="1" si="16"/>
        <v>1</v>
      </c>
      <c r="AD173" s="29">
        <f t="shared" ca="1" si="17"/>
        <v>10000</v>
      </c>
      <c r="AE173" s="28" t="str">
        <f t="shared" ca="1" si="18"/>
        <v>副本63</v>
      </c>
      <c r="AF173" s="28">
        <f t="shared" si="19"/>
        <v>63</v>
      </c>
      <c r="AG173" s="28">
        <f>COUNTIF(AF$3:AF173,AF173)-1</f>
        <v>0</v>
      </c>
    </row>
    <row r="174" spans="1:33" x14ac:dyDescent="0.25">
      <c r="A174" s="27">
        <f ca="1">COUNTIF($F$3:F174,F174)+F174*$F$1</f>
        <v>60003</v>
      </c>
      <c r="B174" s="27" t="str">
        <f ca="1">E174 &amp; COUNTIF($F$3:F174,F174)</f>
        <v>融合副本3</v>
      </c>
      <c r="C174" s="14">
        <f t="shared" si="24"/>
        <v>4</v>
      </c>
      <c r="D174" s="14">
        <f>IF(C174=0,"",SUM(C$3:C174))</f>
        <v>562</v>
      </c>
      <c r="E174" s="27" t="s">
        <v>182</v>
      </c>
      <c r="F174" s="27">
        <f ca="1">OFFSET(参数!$A$1,MATCH($E174,参数!$B$2:$B$16,0),)</f>
        <v>6</v>
      </c>
      <c r="G174" s="14">
        <v>32</v>
      </c>
      <c r="H174" s="14">
        <v>39</v>
      </c>
      <c r="I174" s="14">
        <v>40</v>
      </c>
      <c r="J174" s="14">
        <v>41</v>
      </c>
      <c r="K174" s="14"/>
      <c r="L174" s="14"/>
      <c r="M174" s="14"/>
      <c r="N174" s="14"/>
      <c r="O174" s="14"/>
      <c r="P174" s="14"/>
      <c r="Q174" s="7">
        <v>1</v>
      </c>
      <c r="R174" s="7">
        <v>0.7</v>
      </c>
      <c r="S174" s="7">
        <v>0.7</v>
      </c>
      <c r="T174" s="7">
        <v>0.7</v>
      </c>
      <c r="U174" s="7"/>
      <c r="V174" s="7"/>
      <c r="W174" s="7"/>
      <c r="X174" s="7"/>
      <c r="Y174" s="7"/>
      <c r="Z174" s="7"/>
      <c r="AA174" s="28">
        <f t="shared" si="20"/>
        <v>172</v>
      </c>
      <c r="AB174" s="28">
        <f t="shared" ca="1" si="15"/>
        <v>20063</v>
      </c>
      <c r="AC174" s="28">
        <f t="shared" ca="1" si="16"/>
        <v>10</v>
      </c>
      <c r="AD174" s="29">
        <f t="shared" ca="1" si="17"/>
        <v>7000</v>
      </c>
      <c r="AE174" s="28" t="str">
        <f t="shared" ca="1" si="18"/>
        <v>副本63</v>
      </c>
      <c r="AF174" s="28">
        <f t="shared" si="19"/>
        <v>63</v>
      </c>
      <c r="AG174" s="28">
        <f>COUNTIF(AF$3:AF174,AF174)-1</f>
        <v>1</v>
      </c>
    </row>
    <row r="175" spans="1:33" x14ac:dyDescent="0.25">
      <c r="A175" s="27">
        <f ca="1">COUNTIF($F$3:F175,F175)+F175*$F$1</f>
        <v>60004</v>
      </c>
      <c r="B175" s="27" t="str">
        <f ca="1">E175 &amp; COUNTIF($F$3:F175,F175)</f>
        <v>融合副本4</v>
      </c>
      <c r="C175" s="14">
        <f t="shared" si="24"/>
        <v>4</v>
      </c>
      <c r="D175" s="14">
        <f>IF(C175=0,"",SUM(C$3:C175))</f>
        <v>566</v>
      </c>
      <c r="E175" s="27" t="s">
        <v>182</v>
      </c>
      <c r="F175" s="27">
        <f ca="1">OFFSET(参数!$A$1,MATCH($E175,参数!$B$2:$B$16,0),)</f>
        <v>6</v>
      </c>
      <c r="G175" s="14">
        <v>32</v>
      </c>
      <c r="H175" s="14">
        <v>42</v>
      </c>
      <c r="I175" s="14">
        <v>43</v>
      </c>
      <c r="J175" s="14">
        <v>44</v>
      </c>
      <c r="K175" s="14"/>
      <c r="L175" s="14"/>
      <c r="M175" s="14"/>
      <c r="N175" s="14"/>
      <c r="O175" s="14"/>
      <c r="P175" s="14"/>
      <c r="Q175" s="7">
        <v>1</v>
      </c>
      <c r="R175" s="7">
        <v>0.6</v>
      </c>
      <c r="S175" s="7">
        <v>0.6</v>
      </c>
      <c r="T175" s="7">
        <v>0.6</v>
      </c>
      <c r="U175" s="7"/>
      <c r="V175" s="7"/>
      <c r="W175" s="7"/>
      <c r="X175" s="7"/>
      <c r="Y175" s="7"/>
      <c r="Z175" s="7"/>
      <c r="AA175" s="28">
        <f t="shared" si="20"/>
        <v>173</v>
      </c>
      <c r="AB175" s="28">
        <f t="shared" ca="1" si="15"/>
        <v>20063</v>
      </c>
      <c r="AC175" s="28">
        <f t="shared" ca="1" si="16"/>
        <v>5</v>
      </c>
      <c r="AD175" s="29">
        <f t="shared" ca="1" si="17"/>
        <v>8000</v>
      </c>
      <c r="AE175" s="28" t="str">
        <f t="shared" ca="1" si="18"/>
        <v>副本63</v>
      </c>
      <c r="AF175" s="28">
        <f t="shared" si="19"/>
        <v>63</v>
      </c>
      <c r="AG175" s="28">
        <f>COUNTIF(AF$3:AF175,AF175)-1</f>
        <v>2</v>
      </c>
    </row>
    <row r="176" spans="1:33" x14ac:dyDescent="0.25">
      <c r="A176" s="27">
        <f ca="1">COUNTIF($F$3:F176,F176)+F176*$F$1</f>
        <v>60005</v>
      </c>
      <c r="B176" s="27" t="str">
        <f ca="1">E176 &amp; COUNTIF($F$3:F176,F176)</f>
        <v>融合副本5</v>
      </c>
      <c r="C176" s="14">
        <f t="shared" si="24"/>
        <v>4</v>
      </c>
      <c r="D176" s="14">
        <f>IF(C176=0,"",SUM(C$3:C176))</f>
        <v>570</v>
      </c>
      <c r="E176" s="27" t="s">
        <v>182</v>
      </c>
      <c r="F176" s="27">
        <f ca="1">OFFSET(参数!$A$1,MATCH($E176,参数!$B$2:$B$16,0),)</f>
        <v>6</v>
      </c>
      <c r="G176" s="14">
        <v>32</v>
      </c>
      <c r="H176" s="14">
        <v>45</v>
      </c>
      <c r="I176" s="14">
        <v>46</v>
      </c>
      <c r="J176" s="14">
        <v>47</v>
      </c>
      <c r="K176" s="14"/>
      <c r="L176" s="14"/>
      <c r="M176" s="14"/>
      <c r="N176" s="14"/>
      <c r="O176" s="14"/>
      <c r="P176" s="14"/>
      <c r="Q176" s="7">
        <v>1</v>
      </c>
      <c r="R176" s="7">
        <v>0.5</v>
      </c>
      <c r="S176" s="7">
        <v>0.5</v>
      </c>
      <c r="T176" s="7">
        <v>0.5</v>
      </c>
      <c r="U176" s="7"/>
      <c r="V176" s="7"/>
      <c r="W176" s="7"/>
      <c r="X176" s="7"/>
      <c r="Y176" s="7"/>
      <c r="Z176" s="7"/>
      <c r="AA176" s="28">
        <f t="shared" si="20"/>
        <v>174</v>
      </c>
      <c r="AB176" s="28">
        <f t="shared" ca="1" si="15"/>
        <v>20063</v>
      </c>
      <c r="AC176" s="28">
        <f t="shared" ca="1" si="16"/>
        <v>2</v>
      </c>
      <c r="AD176" s="29">
        <f t="shared" ca="1" si="17"/>
        <v>9000</v>
      </c>
      <c r="AE176" s="28" t="str">
        <f t="shared" ca="1" si="18"/>
        <v>副本63</v>
      </c>
      <c r="AF176" s="28">
        <f t="shared" si="19"/>
        <v>63</v>
      </c>
      <c r="AG176" s="28">
        <f>COUNTIF(AF$3:AF176,AF176)-1</f>
        <v>3</v>
      </c>
    </row>
    <row r="177" spans="1:33" x14ac:dyDescent="0.25">
      <c r="A177" s="27">
        <f ca="1">COUNTIF($F$3:F177,F177)+F177*$F$1</f>
        <v>60006</v>
      </c>
      <c r="B177" s="27" t="str">
        <f ca="1">E177 &amp; COUNTIF($F$3:F177,F177)</f>
        <v>融合副本6</v>
      </c>
      <c r="C177" s="14">
        <f t="shared" si="24"/>
        <v>4</v>
      </c>
      <c r="D177" s="14">
        <f>IF(C177=0,"",SUM(C$3:C177))</f>
        <v>574</v>
      </c>
      <c r="E177" s="27" t="s">
        <v>182</v>
      </c>
      <c r="F177" s="27">
        <f ca="1">OFFSET(参数!$A$1,MATCH($E177,参数!$B$2:$B$16,0),)</f>
        <v>6</v>
      </c>
      <c r="G177" s="14">
        <v>32</v>
      </c>
      <c r="H177" s="14">
        <v>48</v>
      </c>
      <c r="I177" s="14">
        <v>49</v>
      </c>
      <c r="J177" s="14">
        <v>50</v>
      </c>
      <c r="K177" s="14"/>
      <c r="L177" s="14"/>
      <c r="M177" s="14"/>
      <c r="N177" s="14"/>
      <c r="O177" s="14"/>
      <c r="P177" s="14"/>
      <c r="Q177" s="7">
        <v>1</v>
      </c>
      <c r="R177" s="7">
        <v>0.45</v>
      </c>
      <c r="S177" s="7">
        <v>0.45</v>
      </c>
      <c r="T177" s="7">
        <v>0.45</v>
      </c>
      <c r="U177" s="7"/>
      <c r="V177" s="7"/>
      <c r="W177" s="7"/>
      <c r="X177" s="7"/>
      <c r="Y177" s="7"/>
      <c r="Z177" s="7"/>
      <c r="AA177" s="28">
        <f t="shared" si="20"/>
        <v>175</v>
      </c>
      <c r="AB177" s="28">
        <f t="shared" ca="1" si="15"/>
        <v>20064</v>
      </c>
      <c r="AC177" s="28">
        <f t="shared" ca="1" si="16"/>
        <v>1</v>
      </c>
      <c r="AD177" s="29">
        <f t="shared" ca="1" si="17"/>
        <v>10000</v>
      </c>
      <c r="AE177" s="28" t="str">
        <f t="shared" ca="1" si="18"/>
        <v>副本64</v>
      </c>
      <c r="AF177" s="28">
        <f t="shared" si="19"/>
        <v>64</v>
      </c>
      <c r="AG177" s="28">
        <f>COUNTIF(AF$3:AF177,AF177)-1</f>
        <v>0</v>
      </c>
    </row>
    <row r="178" spans="1:33" x14ac:dyDescent="0.25">
      <c r="A178" s="27">
        <f ca="1">COUNTIF($F$3:F178,F178)+F178*$F$1</f>
        <v>60007</v>
      </c>
      <c r="B178" s="27" t="str">
        <f ca="1">E178 &amp; COUNTIF($F$3:F178,F178)</f>
        <v>融合副本7</v>
      </c>
      <c r="C178" s="14">
        <f t="shared" si="24"/>
        <v>4</v>
      </c>
      <c r="D178" s="14">
        <f>IF(C178=0,"",SUM(C$3:C178))</f>
        <v>578</v>
      </c>
      <c r="E178" s="27" t="s">
        <v>182</v>
      </c>
      <c r="F178" s="27">
        <f ca="1">OFFSET(参数!$A$1,MATCH($E178,参数!$B$2:$B$16,0),)</f>
        <v>6</v>
      </c>
      <c r="G178" s="14">
        <v>32</v>
      </c>
      <c r="H178" s="14">
        <v>51</v>
      </c>
      <c r="I178" s="14">
        <v>52</v>
      </c>
      <c r="J178" s="14">
        <v>53</v>
      </c>
      <c r="K178" s="14"/>
      <c r="L178" s="14"/>
      <c r="M178" s="14"/>
      <c r="N178" s="14"/>
      <c r="O178" s="14"/>
      <c r="P178" s="14"/>
      <c r="Q178" s="7">
        <v>1</v>
      </c>
      <c r="R178" s="7">
        <v>0.4</v>
      </c>
      <c r="S178" s="7">
        <v>0.4</v>
      </c>
      <c r="T178" s="7">
        <v>0.4</v>
      </c>
      <c r="U178" s="7"/>
      <c r="V178" s="7"/>
      <c r="W178" s="7"/>
      <c r="X178" s="7"/>
      <c r="Y178" s="7"/>
      <c r="Z178" s="7"/>
      <c r="AA178" s="28">
        <f t="shared" si="20"/>
        <v>176</v>
      </c>
      <c r="AB178" s="28">
        <f t="shared" ca="1" si="15"/>
        <v>20064</v>
      </c>
      <c r="AC178" s="28">
        <f t="shared" ca="1" si="16"/>
        <v>10</v>
      </c>
      <c r="AD178" s="29">
        <f t="shared" ca="1" si="17"/>
        <v>7000</v>
      </c>
      <c r="AE178" s="28" t="str">
        <f t="shared" ca="1" si="18"/>
        <v>副本64</v>
      </c>
      <c r="AF178" s="28">
        <f t="shared" si="19"/>
        <v>64</v>
      </c>
      <c r="AG178" s="28">
        <f>COUNTIF(AF$3:AF178,AF178)-1</f>
        <v>1</v>
      </c>
    </row>
    <row r="179" spans="1:33" x14ac:dyDescent="0.25">
      <c r="A179" s="27">
        <f ca="1">COUNTIF($F$3:F179,F179)+F179*$F$1</f>
        <v>90001</v>
      </c>
      <c r="B179" s="27" t="str">
        <f ca="1">E179 &amp; COUNTIF($F$3:F179,F179)</f>
        <v>免费银币抽1</v>
      </c>
      <c r="C179" s="14">
        <f t="shared" ref="C179:C188" si="25">COUNTA(G179:P179)</f>
        <v>1</v>
      </c>
      <c r="D179" s="14">
        <f>IF(C179=0,"",SUM(C$3:C179))</f>
        <v>579</v>
      </c>
      <c r="E179" s="27" t="s">
        <v>313</v>
      </c>
      <c r="F179" s="27">
        <f ca="1">OFFSET(参数!$A$1,MATCH($E179,参数!$B$2:$B$16,0),)</f>
        <v>9</v>
      </c>
      <c r="G179" s="14">
        <v>61</v>
      </c>
      <c r="H179" s="14"/>
      <c r="I179" s="14"/>
      <c r="J179" s="14"/>
      <c r="K179" s="14"/>
      <c r="L179" s="14"/>
      <c r="M179" s="14"/>
      <c r="N179" s="14"/>
      <c r="O179" s="14"/>
      <c r="P179" s="14"/>
      <c r="Q179" s="7">
        <v>1</v>
      </c>
      <c r="R179" s="7"/>
      <c r="S179" s="7"/>
      <c r="T179" s="7"/>
      <c r="U179" s="7"/>
      <c r="V179" s="7"/>
      <c r="W179" s="7"/>
      <c r="X179" s="7"/>
      <c r="Y179" s="7"/>
      <c r="Z179" s="7"/>
      <c r="AA179" s="28">
        <f t="shared" si="20"/>
        <v>177</v>
      </c>
      <c r="AB179" s="28">
        <f t="shared" ca="1" si="15"/>
        <v>20064</v>
      </c>
      <c r="AC179" s="28">
        <f t="shared" ca="1" si="16"/>
        <v>5</v>
      </c>
      <c r="AD179" s="29">
        <f t="shared" ca="1" si="17"/>
        <v>8000</v>
      </c>
      <c r="AE179" s="28" t="str">
        <f t="shared" ca="1" si="18"/>
        <v>副本64</v>
      </c>
      <c r="AF179" s="28">
        <f t="shared" si="19"/>
        <v>64</v>
      </c>
      <c r="AG179" s="28">
        <f>COUNTIF(AF$3:AF179,AF179)-1</f>
        <v>2</v>
      </c>
    </row>
    <row r="180" spans="1:33" x14ac:dyDescent="0.25">
      <c r="A180" s="27">
        <f ca="1">COUNTIF($F$3:F180,F180)+F180*$F$1</f>
        <v>90002</v>
      </c>
      <c r="B180" s="27" t="str">
        <f ca="1">E180 &amp; COUNTIF($F$3:F180,F180)</f>
        <v>免费银币抽2</v>
      </c>
      <c r="C180" s="14">
        <f t="shared" si="25"/>
        <v>1</v>
      </c>
      <c r="D180" s="14">
        <f>IF(C180=0,"",SUM(C$3:C180))</f>
        <v>580</v>
      </c>
      <c r="E180" s="27" t="s">
        <v>313</v>
      </c>
      <c r="F180" s="27">
        <f ca="1">OFFSET(参数!$A$1,MATCH($E180,参数!$B$2:$B$16,0),)</f>
        <v>9</v>
      </c>
      <c r="G180" s="14">
        <v>62</v>
      </c>
      <c r="H180" s="14"/>
      <c r="I180" s="14"/>
      <c r="J180" s="14"/>
      <c r="K180" s="14"/>
      <c r="L180" s="14"/>
      <c r="M180" s="14"/>
      <c r="N180" s="14"/>
      <c r="O180" s="14"/>
      <c r="P180" s="14"/>
      <c r="Q180" s="7">
        <v>1</v>
      </c>
      <c r="R180" s="7"/>
      <c r="S180" s="7"/>
      <c r="T180" s="7"/>
      <c r="U180" s="7"/>
      <c r="V180" s="7"/>
      <c r="W180" s="7"/>
      <c r="X180" s="7"/>
      <c r="Y180" s="7"/>
      <c r="Z180" s="7"/>
      <c r="AA180" s="28">
        <f t="shared" si="20"/>
        <v>178</v>
      </c>
      <c r="AB180" s="28">
        <f t="shared" ca="1" si="15"/>
        <v>20064</v>
      </c>
      <c r="AC180" s="28">
        <f t="shared" ca="1" si="16"/>
        <v>2</v>
      </c>
      <c r="AD180" s="29">
        <f t="shared" ca="1" si="17"/>
        <v>9000</v>
      </c>
      <c r="AE180" s="28" t="str">
        <f t="shared" ca="1" si="18"/>
        <v>副本64</v>
      </c>
      <c r="AF180" s="28">
        <f t="shared" si="19"/>
        <v>64</v>
      </c>
      <c r="AG180" s="28">
        <f>COUNTIF(AF$3:AF180,AF180)-1</f>
        <v>3</v>
      </c>
    </row>
    <row r="181" spans="1:33" x14ac:dyDescent="0.25">
      <c r="A181" s="27">
        <f ca="1">COUNTIF($F$3:F181,F181)+F181*$F$1</f>
        <v>90003</v>
      </c>
      <c r="B181" s="27" t="str">
        <f ca="1">E181 &amp; COUNTIF($F$3:F181,F181)</f>
        <v>免费银币抽3</v>
      </c>
      <c r="C181" s="14">
        <f t="shared" si="25"/>
        <v>1</v>
      </c>
      <c r="D181" s="14">
        <f>IF(C181=0,"",SUM(C$3:C181))</f>
        <v>581</v>
      </c>
      <c r="E181" s="27" t="s">
        <v>313</v>
      </c>
      <c r="F181" s="27">
        <f ca="1">OFFSET(参数!$A$1,MATCH($E181,参数!$B$2:$B$16,0),)</f>
        <v>9</v>
      </c>
      <c r="G181" s="14">
        <v>63</v>
      </c>
      <c r="H181" s="14"/>
      <c r="I181" s="14"/>
      <c r="J181" s="14"/>
      <c r="K181" s="14"/>
      <c r="L181" s="14"/>
      <c r="M181" s="14"/>
      <c r="N181" s="14"/>
      <c r="O181" s="14"/>
      <c r="P181" s="14"/>
      <c r="Q181" s="7">
        <v>1</v>
      </c>
      <c r="R181" s="7"/>
      <c r="S181" s="7"/>
      <c r="T181" s="7"/>
      <c r="U181" s="7"/>
      <c r="V181" s="7"/>
      <c r="W181" s="7"/>
      <c r="X181" s="7"/>
      <c r="Y181" s="7"/>
      <c r="Z181" s="7"/>
      <c r="AA181" s="28">
        <f t="shared" si="20"/>
        <v>179</v>
      </c>
      <c r="AB181" s="28">
        <f t="shared" ca="1" si="15"/>
        <v>20065</v>
      </c>
      <c r="AC181" s="28">
        <f t="shared" ca="1" si="16"/>
        <v>1</v>
      </c>
      <c r="AD181" s="29">
        <f t="shared" ca="1" si="17"/>
        <v>10000</v>
      </c>
      <c r="AE181" s="28" t="str">
        <f t="shared" ca="1" si="18"/>
        <v>副本65</v>
      </c>
      <c r="AF181" s="28">
        <f t="shared" si="19"/>
        <v>65</v>
      </c>
      <c r="AG181" s="28">
        <f>COUNTIF(AF$3:AF181,AF181)-1</f>
        <v>0</v>
      </c>
    </row>
    <row r="182" spans="1:33" x14ac:dyDescent="0.25">
      <c r="A182" s="27">
        <f ca="1">COUNTIF($F$3:F182,F182)+F182*$F$1</f>
        <v>90004</v>
      </c>
      <c r="B182" s="27" t="str">
        <f ca="1">E182 &amp; COUNTIF($F$3:F182,F182)</f>
        <v>免费银币抽4</v>
      </c>
      <c r="C182" s="14">
        <f t="shared" si="25"/>
        <v>1</v>
      </c>
      <c r="D182" s="14">
        <f>IF(C182=0,"",SUM(C$3:C182))</f>
        <v>582</v>
      </c>
      <c r="E182" s="27" t="s">
        <v>313</v>
      </c>
      <c r="F182" s="27">
        <f ca="1">OFFSET(参数!$A$1,MATCH($E182,参数!$B$2:$B$16,0),)</f>
        <v>9</v>
      </c>
      <c r="G182" s="14">
        <v>64</v>
      </c>
      <c r="H182" s="14"/>
      <c r="I182" s="14"/>
      <c r="J182" s="14"/>
      <c r="K182" s="14"/>
      <c r="L182" s="14"/>
      <c r="M182" s="14"/>
      <c r="N182" s="14"/>
      <c r="O182" s="14"/>
      <c r="P182" s="14"/>
      <c r="Q182" s="7">
        <v>1</v>
      </c>
      <c r="R182" s="7"/>
      <c r="S182" s="7"/>
      <c r="T182" s="7"/>
      <c r="U182" s="7"/>
      <c r="V182" s="7"/>
      <c r="W182" s="7"/>
      <c r="X182" s="7"/>
      <c r="Y182" s="7"/>
      <c r="Z182" s="7"/>
      <c r="AA182" s="28">
        <f t="shared" si="20"/>
        <v>180</v>
      </c>
      <c r="AB182" s="28">
        <f t="shared" ca="1" si="15"/>
        <v>20066</v>
      </c>
      <c r="AC182" s="28">
        <f t="shared" ca="1" si="16"/>
        <v>1</v>
      </c>
      <c r="AD182" s="29">
        <f t="shared" ca="1" si="17"/>
        <v>10000</v>
      </c>
      <c r="AE182" s="28" t="str">
        <f t="shared" ca="1" si="18"/>
        <v>副本66</v>
      </c>
      <c r="AF182" s="28">
        <f t="shared" si="19"/>
        <v>66</v>
      </c>
      <c r="AG182" s="28">
        <f>COUNTIF(AF$3:AF182,AF182)-1</f>
        <v>0</v>
      </c>
    </row>
    <row r="183" spans="1:33" x14ac:dyDescent="0.25">
      <c r="A183" s="27">
        <f ca="1">COUNTIF($F$3:F183,F183)+F183*$F$1</f>
        <v>90005</v>
      </c>
      <c r="B183" s="27" t="str">
        <f ca="1">E183 &amp; COUNTIF($F$3:F183,F183)</f>
        <v>免费银币抽5</v>
      </c>
      <c r="C183" s="14">
        <f t="shared" si="25"/>
        <v>1</v>
      </c>
      <c r="D183" s="14">
        <f>IF(C183=0,"",SUM(C$3:C183))</f>
        <v>583</v>
      </c>
      <c r="E183" s="27" t="s">
        <v>313</v>
      </c>
      <c r="F183" s="27">
        <f ca="1">OFFSET(参数!$A$1,MATCH($E183,参数!$B$2:$B$16,0),)</f>
        <v>9</v>
      </c>
      <c r="G183" s="14">
        <v>65</v>
      </c>
      <c r="H183" s="14"/>
      <c r="I183" s="14"/>
      <c r="J183" s="14"/>
      <c r="K183" s="14"/>
      <c r="L183" s="14"/>
      <c r="M183" s="14"/>
      <c r="N183" s="14"/>
      <c r="O183" s="14"/>
      <c r="P183" s="14"/>
      <c r="Q183" s="7">
        <v>1</v>
      </c>
      <c r="R183" s="7"/>
      <c r="S183" s="7"/>
      <c r="T183" s="7"/>
      <c r="U183" s="7"/>
      <c r="V183" s="7"/>
      <c r="W183" s="7"/>
      <c r="X183" s="7"/>
      <c r="Y183" s="7"/>
      <c r="Z183" s="7"/>
      <c r="AA183" s="28">
        <f t="shared" si="20"/>
        <v>181</v>
      </c>
      <c r="AB183" s="28">
        <f t="shared" ca="1" si="15"/>
        <v>20066</v>
      </c>
      <c r="AC183" s="28">
        <f t="shared" ca="1" si="16"/>
        <v>11</v>
      </c>
      <c r="AD183" s="29">
        <f t="shared" ca="1" si="17"/>
        <v>6000</v>
      </c>
      <c r="AE183" s="28" t="str">
        <f t="shared" ca="1" si="18"/>
        <v>副本66</v>
      </c>
      <c r="AF183" s="28">
        <f t="shared" si="19"/>
        <v>66</v>
      </c>
      <c r="AG183" s="28">
        <f>COUNTIF(AF$3:AF183,AF183)-1</f>
        <v>1</v>
      </c>
    </row>
    <row r="184" spans="1:33" x14ac:dyDescent="0.25">
      <c r="A184" s="27">
        <f ca="1">COUNTIF($F$3:F184,F184)+F184*$F$1</f>
        <v>90006</v>
      </c>
      <c r="B184" s="27" t="str">
        <f ca="1">E184 &amp; COUNTIF($F$3:F184,F184)</f>
        <v>免费银币抽6</v>
      </c>
      <c r="C184" s="14">
        <f t="shared" si="25"/>
        <v>1</v>
      </c>
      <c r="D184" s="14">
        <f>IF(C184=0,"",SUM(C$3:C184))</f>
        <v>584</v>
      </c>
      <c r="E184" s="27" t="s">
        <v>313</v>
      </c>
      <c r="F184" s="27">
        <f ca="1">OFFSET(参数!$A$1,MATCH($E184,参数!$B$2:$B$16,0),)</f>
        <v>9</v>
      </c>
      <c r="G184" s="14">
        <v>66</v>
      </c>
      <c r="H184" s="14"/>
      <c r="I184" s="14"/>
      <c r="J184" s="14"/>
      <c r="K184" s="14"/>
      <c r="L184" s="14"/>
      <c r="M184" s="14"/>
      <c r="N184" s="14"/>
      <c r="O184" s="14"/>
      <c r="P184" s="14"/>
      <c r="Q184" s="7">
        <v>1</v>
      </c>
      <c r="R184" s="7"/>
      <c r="S184" s="7"/>
      <c r="T184" s="7"/>
      <c r="U184" s="7"/>
      <c r="V184" s="7"/>
      <c r="W184" s="7"/>
      <c r="X184" s="7"/>
      <c r="Y184" s="7"/>
      <c r="Z184" s="7"/>
      <c r="AA184" s="28">
        <f t="shared" si="20"/>
        <v>182</v>
      </c>
      <c r="AB184" s="28">
        <f t="shared" ca="1" si="15"/>
        <v>20066</v>
      </c>
      <c r="AC184" s="28">
        <f t="shared" ca="1" si="16"/>
        <v>6</v>
      </c>
      <c r="AD184" s="29">
        <f t="shared" ca="1" si="17"/>
        <v>8000</v>
      </c>
      <c r="AE184" s="28" t="str">
        <f t="shared" ca="1" si="18"/>
        <v>副本66</v>
      </c>
      <c r="AF184" s="28">
        <f t="shared" si="19"/>
        <v>66</v>
      </c>
      <c r="AG184" s="28">
        <f>COUNTIF(AF$3:AF184,AF184)-1</f>
        <v>2</v>
      </c>
    </row>
    <row r="185" spans="1:33" x14ac:dyDescent="0.25">
      <c r="A185" s="27">
        <f ca="1">COUNTIF($F$3:F185,F185)+F185*$F$1</f>
        <v>90007</v>
      </c>
      <c r="B185" s="27" t="str">
        <f ca="1">E185 &amp; COUNTIF($F$3:F185,F185)</f>
        <v>免费银币抽7</v>
      </c>
      <c r="C185" s="14">
        <f t="shared" si="25"/>
        <v>1</v>
      </c>
      <c r="D185" s="14">
        <f>IF(C185=0,"",SUM(C$3:C185))</f>
        <v>585</v>
      </c>
      <c r="E185" s="27" t="s">
        <v>313</v>
      </c>
      <c r="F185" s="27">
        <f ca="1">OFFSET(参数!$A$1,MATCH($E185,参数!$B$2:$B$16,0),)</f>
        <v>9</v>
      </c>
      <c r="G185" s="14">
        <v>67</v>
      </c>
      <c r="H185" s="14"/>
      <c r="I185" s="14"/>
      <c r="J185" s="14"/>
      <c r="K185" s="14"/>
      <c r="L185" s="14"/>
      <c r="M185" s="14"/>
      <c r="N185" s="14"/>
      <c r="O185" s="14"/>
      <c r="P185" s="14"/>
      <c r="Q185" s="7">
        <v>1</v>
      </c>
      <c r="R185" s="7"/>
      <c r="S185" s="7"/>
      <c r="T185" s="7"/>
      <c r="U185" s="7"/>
      <c r="V185" s="7"/>
      <c r="W185" s="7"/>
      <c r="X185" s="7"/>
      <c r="Y185" s="7"/>
      <c r="Z185" s="7"/>
      <c r="AA185" s="28">
        <f t="shared" si="20"/>
        <v>183</v>
      </c>
      <c r="AB185" s="28">
        <f t="shared" ca="1" si="15"/>
        <v>20066</v>
      </c>
      <c r="AC185" s="28">
        <f t="shared" ca="1" si="16"/>
        <v>4</v>
      </c>
      <c r="AD185" s="29">
        <f t="shared" ca="1" si="17"/>
        <v>9000</v>
      </c>
      <c r="AE185" s="28" t="str">
        <f t="shared" ca="1" si="18"/>
        <v>副本66</v>
      </c>
      <c r="AF185" s="28">
        <f t="shared" si="19"/>
        <v>66</v>
      </c>
      <c r="AG185" s="28">
        <f>COUNTIF(AF$3:AF185,AF185)-1</f>
        <v>3</v>
      </c>
    </row>
    <row r="186" spans="1:33" x14ac:dyDescent="0.25">
      <c r="A186" s="27">
        <f ca="1">COUNTIF($F$3:F186,F186)+F186*$F$1</f>
        <v>90008</v>
      </c>
      <c r="B186" s="27" t="str">
        <f ca="1">E186 &amp; COUNTIF($F$3:F186,F186)</f>
        <v>免费银币抽8</v>
      </c>
      <c r="C186" s="14">
        <f t="shared" si="25"/>
        <v>1</v>
      </c>
      <c r="D186" s="14">
        <f>IF(C186=0,"",SUM(C$3:C186))</f>
        <v>586</v>
      </c>
      <c r="E186" s="27" t="s">
        <v>313</v>
      </c>
      <c r="F186" s="27">
        <f ca="1">OFFSET(参数!$A$1,MATCH($E186,参数!$B$2:$B$16,0),)</f>
        <v>9</v>
      </c>
      <c r="G186" s="14">
        <v>68</v>
      </c>
      <c r="H186" s="14"/>
      <c r="I186" s="14"/>
      <c r="J186" s="14"/>
      <c r="K186" s="14"/>
      <c r="L186" s="14"/>
      <c r="M186" s="14"/>
      <c r="N186" s="14"/>
      <c r="O186" s="14"/>
      <c r="P186" s="14"/>
      <c r="Q186" s="7">
        <v>1</v>
      </c>
      <c r="R186" s="7"/>
      <c r="S186" s="7"/>
      <c r="T186" s="7"/>
      <c r="U186" s="7"/>
      <c r="V186" s="7"/>
      <c r="W186" s="7"/>
      <c r="X186" s="7"/>
      <c r="Y186" s="7"/>
      <c r="Z186" s="7"/>
      <c r="AA186" s="28">
        <f t="shared" si="20"/>
        <v>184</v>
      </c>
      <c r="AB186" s="28">
        <f t="shared" ca="1" si="15"/>
        <v>20067</v>
      </c>
      <c r="AC186" s="28">
        <f t="shared" ca="1" si="16"/>
        <v>1</v>
      </c>
      <c r="AD186" s="29">
        <f t="shared" ca="1" si="17"/>
        <v>10000</v>
      </c>
      <c r="AE186" s="28" t="str">
        <f t="shared" ca="1" si="18"/>
        <v>副本67</v>
      </c>
      <c r="AF186" s="28">
        <f t="shared" si="19"/>
        <v>67</v>
      </c>
      <c r="AG186" s="28">
        <f>COUNTIF(AF$3:AF186,AF186)-1</f>
        <v>0</v>
      </c>
    </row>
    <row r="187" spans="1:33" x14ac:dyDescent="0.25">
      <c r="A187" s="27">
        <f ca="1">COUNTIF($F$3:F187,F187)+F187*$F$1</f>
        <v>90009</v>
      </c>
      <c r="B187" s="27" t="str">
        <f ca="1">E187 &amp; COUNTIF($F$3:F187,F187)</f>
        <v>免费银币抽9</v>
      </c>
      <c r="C187" s="14">
        <f t="shared" si="25"/>
        <v>1</v>
      </c>
      <c r="D187" s="14">
        <f>IF(C187=0,"",SUM(C$3:C187))</f>
        <v>587</v>
      </c>
      <c r="E187" s="27" t="s">
        <v>313</v>
      </c>
      <c r="F187" s="27">
        <f ca="1">OFFSET(参数!$A$1,MATCH($E187,参数!$B$2:$B$16,0),)</f>
        <v>9</v>
      </c>
      <c r="G187" s="14">
        <v>69</v>
      </c>
      <c r="H187" s="14"/>
      <c r="I187" s="14"/>
      <c r="J187" s="14"/>
      <c r="K187" s="14"/>
      <c r="L187" s="14"/>
      <c r="M187" s="14"/>
      <c r="N187" s="14"/>
      <c r="O187" s="14"/>
      <c r="P187" s="14"/>
      <c r="Q187" s="7">
        <v>1</v>
      </c>
      <c r="R187" s="7"/>
      <c r="S187" s="7"/>
      <c r="T187" s="7"/>
      <c r="U187" s="7"/>
      <c r="V187" s="7"/>
      <c r="W187" s="7"/>
      <c r="X187" s="7"/>
      <c r="Y187" s="7"/>
      <c r="Z187" s="7"/>
      <c r="AA187" s="28">
        <f t="shared" si="20"/>
        <v>185</v>
      </c>
      <c r="AB187" s="28">
        <f t="shared" ca="1" si="15"/>
        <v>20067</v>
      </c>
      <c r="AC187" s="28">
        <f t="shared" ca="1" si="16"/>
        <v>11</v>
      </c>
      <c r="AD187" s="29">
        <f t="shared" ca="1" si="17"/>
        <v>6000</v>
      </c>
      <c r="AE187" s="28" t="str">
        <f t="shared" ca="1" si="18"/>
        <v>副本67</v>
      </c>
      <c r="AF187" s="28">
        <f t="shared" si="19"/>
        <v>67</v>
      </c>
      <c r="AG187" s="28">
        <f>COUNTIF(AF$3:AF187,AF187)-1</f>
        <v>1</v>
      </c>
    </row>
    <row r="188" spans="1:33" x14ac:dyDescent="0.25">
      <c r="A188" s="27">
        <f ca="1">COUNTIF($F$3:F188,F188)+F188*$F$1</f>
        <v>90010</v>
      </c>
      <c r="B188" s="27" t="str">
        <f ca="1">E188 &amp; COUNTIF($F$3:F188,F188)</f>
        <v>免费银币抽10</v>
      </c>
      <c r="C188" s="14">
        <f t="shared" si="25"/>
        <v>1</v>
      </c>
      <c r="D188" s="14">
        <f>IF(C188=0,"",SUM(C$3:C188))</f>
        <v>588</v>
      </c>
      <c r="E188" s="27" t="s">
        <v>313</v>
      </c>
      <c r="F188" s="27">
        <f ca="1">OFFSET(参数!$A$1,MATCH($E188,参数!$B$2:$B$16,0),)</f>
        <v>9</v>
      </c>
      <c r="G188" s="14">
        <v>70</v>
      </c>
      <c r="H188" s="14"/>
      <c r="I188" s="14"/>
      <c r="J188" s="14"/>
      <c r="K188" s="14"/>
      <c r="L188" s="14"/>
      <c r="M188" s="14"/>
      <c r="N188" s="14"/>
      <c r="O188" s="14"/>
      <c r="P188" s="14"/>
      <c r="Q188" s="7">
        <v>1</v>
      </c>
      <c r="R188" s="7"/>
      <c r="S188" s="7"/>
      <c r="T188" s="7"/>
      <c r="U188" s="7"/>
      <c r="V188" s="7"/>
      <c r="W188" s="7"/>
      <c r="X188" s="7"/>
      <c r="Y188" s="7"/>
      <c r="Z188" s="7"/>
      <c r="AA188" s="28">
        <f t="shared" si="20"/>
        <v>186</v>
      </c>
      <c r="AB188" s="28">
        <f t="shared" ca="1" si="15"/>
        <v>20067</v>
      </c>
      <c r="AC188" s="28">
        <f t="shared" ca="1" si="16"/>
        <v>6</v>
      </c>
      <c r="AD188" s="29">
        <f t="shared" ca="1" si="17"/>
        <v>8000</v>
      </c>
      <c r="AE188" s="28" t="str">
        <f t="shared" ca="1" si="18"/>
        <v>副本67</v>
      </c>
      <c r="AF188" s="28">
        <f t="shared" si="19"/>
        <v>67</v>
      </c>
      <c r="AG188" s="28">
        <f>COUNTIF(AF$3:AF188,AF188)-1</f>
        <v>2</v>
      </c>
    </row>
    <row r="189" spans="1:33" x14ac:dyDescent="0.25">
      <c r="A189" s="27">
        <f ca="1">COUNTIF($F$3:F189,F189)+F189*$F$1</f>
        <v>90011</v>
      </c>
      <c r="B189" s="27" t="str">
        <f ca="1">E189 &amp; COUNTIF($F$3:F189,F189)</f>
        <v>免费银币抽11</v>
      </c>
      <c r="C189" s="14">
        <f t="shared" ref="C189" si="26">COUNTA(G189:P189)</f>
        <v>1</v>
      </c>
      <c r="D189" s="14">
        <f>IF(C189=0,"",SUM(C$3:C189))</f>
        <v>589</v>
      </c>
      <c r="E189" s="27" t="s">
        <v>313</v>
      </c>
      <c r="F189" s="27">
        <f ca="1">OFFSET(参数!$A$1,MATCH($E189,参数!$B$2:$B$16,0),)</f>
        <v>9</v>
      </c>
      <c r="G189" s="14">
        <v>71</v>
      </c>
      <c r="H189" s="14"/>
      <c r="I189" s="14"/>
      <c r="J189" s="14"/>
      <c r="K189" s="14"/>
      <c r="L189" s="14"/>
      <c r="M189" s="14"/>
      <c r="N189" s="14"/>
      <c r="O189" s="14"/>
      <c r="P189" s="14"/>
      <c r="Q189" s="7">
        <v>1</v>
      </c>
      <c r="R189" s="7"/>
      <c r="S189" s="7"/>
      <c r="T189" s="7"/>
      <c r="U189" s="7"/>
      <c r="V189" s="7"/>
      <c r="W189" s="7"/>
      <c r="X189" s="7"/>
      <c r="Y189" s="7"/>
      <c r="Z189" s="7"/>
      <c r="AA189" s="28">
        <f t="shared" si="20"/>
        <v>187</v>
      </c>
      <c r="AB189" s="28">
        <f t="shared" ca="1" si="15"/>
        <v>20067</v>
      </c>
      <c r="AC189" s="28">
        <f t="shared" ca="1" si="16"/>
        <v>4</v>
      </c>
      <c r="AD189" s="29">
        <f t="shared" ca="1" si="17"/>
        <v>9000</v>
      </c>
      <c r="AE189" s="28" t="str">
        <f t="shared" ca="1" si="18"/>
        <v>副本67</v>
      </c>
      <c r="AF189" s="28">
        <f t="shared" si="19"/>
        <v>67</v>
      </c>
      <c r="AG189" s="28">
        <f>COUNTIF(AF$3:AF189,AF189)-1</f>
        <v>3</v>
      </c>
    </row>
    <row r="190" spans="1:33" x14ac:dyDescent="0.25">
      <c r="A190" s="27">
        <f ca="1">COUNTIF($F$3:F190,F190)+F190*$F$1</f>
        <v>90012</v>
      </c>
      <c r="B190" s="27" t="str">
        <f ca="1">E190 &amp; COUNTIF($F$3:F190,F190)</f>
        <v>免费银币抽12</v>
      </c>
      <c r="C190" s="14">
        <f t="shared" ref="C190" si="27">COUNTA(G190:P190)</f>
        <v>1</v>
      </c>
      <c r="D190" s="14">
        <f>IF(C190=0,"",SUM(C$3:C190))</f>
        <v>590</v>
      </c>
      <c r="E190" s="27" t="s">
        <v>313</v>
      </c>
      <c r="F190" s="27">
        <f ca="1">OFFSET(参数!$A$1,MATCH($E190,参数!$B$2:$B$16,0),)</f>
        <v>9</v>
      </c>
      <c r="G190" s="14">
        <v>84</v>
      </c>
      <c r="H190" s="14"/>
      <c r="I190" s="14"/>
      <c r="J190" s="14"/>
      <c r="K190" s="14"/>
      <c r="L190" s="14"/>
      <c r="M190" s="14"/>
      <c r="N190" s="14"/>
      <c r="O190" s="14"/>
      <c r="P190" s="14"/>
      <c r="Q190" s="7">
        <v>1</v>
      </c>
      <c r="R190" s="7"/>
      <c r="S190" s="7"/>
      <c r="T190" s="7"/>
      <c r="U190" s="7"/>
      <c r="V190" s="7"/>
      <c r="W190" s="7"/>
      <c r="X190" s="7"/>
      <c r="Y190" s="7"/>
      <c r="Z190" s="7"/>
      <c r="AA190" s="28">
        <f t="shared" si="20"/>
        <v>188</v>
      </c>
      <c r="AB190" s="28">
        <f t="shared" ca="1" si="15"/>
        <v>20068</v>
      </c>
      <c r="AC190" s="28">
        <f t="shared" ca="1" si="16"/>
        <v>1</v>
      </c>
      <c r="AD190" s="29">
        <f t="shared" ca="1" si="17"/>
        <v>10000</v>
      </c>
      <c r="AE190" s="28" t="str">
        <f t="shared" ca="1" si="18"/>
        <v>副本68</v>
      </c>
      <c r="AF190" s="28">
        <f t="shared" si="19"/>
        <v>68</v>
      </c>
      <c r="AG190" s="28">
        <f>COUNTIF(AF$3:AF190,AF190)-1</f>
        <v>0</v>
      </c>
    </row>
    <row r="191" spans="1:33" x14ac:dyDescent="0.25">
      <c r="A191" s="27">
        <f ca="1">COUNTIF($F$3:F191,F191)+F191*$F$1</f>
        <v>100001</v>
      </c>
      <c r="B191" s="27" t="str">
        <f ca="1">E191 &amp; COUNTIF($F$3:F191,F191)</f>
        <v>银币抽1</v>
      </c>
      <c r="C191" s="14">
        <f t="shared" ref="C191:C200" si="28">COUNTA(G191:P191)</f>
        <v>1</v>
      </c>
      <c r="D191" s="14">
        <f>IF(C191=0,"",SUM(C$3:C191))</f>
        <v>591</v>
      </c>
      <c r="E191" s="27" t="s">
        <v>314</v>
      </c>
      <c r="F191" s="27">
        <f ca="1">OFFSET(参数!$A$1,MATCH($E191,参数!$B$2:$B$16,0),)</f>
        <v>10</v>
      </c>
      <c r="G191" s="14">
        <v>61</v>
      </c>
      <c r="H191" s="14"/>
      <c r="I191" s="14"/>
      <c r="J191" s="14"/>
      <c r="K191" s="14"/>
      <c r="L191" s="14"/>
      <c r="M191" s="14"/>
      <c r="N191" s="14"/>
      <c r="O191" s="14"/>
      <c r="P191" s="14"/>
      <c r="Q191" s="7">
        <v>1</v>
      </c>
      <c r="R191" s="7"/>
      <c r="S191" s="7"/>
      <c r="T191" s="7"/>
      <c r="U191" s="7"/>
      <c r="V191" s="7"/>
      <c r="W191" s="7"/>
      <c r="X191" s="7"/>
      <c r="Y191" s="7"/>
      <c r="Z191" s="7"/>
      <c r="AA191" s="28">
        <f t="shared" si="20"/>
        <v>189</v>
      </c>
      <c r="AB191" s="28">
        <f t="shared" ca="1" si="15"/>
        <v>20068</v>
      </c>
      <c r="AC191" s="28">
        <f t="shared" ca="1" si="16"/>
        <v>11</v>
      </c>
      <c r="AD191" s="29">
        <f t="shared" ca="1" si="17"/>
        <v>6000</v>
      </c>
      <c r="AE191" s="28" t="str">
        <f t="shared" ca="1" si="18"/>
        <v>副本68</v>
      </c>
      <c r="AF191" s="28">
        <f t="shared" si="19"/>
        <v>68</v>
      </c>
      <c r="AG191" s="28">
        <f>COUNTIF(AF$3:AF191,AF191)-1</f>
        <v>1</v>
      </c>
    </row>
    <row r="192" spans="1:33" x14ac:dyDescent="0.25">
      <c r="A192" s="27">
        <f ca="1">COUNTIF($F$3:F192,F192)+F192*$F$1</f>
        <v>100002</v>
      </c>
      <c r="B192" s="27" t="str">
        <f ca="1">E192 &amp; COUNTIF($F$3:F192,F192)</f>
        <v>银币抽2</v>
      </c>
      <c r="C192" s="14">
        <f t="shared" si="28"/>
        <v>1</v>
      </c>
      <c r="D192" s="14">
        <f>IF(C192=0,"",SUM(C$3:C192))</f>
        <v>592</v>
      </c>
      <c r="E192" s="27" t="s">
        <v>314</v>
      </c>
      <c r="F192" s="27">
        <f ca="1">OFFSET(参数!$A$1,MATCH($E192,参数!$B$2:$B$16,0),)</f>
        <v>10</v>
      </c>
      <c r="G192" s="14">
        <v>62</v>
      </c>
      <c r="H192" s="14"/>
      <c r="I192" s="14"/>
      <c r="J192" s="14"/>
      <c r="K192" s="14"/>
      <c r="L192" s="14"/>
      <c r="M192" s="14"/>
      <c r="N192" s="14"/>
      <c r="O192" s="14"/>
      <c r="P192" s="14"/>
      <c r="Q192" s="7">
        <v>1</v>
      </c>
      <c r="R192" s="7"/>
      <c r="S192" s="7"/>
      <c r="T192" s="7"/>
      <c r="U192" s="7"/>
      <c r="V192" s="7"/>
      <c r="W192" s="7"/>
      <c r="X192" s="7"/>
      <c r="Y192" s="7"/>
      <c r="Z192" s="7"/>
      <c r="AA192" s="28">
        <f t="shared" si="20"/>
        <v>190</v>
      </c>
      <c r="AB192" s="28">
        <f t="shared" ca="1" si="15"/>
        <v>20068</v>
      </c>
      <c r="AC192" s="28">
        <f t="shared" ca="1" si="16"/>
        <v>6</v>
      </c>
      <c r="AD192" s="29">
        <f t="shared" ca="1" si="17"/>
        <v>8000</v>
      </c>
      <c r="AE192" s="28" t="str">
        <f t="shared" ca="1" si="18"/>
        <v>副本68</v>
      </c>
      <c r="AF192" s="28">
        <f t="shared" si="19"/>
        <v>68</v>
      </c>
      <c r="AG192" s="28">
        <f>COUNTIF(AF$3:AF192,AF192)-1</f>
        <v>2</v>
      </c>
    </row>
    <row r="193" spans="1:33" x14ac:dyDescent="0.25">
      <c r="A193" s="27">
        <f ca="1">COUNTIF($F$3:F193,F193)+F193*$F$1</f>
        <v>100003</v>
      </c>
      <c r="B193" s="27" t="str">
        <f ca="1">E193 &amp; COUNTIF($F$3:F193,F193)</f>
        <v>银币抽3</v>
      </c>
      <c r="C193" s="14">
        <f t="shared" si="28"/>
        <v>1</v>
      </c>
      <c r="D193" s="14">
        <f>IF(C193=0,"",SUM(C$3:C193))</f>
        <v>593</v>
      </c>
      <c r="E193" s="27" t="s">
        <v>314</v>
      </c>
      <c r="F193" s="27">
        <f ca="1">OFFSET(参数!$A$1,MATCH($E193,参数!$B$2:$B$16,0),)</f>
        <v>10</v>
      </c>
      <c r="G193" s="14">
        <v>63</v>
      </c>
      <c r="H193" s="14"/>
      <c r="I193" s="14"/>
      <c r="J193" s="14"/>
      <c r="K193" s="14"/>
      <c r="L193" s="14"/>
      <c r="M193" s="14"/>
      <c r="N193" s="14"/>
      <c r="O193" s="14"/>
      <c r="P193" s="14"/>
      <c r="Q193" s="7">
        <v>1</v>
      </c>
      <c r="R193" s="7"/>
      <c r="S193" s="7"/>
      <c r="T193" s="7"/>
      <c r="U193" s="7"/>
      <c r="V193" s="7"/>
      <c r="W193" s="7"/>
      <c r="X193" s="7"/>
      <c r="Y193" s="7"/>
      <c r="Z193" s="7"/>
      <c r="AA193" s="28">
        <f t="shared" si="20"/>
        <v>191</v>
      </c>
      <c r="AB193" s="28">
        <f t="shared" ca="1" si="15"/>
        <v>20068</v>
      </c>
      <c r="AC193" s="28">
        <f t="shared" ca="1" si="16"/>
        <v>4</v>
      </c>
      <c r="AD193" s="29">
        <f t="shared" ca="1" si="17"/>
        <v>9000</v>
      </c>
      <c r="AE193" s="28" t="str">
        <f t="shared" ca="1" si="18"/>
        <v>副本68</v>
      </c>
      <c r="AF193" s="28">
        <f t="shared" si="19"/>
        <v>68</v>
      </c>
      <c r="AG193" s="28">
        <f>COUNTIF(AF$3:AF193,AF193)-1</f>
        <v>3</v>
      </c>
    </row>
    <row r="194" spans="1:33" x14ac:dyDescent="0.25">
      <c r="A194" s="27">
        <f ca="1">COUNTIF($F$3:F194,F194)+F194*$F$1</f>
        <v>100004</v>
      </c>
      <c r="B194" s="27" t="str">
        <f ca="1">E194 &amp; COUNTIF($F$3:F194,F194)</f>
        <v>银币抽4</v>
      </c>
      <c r="C194" s="14">
        <f t="shared" si="28"/>
        <v>1</v>
      </c>
      <c r="D194" s="14">
        <f>IF(C194=0,"",SUM(C$3:C194))</f>
        <v>594</v>
      </c>
      <c r="E194" s="27" t="s">
        <v>314</v>
      </c>
      <c r="F194" s="27">
        <f ca="1">OFFSET(参数!$A$1,MATCH($E194,参数!$B$2:$B$16,0),)</f>
        <v>10</v>
      </c>
      <c r="G194" s="14">
        <v>64</v>
      </c>
      <c r="H194" s="14"/>
      <c r="I194" s="14"/>
      <c r="J194" s="14"/>
      <c r="K194" s="14"/>
      <c r="L194" s="14"/>
      <c r="M194" s="14"/>
      <c r="N194" s="14"/>
      <c r="O194" s="14"/>
      <c r="P194" s="14"/>
      <c r="Q194" s="7">
        <v>1</v>
      </c>
      <c r="R194" s="7"/>
      <c r="S194" s="7"/>
      <c r="T194" s="7"/>
      <c r="U194" s="7"/>
      <c r="V194" s="7"/>
      <c r="W194" s="7"/>
      <c r="X194" s="7"/>
      <c r="Y194" s="7"/>
      <c r="Z194" s="7"/>
      <c r="AA194" s="28">
        <f t="shared" si="20"/>
        <v>192</v>
      </c>
      <c r="AB194" s="28">
        <f t="shared" ca="1" si="15"/>
        <v>20069</v>
      </c>
      <c r="AC194" s="28">
        <f t="shared" ca="1" si="16"/>
        <v>1</v>
      </c>
      <c r="AD194" s="29">
        <f t="shared" ca="1" si="17"/>
        <v>10000</v>
      </c>
      <c r="AE194" s="28" t="str">
        <f t="shared" ca="1" si="18"/>
        <v>副本69</v>
      </c>
      <c r="AF194" s="28">
        <f t="shared" si="19"/>
        <v>69</v>
      </c>
      <c r="AG194" s="28">
        <f>COUNTIF(AF$3:AF194,AF194)-1</f>
        <v>0</v>
      </c>
    </row>
    <row r="195" spans="1:33" x14ac:dyDescent="0.25">
      <c r="A195" s="27">
        <f ca="1">COUNTIF($F$3:F195,F195)+F195*$F$1</f>
        <v>100005</v>
      </c>
      <c r="B195" s="27" t="str">
        <f ca="1">E195 &amp; COUNTIF($F$3:F195,F195)</f>
        <v>银币抽5</v>
      </c>
      <c r="C195" s="14">
        <f t="shared" si="28"/>
        <v>1</v>
      </c>
      <c r="D195" s="14">
        <f>IF(C195=0,"",SUM(C$3:C195))</f>
        <v>595</v>
      </c>
      <c r="E195" s="27" t="s">
        <v>314</v>
      </c>
      <c r="F195" s="27">
        <f ca="1">OFFSET(参数!$A$1,MATCH($E195,参数!$B$2:$B$16,0),)</f>
        <v>10</v>
      </c>
      <c r="G195" s="14">
        <v>65</v>
      </c>
      <c r="H195" s="14"/>
      <c r="I195" s="14"/>
      <c r="J195" s="14"/>
      <c r="K195" s="14"/>
      <c r="L195" s="14"/>
      <c r="M195" s="14"/>
      <c r="N195" s="14"/>
      <c r="O195" s="14"/>
      <c r="P195" s="14"/>
      <c r="Q195" s="7">
        <v>1</v>
      </c>
      <c r="R195" s="7"/>
      <c r="S195" s="7"/>
      <c r="T195" s="7"/>
      <c r="U195" s="7"/>
      <c r="V195" s="7"/>
      <c r="W195" s="7"/>
      <c r="X195" s="7"/>
      <c r="Y195" s="7"/>
      <c r="Z195" s="7"/>
      <c r="AA195" s="28">
        <f t="shared" si="20"/>
        <v>193</v>
      </c>
      <c r="AB195" s="28">
        <f t="shared" ref="AB195:AB258" ca="1" si="29">OFFSET(A$2,$AF195,)</f>
        <v>20069</v>
      </c>
      <c r="AC195" s="28">
        <f t="shared" ref="AC195:AC258" ca="1" si="30">OFFSET($G$2,$AF195,$AG195)</f>
        <v>12</v>
      </c>
      <c r="AD195" s="29">
        <f t="shared" ref="AD195:AD258" ca="1" si="31">OFFSET($Q$2,$AF195,$AG195)*$AD$1</f>
        <v>6000</v>
      </c>
      <c r="AE195" s="28" t="str">
        <f t="shared" ref="AE195:AE258" ca="1" si="32">OFFSET(B$2,$AF195,)</f>
        <v>副本69</v>
      </c>
      <c r="AF195" s="28">
        <f t="shared" ref="AF195:AF258" si="33">FREQUENCY(D:D,AA195-0.1)+1</f>
        <v>69</v>
      </c>
      <c r="AG195" s="28">
        <f>COUNTIF(AF$3:AF195,AF195)-1</f>
        <v>1</v>
      </c>
    </row>
    <row r="196" spans="1:33" x14ac:dyDescent="0.25">
      <c r="A196" s="27">
        <f ca="1">COUNTIF($F$3:F196,F196)+F196*$F$1</f>
        <v>100006</v>
      </c>
      <c r="B196" s="27" t="str">
        <f ca="1">E196 &amp; COUNTIF($F$3:F196,F196)</f>
        <v>银币抽6</v>
      </c>
      <c r="C196" s="14">
        <f t="shared" si="28"/>
        <v>1</v>
      </c>
      <c r="D196" s="14">
        <f>IF(C196=0,"",SUM(C$3:C196))</f>
        <v>596</v>
      </c>
      <c r="E196" s="27" t="s">
        <v>314</v>
      </c>
      <c r="F196" s="27">
        <f ca="1">OFFSET(参数!$A$1,MATCH($E196,参数!$B$2:$B$16,0),)</f>
        <v>10</v>
      </c>
      <c r="G196" s="14">
        <v>66</v>
      </c>
      <c r="H196" s="14"/>
      <c r="I196" s="14"/>
      <c r="J196" s="14"/>
      <c r="K196" s="14"/>
      <c r="L196" s="14"/>
      <c r="M196" s="14"/>
      <c r="N196" s="14"/>
      <c r="O196" s="14"/>
      <c r="P196" s="14"/>
      <c r="Q196" s="7">
        <v>1</v>
      </c>
      <c r="R196" s="7"/>
      <c r="S196" s="7"/>
      <c r="T196" s="7"/>
      <c r="U196" s="7"/>
      <c r="V196" s="7"/>
      <c r="W196" s="7"/>
      <c r="X196" s="7"/>
      <c r="Y196" s="7"/>
      <c r="Z196" s="7"/>
      <c r="AA196" s="28">
        <f t="shared" ref="AA196:AA259" si="34">IF(ROW(A194)&gt;MAX(D:D),"",ROW(A194))</f>
        <v>194</v>
      </c>
      <c r="AB196" s="28">
        <f t="shared" ca="1" si="29"/>
        <v>20069</v>
      </c>
      <c r="AC196" s="28">
        <f t="shared" ca="1" si="30"/>
        <v>5</v>
      </c>
      <c r="AD196" s="29">
        <f t="shared" ca="1" si="31"/>
        <v>8000</v>
      </c>
      <c r="AE196" s="28" t="str">
        <f t="shared" ca="1" si="32"/>
        <v>副本69</v>
      </c>
      <c r="AF196" s="28">
        <f t="shared" si="33"/>
        <v>69</v>
      </c>
      <c r="AG196" s="28">
        <f>COUNTIF(AF$3:AF196,AF196)-1</f>
        <v>2</v>
      </c>
    </row>
    <row r="197" spans="1:33" x14ac:dyDescent="0.25">
      <c r="A197" s="27">
        <f ca="1">COUNTIF($F$3:F197,F197)+F197*$F$1</f>
        <v>100007</v>
      </c>
      <c r="B197" s="27" t="str">
        <f ca="1">E197 &amp; COUNTIF($F$3:F197,F197)</f>
        <v>银币抽7</v>
      </c>
      <c r="C197" s="14">
        <f t="shared" si="28"/>
        <v>1</v>
      </c>
      <c r="D197" s="14">
        <f>IF(C197=0,"",SUM(C$3:C197))</f>
        <v>597</v>
      </c>
      <c r="E197" s="27" t="s">
        <v>314</v>
      </c>
      <c r="F197" s="27">
        <f ca="1">OFFSET(参数!$A$1,MATCH($E197,参数!$B$2:$B$16,0),)</f>
        <v>10</v>
      </c>
      <c r="G197" s="14">
        <v>67</v>
      </c>
      <c r="H197" s="14"/>
      <c r="I197" s="14"/>
      <c r="J197" s="14"/>
      <c r="K197" s="14"/>
      <c r="L197" s="14"/>
      <c r="M197" s="14"/>
      <c r="N197" s="14"/>
      <c r="O197" s="14"/>
      <c r="P197" s="14"/>
      <c r="Q197" s="7">
        <v>1</v>
      </c>
      <c r="R197" s="7"/>
      <c r="S197" s="7"/>
      <c r="T197" s="7"/>
      <c r="U197" s="7"/>
      <c r="V197" s="7"/>
      <c r="W197" s="7"/>
      <c r="X197" s="7"/>
      <c r="Y197" s="7"/>
      <c r="Z197" s="7"/>
      <c r="AA197" s="28">
        <f t="shared" si="34"/>
        <v>195</v>
      </c>
      <c r="AB197" s="28">
        <f t="shared" ca="1" si="29"/>
        <v>20069</v>
      </c>
      <c r="AC197" s="28">
        <f t="shared" ca="1" si="30"/>
        <v>2</v>
      </c>
      <c r="AD197" s="29">
        <f t="shared" ca="1" si="31"/>
        <v>9000</v>
      </c>
      <c r="AE197" s="28" t="str">
        <f t="shared" ca="1" si="32"/>
        <v>副本69</v>
      </c>
      <c r="AF197" s="28">
        <f t="shared" si="33"/>
        <v>69</v>
      </c>
      <c r="AG197" s="28">
        <f>COUNTIF(AF$3:AF197,AF197)-1</f>
        <v>3</v>
      </c>
    </row>
    <row r="198" spans="1:33" x14ac:dyDescent="0.25">
      <c r="A198" s="27">
        <f ca="1">COUNTIF($F$3:F198,F198)+F198*$F$1</f>
        <v>100008</v>
      </c>
      <c r="B198" s="27" t="str">
        <f ca="1">E198 &amp; COUNTIF($F$3:F198,F198)</f>
        <v>银币抽8</v>
      </c>
      <c r="C198" s="14">
        <f t="shared" si="28"/>
        <v>1</v>
      </c>
      <c r="D198" s="14">
        <f>IF(C198=0,"",SUM(C$3:C198))</f>
        <v>598</v>
      </c>
      <c r="E198" s="27" t="s">
        <v>314</v>
      </c>
      <c r="F198" s="27">
        <f ca="1">OFFSET(参数!$A$1,MATCH($E198,参数!$B$2:$B$16,0),)</f>
        <v>10</v>
      </c>
      <c r="G198" s="14">
        <v>68</v>
      </c>
      <c r="H198" s="14"/>
      <c r="I198" s="14"/>
      <c r="J198" s="14"/>
      <c r="K198" s="14"/>
      <c r="L198" s="14"/>
      <c r="M198" s="14"/>
      <c r="N198" s="14"/>
      <c r="O198" s="14"/>
      <c r="P198" s="14"/>
      <c r="Q198" s="7">
        <v>1</v>
      </c>
      <c r="R198" s="7"/>
      <c r="S198" s="7"/>
      <c r="T198" s="7"/>
      <c r="U198" s="7"/>
      <c r="V198" s="7"/>
      <c r="W198" s="7"/>
      <c r="X198" s="7"/>
      <c r="Y198" s="7"/>
      <c r="Z198" s="7"/>
      <c r="AA198" s="28">
        <f t="shared" si="34"/>
        <v>196</v>
      </c>
      <c r="AB198" s="28">
        <f t="shared" ca="1" si="29"/>
        <v>20070</v>
      </c>
      <c r="AC198" s="28">
        <f t="shared" ca="1" si="30"/>
        <v>1</v>
      </c>
      <c r="AD198" s="29">
        <f t="shared" ca="1" si="31"/>
        <v>10000</v>
      </c>
      <c r="AE198" s="28" t="str">
        <f t="shared" ca="1" si="32"/>
        <v>副本70</v>
      </c>
      <c r="AF198" s="28">
        <f t="shared" si="33"/>
        <v>70</v>
      </c>
      <c r="AG198" s="28">
        <f>COUNTIF(AF$3:AF198,AF198)-1</f>
        <v>0</v>
      </c>
    </row>
    <row r="199" spans="1:33" x14ac:dyDescent="0.25">
      <c r="A199" s="27">
        <f ca="1">COUNTIF($F$3:F199,F199)+F199*$F$1</f>
        <v>100009</v>
      </c>
      <c r="B199" s="27" t="str">
        <f ca="1">E199 &amp; COUNTIF($F$3:F199,F199)</f>
        <v>银币抽9</v>
      </c>
      <c r="C199" s="14">
        <f t="shared" si="28"/>
        <v>1</v>
      </c>
      <c r="D199" s="14">
        <f>IF(C199=0,"",SUM(C$3:C199))</f>
        <v>599</v>
      </c>
      <c r="E199" s="27" t="s">
        <v>314</v>
      </c>
      <c r="F199" s="27">
        <f ca="1">OFFSET(参数!$A$1,MATCH($E199,参数!$B$2:$B$16,0),)</f>
        <v>10</v>
      </c>
      <c r="G199" s="14">
        <v>69</v>
      </c>
      <c r="H199" s="14"/>
      <c r="I199" s="14"/>
      <c r="J199" s="14"/>
      <c r="K199" s="14"/>
      <c r="L199" s="14"/>
      <c r="M199" s="14"/>
      <c r="N199" s="14"/>
      <c r="O199" s="14"/>
      <c r="P199" s="14"/>
      <c r="Q199" s="7">
        <v>1</v>
      </c>
      <c r="R199" s="7"/>
      <c r="S199" s="7"/>
      <c r="T199" s="7"/>
      <c r="U199" s="7"/>
      <c r="V199" s="7"/>
      <c r="W199" s="7"/>
      <c r="X199" s="7"/>
      <c r="Y199" s="7"/>
      <c r="Z199" s="7"/>
      <c r="AA199" s="28">
        <f t="shared" si="34"/>
        <v>197</v>
      </c>
      <c r="AB199" s="28">
        <f t="shared" ca="1" si="29"/>
        <v>20070</v>
      </c>
      <c r="AC199" s="28">
        <f t="shared" ca="1" si="30"/>
        <v>12</v>
      </c>
      <c r="AD199" s="29">
        <f t="shared" ca="1" si="31"/>
        <v>6000</v>
      </c>
      <c r="AE199" s="28" t="str">
        <f t="shared" ca="1" si="32"/>
        <v>副本70</v>
      </c>
      <c r="AF199" s="28">
        <f t="shared" si="33"/>
        <v>70</v>
      </c>
      <c r="AG199" s="28">
        <f>COUNTIF(AF$3:AF199,AF199)-1</f>
        <v>1</v>
      </c>
    </row>
    <row r="200" spans="1:33" x14ac:dyDescent="0.25">
      <c r="A200" s="27">
        <f ca="1">COUNTIF($F$3:F200,F200)+F200*$F$1</f>
        <v>100010</v>
      </c>
      <c r="B200" s="27" t="str">
        <f ca="1">E200 &amp; COUNTIF($F$3:F200,F200)</f>
        <v>银币抽10</v>
      </c>
      <c r="C200" s="14">
        <f t="shared" si="28"/>
        <v>1</v>
      </c>
      <c r="D200" s="14">
        <f>IF(C200=0,"",SUM(C$3:C200))</f>
        <v>600</v>
      </c>
      <c r="E200" s="27" t="s">
        <v>314</v>
      </c>
      <c r="F200" s="27">
        <f ca="1">OFFSET(参数!$A$1,MATCH($E200,参数!$B$2:$B$16,0),)</f>
        <v>10</v>
      </c>
      <c r="G200" s="14">
        <v>70</v>
      </c>
      <c r="H200" s="14"/>
      <c r="I200" s="14"/>
      <c r="J200" s="14"/>
      <c r="K200" s="14"/>
      <c r="L200" s="14"/>
      <c r="M200" s="14"/>
      <c r="N200" s="14"/>
      <c r="O200" s="14"/>
      <c r="P200" s="14"/>
      <c r="Q200" s="7">
        <v>1</v>
      </c>
      <c r="R200" s="7"/>
      <c r="S200" s="7"/>
      <c r="T200" s="7"/>
      <c r="U200" s="7"/>
      <c r="V200" s="7"/>
      <c r="W200" s="7"/>
      <c r="X200" s="7"/>
      <c r="Y200" s="7"/>
      <c r="Z200" s="7"/>
      <c r="AA200" s="28">
        <f t="shared" si="34"/>
        <v>198</v>
      </c>
      <c r="AB200" s="28">
        <f t="shared" ca="1" si="29"/>
        <v>20070</v>
      </c>
      <c r="AC200" s="28">
        <f t="shared" ca="1" si="30"/>
        <v>5</v>
      </c>
      <c r="AD200" s="29">
        <f t="shared" ca="1" si="31"/>
        <v>8000</v>
      </c>
      <c r="AE200" s="28" t="str">
        <f t="shared" ca="1" si="32"/>
        <v>副本70</v>
      </c>
      <c r="AF200" s="28">
        <f t="shared" si="33"/>
        <v>70</v>
      </c>
      <c r="AG200" s="28">
        <f>COUNTIF(AF$3:AF200,AF200)-1</f>
        <v>2</v>
      </c>
    </row>
    <row r="201" spans="1:33" x14ac:dyDescent="0.25">
      <c r="A201" s="27">
        <f ca="1">COUNTIF($F$3:F201,F201)+F201*$F$1</f>
        <v>100011</v>
      </c>
      <c r="B201" s="27" t="str">
        <f ca="1">E201 &amp; COUNTIF($F$3:F201,F201)</f>
        <v>银币抽11</v>
      </c>
      <c r="C201" s="14">
        <f t="shared" ref="C201:C212" si="35">COUNTA(G201:P201)</f>
        <v>1</v>
      </c>
      <c r="D201" s="14">
        <f>IF(C201=0,"",SUM(C$3:C201))</f>
        <v>601</v>
      </c>
      <c r="E201" s="27" t="s">
        <v>314</v>
      </c>
      <c r="F201" s="27">
        <f ca="1">OFFSET(参数!$A$1,MATCH($E201,参数!$B$2:$B$16,0),)</f>
        <v>10</v>
      </c>
      <c r="G201" s="14">
        <v>71</v>
      </c>
      <c r="H201" s="14"/>
      <c r="I201" s="14"/>
      <c r="J201" s="14"/>
      <c r="K201" s="14"/>
      <c r="L201" s="14"/>
      <c r="M201" s="14"/>
      <c r="N201" s="14"/>
      <c r="O201" s="14"/>
      <c r="P201" s="14"/>
      <c r="Q201" s="7">
        <v>1</v>
      </c>
      <c r="R201" s="7"/>
      <c r="S201" s="7"/>
      <c r="T201" s="7"/>
      <c r="U201" s="7"/>
      <c r="V201" s="7"/>
      <c r="W201" s="7"/>
      <c r="X201" s="7"/>
      <c r="Y201" s="7"/>
      <c r="Z201" s="7"/>
      <c r="AA201" s="28">
        <f t="shared" si="34"/>
        <v>199</v>
      </c>
      <c r="AB201" s="28">
        <f t="shared" ca="1" si="29"/>
        <v>20070</v>
      </c>
      <c r="AC201" s="28">
        <f t="shared" ca="1" si="30"/>
        <v>2</v>
      </c>
      <c r="AD201" s="29">
        <f t="shared" ca="1" si="31"/>
        <v>9000</v>
      </c>
      <c r="AE201" s="28" t="str">
        <f t="shared" ca="1" si="32"/>
        <v>副本70</v>
      </c>
      <c r="AF201" s="28">
        <f t="shared" si="33"/>
        <v>70</v>
      </c>
      <c r="AG201" s="28">
        <f>COUNTIF(AF$3:AF201,AF201)-1</f>
        <v>3</v>
      </c>
    </row>
    <row r="202" spans="1:33" x14ac:dyDescent="0.25">
      <c r="A202" s="27">
        <f ca="1">COUNTIF($F$3:F202,F202)+F202*$F$1</f>
        <v>100012</v>
      </c>
      <c r="B202" s="27" t="str">
        <f ca="1">E202 &amp; COUNTIF($F$3:F202,F202)</f>
        <v>银币抽12</v>
      </c>
      <c r="C202" s="14">
        <f t="shared" si="35"/>
        <v>1</v>
      </c>
      <c r="D202" s="14">
        <f>IF(C202=0,"",SUM(C$3:C202))</f>
        <v>602</v>
      </c>
      <c r="E202" s="27" t="s">
        <v>314</v>
      </c>
      <c r="F202" s="27">
        <f ca="1">OFFSET(参数!$A$1,MATCH($E202,参数!$B$2:$B$16,0),)</f>
        <v>10</v>
      </c>
      <c r="G202" s="14">
        <v>84</v>
      </c>
      <c r="H202" s="14"/>
      <c r="I202" s="14"/>
      <c r="J202" s="14"/>
      <c r="K202" s="14"/>
      <c r="L202" s="14"/>
      <c r="M202" s="14"/>
      <c r="N202" s="14"/>
      <c r="O202" s="14"/>
      <c r="P202" s="14"/>
      <c r="Q202" s="7">
        <v>1</v>
      </c>
      <c r="R202" s="7"/>
      <c r="S202" s="7"/>
      <c r="T202" s="7"/>
      <c r="U202" s="7"/>
      <c r="V202" s="7"/>
      <c r="W202" s="7"/>
      <c r="X202" s="7"/>
      <c r="Y202" s="7"/>
      <c r="Z202" s="7"/>
      <c r="AA202" s="28">
        <f t="shared" si="34"/>
        <v>200</v>
      </c>
      <c r="AB202" s="28">
        <f t="shared" ca="1" si="29"/>
        <v>20071</v>
      </c>
      <c r="AC202" s="28">
        <f t="shared" ca="1" si="30"/>
        <v>1</v>
      </c>
      <c r="AD202" s="29">
        <f t="shared" ca="1" si="31"/>
        <v>10000</v>
      </c>
      <c r="AE202" s="28" t="str">
        <f t="shared" ca="1" si="32"/>
        <v>副本71</v>
      </c>
      <c r="AF202" s="28">
        <f t="shared" si="33"/>
        <v>71</v>
      </c>
      <c r="AG202" s="28">
        <f>COUNTIF(AF$3:AF202,AF202)-1</f>
        <v>0</v>
      </c>
    </row>
    <row r="203" spans="1:33" x14ac:dyDescent="0.25">
      <c r="A203" s="27">
        <f ca="1">COUNTIF($F$3:F203,F203)+F203*$F$1</f>
        <v>110001</v>
      </c>
      <c r="B203" s="27" t="str">
        <f ca="1">E203 &amp; COUNTIF($F$3:F203,F203)</f>
        <v>银币十抽1</v>
      </c>
      <c r="C203" s="14">
        <f t="shared" si="35"/>
        <v>1</v>
      </c>
      <c r="D203" s="14">
        <f>IF(C203=0,"",SUM(C$3:C203))</f>
        <v>603</v>
      </c>
      <c r="E203" s="27" t="s">
        <v>315</v>
      </c>
      <c r="F203" s="27">
        <f ca="1">OFFSET(参数!$A$1,MATCH($E203,参数!$B$2:$B$16,0),)</f>
        <v>11</v>
      </c>
      <c r="G203" s="14">
        <v>61</v>
      </c>
      <c r="H203" s="14"/>
      <c r="I203" s="14"/>
      <c r="J203" s="14"/>
      <c r="K203" s="14"/>
      <c r="L203" s="14"/>
      <c r="M203" s="14"/>
      <c r="N203" s="14"/>
      <c r="O203" s="14"/>
      <c r="P203" s="14"/>
      <c r="Q203" s="7">
        <v>1</v>
      </c>
      <c r="R203" s="7"/>
      <c r="S203" s="7"/>
      <c r="T203" s="7"/>
      <c r="U203" s="7"/>
      <c r="V203" s="7"/>
      <c r="W203" s="7"/>
      <c r="X203" s="7"/>
      <c r="Y203" s="7"/>
      <c r="Z203" s="7"/>
      <c r="AA203" s="28">
        <f t="shared" si="34"/>
        <v>201</v>
      </c>
      <c r="AB203" s="28">
        <f t="shared" ca="1" si="29"/>
        <v>20071</v>
      </c>
      <c r="AC203" s="28">
        <f t="shared" ca="1" si="30"/>
        <v>12</v>
      </c>
      <c r="AD203" s="29">
        <f t="shared" ca="1" si="31"/>
        <v>6000</v>
      </c>
      <c r="AE203" s="28" t="str">
        <f t="shared" ca="1" si="32"/>
        <v>副本71</v>
      </c>
      <c r="AF203" s="28">
        <f t="shared" si="33"/>
        <v>71</v>
      </c>
      <c r="AG203" s="28">
        <f>COUNTIF(AF$3:AF203,AF203)-1</f>
        <v>1</v>
      </c>
    </row>
    <row r="204" spans="1:33" x14ac:dyDescent="0.25">
      <c r="A204" s="27">
        <f ca="1">COUNTIF($F$3:F204,F204)+F204*$F$1</f>
        <v>110002</v>
      </c>
      <c r="B204" s="27" t="str">
        <f ca="1">E204 &amp; COUNTIF($F$3:F204,F204)</f>
        <v>银币十抽2</v>
      </c>
      <c r="C204" s="14">
        <f t="shared" si="35"/>
        <v>1</v>
      </c>
      <c r="D204" s="14">
        <f>IF(C204=0,"",SUM(C$3:C204))</f>
        <v>604</v>
      </c>
      <c r="E204" s="27" t="s">
        <v>315</v>
      </c>
      <c r="F204" s="27">
        <f ca="1">OFFSET(参数!$A$1,MATCH($E204,参数!$B$2:$B$16,0),)</f>
        <v>11</v>
      </c>
      <c r="G204" s="14">
        <v>62</v>
      </c>
      <c r="H204" s="14"/>
      <c r="I204" s="14"/>
      <c r="J204" s="14"/>
      <c r="K204" s="14"/>
      <c r="L204" s="14"/>
      <c r="M204" s="14"/>
      <c r="N204" s="14"/>
      <c r="O204" s="14"/>
      <c r="P204" s="14"/>
      <c r="Q204" s="7">
        <v>1</v>
      </c>
      <c r="R204" s="7"/>
      <c r="S204" s="7"/>
      <c r="T204" s="7"/>
      <c r="U204" s="7"/>
      <c r="V204" s="7"/>
      <c r="W204" s="7"/>
      <c r="X204" s="7"/>
      <c r="Y204" s="7"/>
      <c r="Z204" s="7"/>
      <c r="AA204" s="28">
        <f t="shared" si="34"/>
        <v>202</v>
      </c>
      <c r="AB204" s="28">
        <f t="shared" ca="1" si="29"/>
        <v>20071</v>
      </c>
      <c r="AC204" s="28">
        <f t="shared" ca="1" si="30"/>
        <v>5</v>
      </c>
      <c r="AD204" s="29">
        <f t="shared" ca="1" si="31"/>
        <v>8000</v>
      </c>
      <c r="AE204" s="28" t="str">
        <f t="shared" ca="1" si="32"/>
        <v>副本71</v>
      </c>
      <c r="AF204" s="28">
        <f t="shared" si="33"/>
        <v>71</v>
      </c>
      <c r="AG204" s="28">
        <f>COUNTIF(AF$3:AF204,AF204)-1</f>
        <v>2</v>
      </c>
    </row>
    <row r="205" spans="1:33" x14ac:dyDescent="0.25">
      <c r="A205" s="27">
        <f ca="1">COUNTIF($F$3:F205,F205)+F205*$F$1</f>
        <v>110003</v>
      </c>
      <c r="B205" s="27" t="str">
        <f ca="1">E205 &amp; COUNTIF($F$3:F205,F205)</f>
        <v>银币十抽3</v>
      </c>
      <c r="C205" s="14">
        <f t="shared" si="35"/>
        <v>1</v>
      </c>
      <c r="D205" s="14">
        <f>IF(C205=0,"",SUM(C$3:C205))</f>
        <v>605</v>
      </c>
      <c r="E205" s="27" t="s">
        <v>315</v>
      </c>
      <c r="F205" s="27">
        <f ca="1">OFFSET(参数!$A$1,MATCH($E205,参数!$B$2:$B$16,0),)</f>
        <v>11</v>
      </c>
      <c r="G205" s="14">
        <v>63</v>
      </c>
      <c r="H205" s="14"/>
      <c r="I205" s="14"/>
      <c r="J205" s="14"/>
      <c r="K205" s="14"/>
      <c r="L205" s="14"/>
      <c r="M205" s="14"/>
      <c r="N205" s="14"/>
      <c r="O205" s="14"/>
      <c r="P205" s="14"/>
      <c r="Q205" s="7">
        <v>1</v>
      </c>
      <c r="R205" s="7"/>
      <c r="S205" s="7"/>
      <c r="T205" s="7"/>
      <c r="U205" s="7"/>
      <c r="V205" s="7"/>
      <c r="W205" s="7"/>
      <c r="X205" s="7"/>
      <c r="Y205" s="7"/>
      <c r="Z205" s="7"/>
      <c r="AA205" s="28">
        <f t="shared" si="34"/>
        <v>203</v>
      </c>
      <c r="AB205" s="28">
        <f t="shared" ca="1" si="29"/>
        <v>20071</v>
      </c>
      <c r="AC205" s="28">
        <f t="shared" ca="1" si="30"/>
        <v>2</v>
      </c>
      <c r="AD205" s="29">
        <f t="shared" ca="1" si="31"/>
        <v>9000</v>
      </c>
      <c r="AE205" s="28" t="str">
        <f t="shared" ca="1" si="32"/>
        <v>副本71</v>
      </c>
      <c r="AF205" s="28">
        <f t="shared" si="33"/>
        <v>71</v>
      </c>
      <c r="AG205" s="28">
        <f>COUNTIF(AF$3:AF205,AF205)-1</f>
        <v>3</v>
      </c>
    </row>
    <row r="206" spans="1:33" x14ac:dyDescent="0.25">
      <c r="A206" s="27">
        <f ca="1">COUNTIF($F$3:F206,F206)+F206*$F$1</f>
        <v>110004</v>
      </c>
      <c r="B206" s="27" t="str">
        <f ca="1">E206 &amp; COUNTIF($F$3:F206,F206)</f>
        <v>银币十抽4</v>
      </c>
      <c r="C206" s="14">
        <f t="shared" si="35"/>
        <v>1</v>
      </c>
      <c r="D206" s="14">
        <f>IF(C206=0,"",SUM(C$3:C206))</f>
        <v>606</v>
      </c>
      <c r="E206" s="27" t="s">
        <v>315</v>
      </c>
      <c r="F206" s="27">
        <f ca="1">OFFSET(参数!$A$1,MATCH($E206,参数!$B$2:$B$16,0),)</f>
        <v>11</v>
      </c>
      <c r="G206" s="14">
        <v>64</v>
      </c>
      <c r="H206" s="14"/>
      <c r="I206" s="14"/>
      <c r="J206" s="14"/>
      <c r="K206" s="14"/>
      <c r="L206" s="14"/>
      <c r="M206" s="14"/>
      <c r="N206" s="14"/>
      <c r="O206" s="14"/>
      <c r="P206" s="14"/>
      <c r="Q206" s="7">
        <v>1</v>
      </c>
      <c r="R206" s="7"/>
      <c r="S206" s="7"/>
      <c r="T206" s="7"/>
      <c r="U206" s="7"/>
      <c r="V206" s="7"/>
      <c r="W206" s="7"/>
      <c r="X206" s="7"/>
      <c r="Y206" s="7"/>
      <c r="Z206" s="7"/>
      <c r="AA206" s="28">
        <f t="shared" si="34"/>
        <v>204</v>
      </c>
      <c r="AB206" s="28">
        <f t="shared" ca="1" si="29"/>
        <v>20072</v>
      </c>
      <c r="AC206" s="28">
        <f t="shared" ca="1" si="30"/>
        <v>1</v>
      </c>
      <c r="AD206" s="29">
        <f t="shared" ca="1" si="31"/>
        <v>10000</v>
      </c>
      <c r="AE206" s="28" t="str">
        <f t="shared" ca="1" si="32"/>
        <v>副本72</v>
      </c>
      <c r="AF206" s="28">
        <f t="shared" si="33"/>
        <v>72</v>
      </c>
      <c r="AG206" s="28">
        <f>COUNTIF(AF$3:AF206,AF206)-1</f>
        <v>0</v>
      </c>
    </row>
    <row r="207" spans="1:33" x14ac:dyDescent="0.25">
      <c r="A207" s="27">
        <f ca="1">COUNTIF($F$3:F207,F207)+F207*$F$1</f>
        <v>110005</v>
      </c>
      <c r="B207" s="27" t="str">
        <f ca="1">E207 &amp; COUNTIF($F$3:F207,F207)</f>
        <v>银币十抽5</v>
      </c>
      <c r="C207" s="14">
        <f t="shared" si="35"/>
        <v>1</v>
      </c>
      <c r="D207" s="14">
        <f>IF(C207=0,"",SUM(C$3:C207))</f>
        <v>607</v>
      </c>
      <c r="E207" s="27" t="s">
        <v>315</v>
      </c>
      <c r="F207" s="27">
        <f ca="1">OFFSET(参数!$A$1,MATCH($E207,参数!$B$2:$B$16,0),)</f>
        <v>11</v>
      </c>
      <c r="G207" s="14">
        <v>65</v>
      </c>
      <c r="H207" s="14"/>
      <c r="I207" s="14"/>
      <c r="J207" s="14"/>
      <c r="K207" s="14"/>
      <c r="L207" s="14"/>
      <c r="M207" s="14"/>
      <c r="N207" s="14"/>
      <c r="O207" s="14"/>
      <c r="P207" s="14"/>
      <c r="Q207" s="7">
        <v>1</v>
      </c>
      <c r="R207" s="7"/>
      <c r="S207" s="7"/>
      <c r="T207" s="7"/>
      <c r="U207" s="7"/>
      <c r="V207" s="7"/>
      <c r="W207" s="7"/>
      <c r="X207" s="7"/>
      <c r="Y207" s="7"/>
      <c r="Z207" s="7"/>
      <c r="AA207" s="28">
        <f t="shared" si="34"/>
        <v>205</v>
      </c>
      <c r="AB207" s="28">
        <f t="shared" ca="1" si="29"/>
        <v>20072</v>
      </c>
      <c r="AC207" s="28">
        <f t="shared" ca="1" si="30"/>
        <v>13</v>
      </c>
      <c r="AD207" s="29">
        <f t="shared" ca="1" si="31"/>
        <v>6000</v>
      </c>
      <c r="AE207" s="28" t="str">
        <f t="shared" ca="1" si="32"/>
        <v>副本72</v>
      </c>
      <c r="AF207" s="28">
        <f t="shared" si="33"/>
        <v>72</v>
      </c>
      <c r="AG207" s="28">
        <f>COUNTIF(AF$3:AF207,AF207)-1</f>
        <v>1</v>
      </c>
    </row>
    <row r="208" spans="1:33" x14ac:dyDescent="0.25">
      <c r="A208" s="27">
        <f ca="1">COUNTIF($F$3:F208,F208)+F208*$F$1</f>
        <v>110006</v>
      </c>
      <c r="B208" s="27" t="str">
        <f ca="1">E208 &amp; COUNTIF($F$3:F208,F208)</f>
        <v>银币十抽6</v>
      </c>
      <c r="C208" s="14">
        <f t="shared" si="35"/>
        <v>1</v>
      </c>
      <c r="D208" s="14">
        <f>IF(C208=0,"",SUM(C$3:C208))</f>
        <v>608</v>
      </c>
      <c r="E208" s="27" t="s">
        <v>315</v>
      </c>
      <c r="F208" s="27">
        <f ca="1">OFFSET(参数!$A$1,MATCH($E208,参数!$B$2:$B$16,0),)</f>
        <v>11</v>
      </c>
      <c r="G208" s="14">
        <v>66</v>
      </c>
      <c r="H208" s="14"/>
      <c r="I208" s="14"/>
      <c r="J208" s="14"/>
      <c r="K208" s="14"/>
      <c r="L208" s="14"/>
      <c r="M208" s="14"/>
      <c r="N208" s="14"/>
      <c r="O208" s="14"/>
      <c r="P208" s="14"/>
      <c r="Q208" s="7">
        <v>1</v>
      </c>
      <c r="R208" s="7"/>
      <c r="S208" s="7"/>
      <c r="T208" s="7"/>
      <c r="U208" s="7"/>
      <c r="V208" s="7"/>
      <c r="W208" s="7"/>
      <c r="X208" s="7"/>
      <c r="Y208" s="7"/>
      <c r="Z208" s="7"/>
      <c r="AA208" s="28">
        <f t="shared" si="34"/>
        <v>206</v>
      </c>
      <c r="AB208" s="28">
        <f t="shared" ca="1" si="29"/>
        <v>20072</v>
      </c>
      <c r="AC208" s="28">
        <f t="shared" ca="1" si="30"/>
        <v>7</v>
      </c>
      <c r="AD208" s="29">
        <f t="shared" ca="1" si="31"/>
        <v>8000</v>
      </c>
      <c r="AE208" s="28" t="str">
        <f t="shared" ca="1" si="32"/>
        <v>副本72</v>
      </c>
      <c r="AF208" s="28">
        <f t="shared" si="33"/>
        <v>72</v>
      </c>
      <c r="AG208" s="28">
        <f>COUNTIF(AF$3:AF208,AF208)-1</f>
        <v>2</v>
      </c>
    </row>
    <row r="209" spans="1:33" x14ac:dyDescent="0.25">
      <c r="A209" s="27">
        <f ca="1">COUNTIF($F$3:F209,F209)+F209*$F$1</f>
        <v>110007</v>
      </c>
      <c r="B209" s="27" t="str">
        <f ca="1">E209 &amp; COUNTIF($F$3:F209,F209)</f>
        <v>银币十抽7</v>
      </c>
      <c r="C209" s="14">
        <f t="shared" si="35"/>
        <v>1</v>
      </c>
      <c r="D209" s="14">
        <f>IF(C209=0,"",SUM(C$3:C209))</f>
        <v>609</v>
      </c>
      <c r="E209" s="27" t="s">
        <v>315</v>
      </c>
      <c r="F209" s="27">
        <f ca="1">OFFSET(参数!$A$1,MATCH($E209,参数!$B$2:$B$16,0),)</f>
        <v>11</v>
      </c>
      <c r="G209" s="14">
        <v>67</v>
      </c>
      <c r="H209" s="14"/>
      <c r="I209" s="14"/>
      <c r="J209" s="14"/>
      <c r="K209" s="14"/>
      <c r="L209" s="14"/>
      <c r="M209" s="14"/>
      <c r="N209" s="14"/>
      <c r="O209" s="14"/>
      <c r="P209" s="14"/>
      <c r="Q209" s="7">
        <v>1</v>
      </c>
      <c r="R209" s="7"/>
      <c r="S209" s="7"/>
      <c r="T209" s="7"/>
      <c r="U209" s="7"/>
      <c r="V209" s="7"/>
      <c r="W209" s="7"/>
      <c r="X209" s="7"/>
      <c r="Y209" s="7"/>
      <c r="Z209" s="7"/>
      <c r="AA209" s="28">
        <f t="shared" si="34"/>
        <v>207</v>
      </c>
      <c r="AB209" s="28">
        <f t="shared" ca="1" si="29"/>
        <v>20072</v>
      </c>
      <c r="AC209" s="28">
        <f t="shared" ca="1" si="30"/>
        <v>3</v>
      </c>
      <c r="AD209" s="29">
        <f t="shared" ca="1" si="31"/>
        <v>9000</v>
      </c>
      <c r="AE209" s="28" t="str">
        <f t="shared" ca="1" si="32"/>
        <v>副本72</v>
      </c>
      <c r="AF209" s="28">
        <f t="shared" si="33"/>
        <v>72</v>
      </c>
      <c r="AG209" s="28">
        <f>COUNTIF(AF$3:AF209,AF209)-1</f>
        <v>3</v>
      </c>
    </row>
    <row r="210" spans="1:33" x14ac:dyDescent="0.25">
      <c r="A210" s="27">
        <f ca="1">COUNTIF($F$3:F210,F210)+F210*$F$1</f>
        <v>110008</v>
      </c>
      <c r="B210" s="27" t="str">
        <f ca="1">E210 &amp; COUNTIF($F$3:F210,F210)</f>
        <v>银币十抽8</v>
      </c>
      <c r="C210" s="14">
        <f t="shared" si="35"/>
        <v>1</v>
      </c>
      <c r="D210" s="14">
        <f>IF(C210=0,"",SUM(C$3:C210))</f>
        <v>610</v>
      </c>
      <c r="E210" s="27" t="s">
        <v>315</v>
      </c>
      <c r="F210" s="27">
        <f ca="1">OFFSET(参数!$A$1,MATCH($E210,参数!$B$2:$B$16,0),)</f>
        <v>11</v>
      </c>
      <c r="G210" s="14">
        <v>68</v>
      </c>
      <c r="H210" s="14"/>
      <c r="I210" s="14"/>
      <c r="J210" s="14"/>
      <c r="K210" s="14"/>
      <c r="L210" s="14"/>
      <c r="M210" s="14"/>
      <c r="N210" s="14"/>
      <c r="O210" s="14"/>
      <c r="P210" s="14"/>
      <c r="Q210" s="7">
        <v>1</v>
      </c>
      <c r="R210" s="7"/>
      <c r="S210" s="7"/>
      <c r="T210" s="7"/>
      <c r="U210" s="7"/>
      <c r="V210" s="7"/>
      <c r="W210" s="7"/>
      <c r="X210" s="7"/>
      <c r="Y210" s="7"/>
      <c r="Z210" s="7"/>
      <c r="AA210" s="28">
        <f t="shared" si="34"/>
        <v>208</v>
      </c>
      <c r="AB210" s="28">
        <f t="shared" ca="1" si="29"/>
        <v>20073</v>
      </c>
      <c r="AC210" s="28">
        <f t="shared" ca="1" si="30"/>
        <v>1</v>
      </c>
      <c r="AD210" s="29">
        <f t="shared" ca="1" si="31"/>
        <v>10000</v>
      </c>
      <c r="AE210" s="28" t="str">
        <f t="shared" ca="1" si="32"/>
        <v>副本73</v>
      </c>
      <c r="AF210" s="28">
        <f t="shared" si="33"/>
        <v>73</v>
      </c>
      <c r="AG210" s="28">
        <f>COUNTIF(AF$3:AF210,AF210)-1</f>
        <v>0</v>
      </c>
    </row>
    <row r="211" spans="1:33" x14ac:dyDescent="0.25">
      <c r="A211" s="27">
        <f ca="1">COUNTIF($F$3:F211,F211)+F211*$F$1</f>
        <v>110009</v>
      </c>
      <c r="B211" s="27" t="str">
        <f ca="1">E211 &amp; COUNTIF($F$3:F211,F211)</f>
        <v>银币十抽9</v>
      </c>
      <c r="C211" s="14">
        <f t="shared" si="35"/>
        <v>1</v>
      </c>
      <c r="D211" s="14">
        <f>IF(C211=0,"",SUM(C$3:C211))</f>
        <v>611</v>
      </c>
      <c r="E211" s="27" t="s">
        <v>315</v>
      </c>
      <c r="F211" s="27">
        <f ca="1">OFFSET(参数!$A$1,MATCH($E211,参数!$B$2:$B$16,0),)</f>
        <v>11</v>
      </c>
      <c r="G211" s="14">
        <v>69</v>
      </c>
      <c r="H211" s="14"/>
      <c r="I211" s="14"/>
      <c r="J211" s="14"/>
      <c r="K211" s="14"/>
      <c r="L211" s="14"/>
      <c r="M211" s="14"/>
      <c r="N211" s="14"/>
      <c r="O211" s="14"/>
      <c r="P211" s="14"/>
      <c r="Q211" s="7">
        <v>1</v>
      </c>
      <c r="R211" s="7"/>
      <c r="S211" s="7"/>
      <c r="T211" s="7"/>
      <c r="U211" s="7"/>
      <c r="V211" s="7"/>
      <c r="W211" s="7"/>
      <c r="X211" s="7"/>
      <c r="Y211" s="7"/>
      <c r="Z211" s="7"/>
      <c r="AA211" s="28">
        <f t="shared" si="34"/>
        <v>209</v>
      </c>
      <c r="AB211" s="28">
        <f t="shared" ca="1" si="29"/>
        <v>20073</v>
      </c>
      <c r="AC211" s="28">
        <f t="shared" ca="1" si="30"/>
        <v>13</v>
      </c>
      <c r="AD211" s="29">
        <f t="shared" ca="1" si="31"/>
        <v>6000</v>
      </c>
      <c r="AE211" s="28" t="str">
        <f t="shared" ca="1" si="32"/>
        <v>副本73</v>
      </c>
      <c r="AF211" s="28">
        <f t="shared" si="33"/>
        <v>73</v>
      </c>
      <c r="AG211" s="28">
        <f>COUNTIF(AF$3:AF211,AF211)-1</f>
        <v>1</v>
      </c>
    </row>
    <row r="212" spans="1:33" x14ac:dyDescent="0.25">
      <c r="A212" s="27">
        <f ca="1">COUNTIF($F$3:F212,F212)+F212*$F$1</f>
        <v>110010</v>
      </c>
      <c r="B212" s="27" t="str">
        <f ca="1">E212 &amp; COUNTIF($F$3:F212,F212)</f>
        <v>银币十抽10</v>
      </c>
      <c r="C212" s="14">
        <f t="shared" si="35"/>
        <v>1</v>
      </c>
      <c r="D212" s="14">
        <f>IF(C212=0,"",SUM(C$3:C212))</f>
        <v>612</v>
      </c>
      <c r="E212" s="27" t="s">
        <v>315</v>
      </c>
      <c r="F212" s="27">
        <f ca="1">OFFSET(参数!$A$1,MATCH($E212,参数!$B$2:$B$16,0),)</f>
        <v>11</v>
      </c>
      <c r="G212" s="14">
        <v>70</v>
      </c>
      <c r="H212" s="14"/>
      <c r="I212" s="14"/>
      <c r="J212" s="14"/>
      <c r="K212" s="14"/>
      <c r="L212" s="14"/>
      <c r="M212" s="14"/>
      <c r="N212" s="14"/>
      <c r="O212" s="14"/>
      <c r="P212" s="14"/>
      <c r="Q212" s="7">
        <v>1</v>
      </c>
      <c r="R212" s="7"/>
      <c r="S212" s="7"/>
      <c r="T212" s="7"/>
      <c r="U212" s="7"/>
      <c r="V212" s="7"/>
      <c r="W212" s="7"/>
      <c r="X212" s="7"/>
      <c r="Y212" s="7"/>
      <c r="Z212" s="7"/>
      <c r="AA212" s="28">
        <f t="shared" si="34"/>
        <v>210</v>
      </c>
      <c r="AB212" s="28">
        <f t="shared" ca="1" si="29"/>
        <v>20073</v>
      </c>
      <c r="AC212" s="28">
        <f t="shared" ca="1" si="30"/>
        <v>7</v>
      </c>
      <c r="AD212" s="29">
        <f t="shared" ca="1" si="31"/>
        <v>8000</v>
      </c>
      <c r="AE212" s="28" t="str">
        <f t="shared" ca="1" si="32"/>
        <v>副本73</v>
      </c>
      <c r="AF212" s="28">
        <f t="shared" si="33"/>
        <v>73</v>
      </c>
      <c r="AG212" s="28">
        <f>COUNTIF(AF$3:AF212,AF212)-1</f>
        <v>2</v>
      </c>
    </row>
    <row r="213" spans="1:33" x14ac:dyDescent="0.25">
      <c r="A213" s="27">
        <f ca="1">COUNTIF($F$3:F213,F213)+F213*$F$1</f>
        <v>110011</v>
      </c>
      <c r="B213" s="27" t="str">
        <f ca="1">E213 &amp; COUNTIF($F$3:F213,F213)</f>
        <v>银币十抽11</v>
      </c>
      <c r="C213" s="14">
        <f t="shared" ref="C213:C226" si="36">COUNTA(G213:P213)</f>
        <v>1</v>
      </c>
      <c r="D213" s="14">
        <f>IF(C213=0,"",SUM(C$3:C213))</f>
        <v>613</v>
      </c>
      <c r="E213" s="27" t="s">
        <v>315</v>
      </c>
      <c r="F213" s="27">
        <f ca="1">OFFSET(参数!$A$1,MATCH($E213,参数!$B$2:$B$16,0),)</f>
        <v>11</v>
      </c>
      <c r="G213" s="14">
        <v>71</v>
      </c>
      <c r="H213" s="14"/>
      <c r="I213" s="14"/>
      <c r="J213" s="14"/>
      <c r="K213" s="14"/>
      <c r="L213" s="14"/>
      <c r="M213" s="14"/>
      <c r="N213" s="14"/>
      <c r="O213" s="14"/>
      <c r="P213" s="14"/>
      <c r="Q213" s="7">
        <v>1</v>
      </c>
      <c r="R213" s="7"/>
      <c r="S213" s="7"/>
      <c r="T213" s="7"/>
      <c r="U213" s="7"/>
      <c r="V213" s="7"/>
      <c r="W213" s="7"/>
      <c r="X213" s="7"/>
      <c r="Y213" s="7"/>
      <c r="Z213" s="7"/>
      <c r="AA213" s="28">
        <f t="shared" si="34"/>
        <v>211</v>
      </c>
      <c r="AB213" s="28">
        <f t="shared" ca="1" si="29"/>
        <v>20073</v>
      </c>
      <c r="AC213" s="28">
        <f t="shared" ca="1" si="30"/>
        <v>3</v>
      </c>
      <c r="AD213" s="29">
        <f t="shared" ca="1" si="31"/>
        <v>9000</v>
      </c>
      <c r="AE213" s="28" t="str">
        <f t="shared" ca="1" si="32"/>
        <v>副本73</v>
      </c>
      <c r="AF213" s="28">
        <f t="shared" si="33"/>
        <v>73</v>
      </c>
      <c r="AG213" s="28">
        <f>COUNTIF(AF$3:AF213,AF213)-1</f>
        <v>3</v>
      </c>
    </row>
    <row r="214" spans="1:33" x14ac:dyDescent="0.25">
      <c r="A214" s="27">
        <f ca="1">COUNTIF($F$3:F214,F214)+F214*$F$1</f>
        <v>110012</v>
      </c>
      <c r="B214" s="27" t="str">
        <f ca="1">E214 &amp; COUNTIF($F$3:F214,F214)</f>
        <v>银币十抽12</v>
      </c>
      <c r="C214" s="14">
        <f t="shared" si="36"/>
        <v>1</v>
      </c>
      <c r="D214" s="14">
        <f>IF(C214=0,"",SUM(C$3:C214))</f>
        <v>614</v>
      </c>
      <c r="E214" s="27" t="s">
        <v>315</v>
      </c>
      <c r="F214" s="27">
        <f ca="1">OFFSET(参数!$A$1,MATCH($E214,参数!$B$2:$B$16,0),)</f>
        <v>11</v>
      </c>
      <c r="G214" s="14">
        <v>84</v>
      </c>
      <c r="H214" s="14"/>
      <c r="I214" s="14"/>
      <c r="J214" s="14"/>
      <c r="K214" s="14"/>
      <c r="L214" s="14"/>
      <c r="M214" s="14"/>
      <c r="N214" s="14"/>
      <c r="O214" s="14"/>
      <c r="P214" s="14"/>
      <c r="Q214" s="7">
        <v>1</v>
      </c>
      <c r="R214" s="7"/>
      <c r="S214" s="7"/>
      <c r="T214" s="7"/>
      <c r="U214" s="7"/>
      <c r="V214" s="7"/>
      <c r="W214" s="7"/>
      <c r="X214" s="7"/>
      <c r="Y214" s="7"/>
      <c r="Z214" s="7"/>
      <c r="AA214" s="28">
        <f t="shared" si="34"/>
        <v>212</v>
      </c>
      <c r="AB214" s="28">
        <f t="shared" ca="1" si="29"/>
        <v>20074</v>
      </c>
      <c r="AC214" s="28">
        <f t="shared" ca="1" si="30"/>
        <v>1</v>
      </c>
      <c r="AD214" s="29">
        <f t="shared" ca="1" si="31"/>
        <v>10000</v>
      </c>
      <c r="AE214" s="28" t="str">
        <f t="shared" ca="1" si="32"/>
        <v>副本74</v>
      </c>
      <c r="AF214" s="28">
        <f t="shared" si="33"/>
        <v>74</v>
      </c>
      <c r="AG214" s="28">
        <f>COUNTIF(AF$3:AF214,AF214)-1</f>
        <v>0</v>
      </c>
    </row>
    <row r="215" spans="1:33" x14ac:dyDescent="0.25">
      <c r="A215" s="27">
        <f ca="1">COUNTIF($F$3:F215,F215)+F215*$F$1</f>
        <v>120001</v>
      </c>
      <c r="B215" s="27" t="str">
        <f ca="1">E215 &amp; COUNTIF($F$3:F215,F215)</f>
        <v>免费金币抽1</v>
      </c>
      <c r="C215" s="14">
        <f t="shared" si="36"/>
        <v>1</v>
      </c>
      <c r="D215" s="14">
        <f>IF(C215=0,"",SUM(C$3:C215))</f>
        <v>615</v>
      </c>
      <c r="E215" s="27" t="s">
        <v>361</v>
      </c>
      <c r="F215" s="27">
        <f ca="1">OFFSET(参数!$A$1,MATCH($E215,参数!$B$2:$B$16,0),)</f>
        <v>12</v>
      </c>
      <c r="G215" s="14">
        <v>72</v>
      </c>
      <c r="H215" s="14"/>
      <c r="I215" s="14"/>
      <c r="J215" s="14"/>
      <c r="K215" s="14"/>
      <c r="L215" s="14"/>
      <c r="M215" s="14"/>
      <c r="N215" s="14"/>
      <c r="O215" s="14"/>
      <c r="P215" s="14"/>
      <c r="Q215" s="7">
        <v>1</v>
      </c>
      <c r="R215" s="7"/>
      <c r="S215" s="7"/>
      <c r="T215" s="7"/>
      <c r="U215" s="7"/>
      <c r="V215" s="7"/>
      <c r="W215" s="7"/>
      <c r="X215" s="7"/>
      <c r="Y215" s="7"/>
      <c r="Z215" s="7"/>
      <c r="AA215" s="28">
        <f t="shared" si="34"/>
        <v>213</v>
      </c>
      <c r="AB215" s="28">
        <f t="shared" ca="1" si="29"/>
        <v>20074</v>
      </c>
      <c r="AC215" s="28">
        <f t="shared" ca="1" si="30"/>
        <v>13</v>
      </c>
      <c r="AD215" s="29">
        <f t="shared" ca="1" si="31"/>
        <v>6000</v>
      </c>
      <c r="AE215" s="28" t="str">
        <f t="shared" ca="1" si="32"/>
        <v>副本74</v>
      </c>
      <c r="AF215" s="28">
        <f t="shared" si="33"/>
        <v>74</v>
      </c>
      <c r="AG215" s="28">
        <f>COUNTIF(AF$3:AF215,AF215)-1</f>
        <v>1</v>
      </c>
    </row>
    <row r="216" spans="1:33" x14ac:dyDescent="0.25">
      <c r="A216" s="27">
        <f ca="1">COUNTIF($F$3:F216,F216)+F216*$F$1</f>
        <v>120002</v>
      </c>
      <c r="B216" s="27" t="str">
        <f ca="1">E216 &amp; COUNTIF($F$3:F216,F216)</f>
        <v>免费金币抽2</v>
      </c>
      <c r="C216" s="14">
        <f t="shared" si="36"/>
        <v>1</v>
      </c>
      <c r="D216" s="14">
        <f>IF(C216=0,"",SUM(C$3:C216))</f>
        <v>616</v>
      </c>
      <c r="E216" s="27" t="s">
        <v>361</v>
      </c>
      <c r="F216" s="27">
        <f ca="1">OFFSET(参数!$A$1,MATCH($E216,参数!$B$2:$B$16,0),)</f>
        <v>12</v>
      </c>
      <c r="G216" s="14">
        <v>73</v>
      </c>
      <c r="H216" s="14"/>
      <c r="I216" s="14"/>
      <c r="J216" s="14"/>
      <c r="K216" s="14"/>
      <c r="L216" s="14"/>
      <c r="M216" s="14"/>
      <c r="N216" s="14"/>
      <c r="O216" s="14"/>
      <c r="P216" s="14"/>
      <c r="Q216" s="7">
        <v>1</v>
      </c>
      <c r="R216" s="7"/>
      <c r="S216" s="7"/>
      <c r="T216" s="7"/>
      <c r="U216" s="7"/>
      <c r="V216" s="7"/>
      <c r="W216" s="7"/>
      <c r="X216" s="7"/>
      <c r="Y216" s="7"/>
      <c r="Z216" s="7"/>
      <c r="AA216" s="28">
        <f t="shared" si="34"/>
        <v>214</v>
      </c>
      <c r="AB216" s="28">
        <f t="shared" ca="1" si="29"/>
        <v>20074</v>
      </c>
      <c r="AC216" s="28">
        <f t="shared" ca="1" si="30"/>
        <v>7</v>
      </c>
      <c r="AD216" s="29">
        <f t="shared" ca="1" si="31"/>
        <v>8000</v>
      </c>
      <c r="AE216" s="28" t="str">
        <f t="shared" ca="1" si="32"/>
        <v>副本74</v>
      </c>
      <c r="AF216" s="28">
        <f t="shared" si="33"/>
        <v>74</v>
      </c>
      <c r="AG216" s="28">
        <f>COUNTIF(AF$3:AF216,AF216)-1</f>
        <v>2</v>
      </c>
    </row>
    <row r="217" spans="1:33" x14ac:dyDescent="0.25">
      <c r="A217" s="27">
        <f ca="1">COUNTIF($F$3:F217,F217)+F217*$F$1</f>
        <v>120003</v>
      </c>
      <c r="B217" s="27" t="str">
        <f ca="1">E217 &amp; COUNTIF($F$3:F217,F217)</f>
        <v>免费金币抽3</v>
      </c>
      <c r="C217" s="14">
        <f t="shared" si="36"/>
        <v>1</v>
      </c>
      <c r="D217" s="14">
        <f>IF(C217=0,"",SUM(C$3:C217))</f>
        <v>617</v>
      </c>
      <c r="E217" s="27" t="s">
        <v>361</v>
      </c>
      <c r="F217" s="27">
        <f ca="1">OFFSET(参数!$A$1,MATCH($E217,参数!$B$2:$B$16,0),)</f>
        <v>12</v>
      </c>
      <c r="G217" s="14">
        <v>74</v>
      </c>
      <c r="H217" s="14"/>
      <c r="I217" s="14"/>
      <c r="J217" s="14"/>
      <c r="K217" s="14"/>
      <c r="L217" s="14"/>
      <c r="M217" s="14"/>
      <c r="N217" s="14"/>
      <c r="O217" s="14"/>
      <c r="P217" s="14"/>
      <c r="Q217" s="7">
        <v>1</v>
      </c>
      <c r="R217" s="7"/>
      <c r="S217" s="7"/>
      <c r="T217" s="7"/>
      <c r="U217" s="7"/>
      <c r="V217" s="7"/>
      <c r="W217" s="7"/>
      <c r="X217" s="7"/>
      <c r="Y217" s="7"/>
      <c r="Z217" s="7"/>
      <c r="AA217" s="28">
        <f t="shared" si="34"/>
        <v>215</v>
      </c>
      <c r="AB217" s="28">
        <f t="shared" ca="1" si="29"/>
        <v>20074</v>
      </c>
      <c r="AC217" s="28">
        <f t="shared" ca="1" si="30"/>
        <v>3</v>
      </c>
      <c r="AD217" s="29">
        <f t="shared" ca="1" si="31"/>
        <v>9000</v>
      </c>
      <c r="AE217" s="28" t="str">
        <f t="shared" ca="1" si="32"/>
        <v>副本74</v>
      </c>
      <c r="AF217" s="28">
        <f t="shared" si="33"/>
        <v>74</v>
      </c>
      <c r="AG217" s="28">
        <f>COUNTIF(AF$3:AF217,AF217)-1</f>
        <v>3</v>
      </c>
    </row>
    <row r="218" spans="1:33" x14ac:dyDescent="0.25">
      <c r="A218" s="27">
        <f ca="1">COUNTIF($F$3:F218,F218)+F218*$F$1</f>
        <v>120004</v>
      </c>
      <c r="B218" s="27" t="str">
        <f ca="1">E218 &amp; COUNTIF($F$3:F218,F218)</f>
        <v>免费金币抽4</v>
      </c>
      <c r="C218" s="14">
        <f t="shared" si="36"/>
        <v>1</v>
      </c>
      <c r="D218" s="14">
        <f>IF(C218=0,"",SUM(C$3:C218))</f>
        <v>618</v>
      </c>
      <c r="E218" s="27" t="s">
        <v>361</v>
      </c>
      <c r="F218" s="27">
        <f ca="1">OFFSET(参数!$A$1,MATCH($E218,参数!$B$2:$B$16,0),)</f>
        <v>12</v>
      </c>
      <c r="G218" s="14">
        <v>75</v>
      </c>
      <c r="H218" s="14"/>
      <c r="I218" s="14"/>
      <c r="J218" s="14"/>
      <c r="K218" s="14"/>
      <c r="L218" s="14"/>
      <c r="M218" s="14"/>
      <c r="N218" s="14"/>
      <c r="O218" s="14"/>
      <c r="P218" s="14"/>
      <c r="Q218" s="7">
        <v>1</v>
      </c>
      <c r="R218" s="7"/>
      <c r="S218" s="7"/>
      <c r="T218" s="7"/>
      <c r="U218" s="7"/>
      <c r="V218" s="7"/>
      <c r="W218" s="7"/>
      <c r="X218" s="7"/>
      <c r="Y218" s="7"/>
      <c r="Z218" s="7"/>
      <c r="AA218" s="28">
        <f t="shared" si="34"/>
        <v>216</v>
      </c>
      <c r="AB218" s="28">
        <f t="shared" ca="1" si="29"/>
        <v>20075</v>
      </c>
      <c r="AC218" s="28">
        <f t="shared" ca="1" si="30"/>
        <v>1</v>
      </c>
      <c r="AD218" s="29">
        <f t="shared" ca="1" si="31"/>
        <v>10000</v>
      </c>
      <c r="AE218" s="28" t="str">
        <f t="shared" ca="1" si="32"/>
        <v>副本75</v>
      </c>
      <c r="AF218" s="28">
        <f t="shared" si="33"/>
        <v>75</v>
      </c>
      <c r="AG218" s="28">
        <f>COUNTIF(AF$3:AF218,AF218)-1</f>
        <v>0</v>
      </c>
    </row>
    <row r="219" spans="1:33" x14ac:dyDescent="0.25">
      <c r="A219" s="27">
        <f ca="1">COUNTIF($F$3:F219,F219)+F219*$F$1</f>
        <v>120005</v>
      </c>
      <c r="B219" s="27" t="str">
        <f ca="1">E219 &amp; COUNTIF($F$3:F219,F219)</f>
        <v>免费金币抽5</v>
      </c>
      <c r="C219" s="14">
        <f t="shared" si="36"/>
        <v>1</v>
      </c>
      <c r="D219" s="14">
        <f>IF(C219=0,"",SUM(C$3:C219))</f>
        <v>619</v>
      </c>
      <c r="E219" s="27" t="s">
        <v>361</v>
      </c>
      <c r="F219" s="27">
        <f ca="1">OFFSET(参数!$A$1,MATCH($E219,参数!$B$2:$B$16,0),)</f>
        <v>12</v>
      </c>
      <c r="G219" s="14">
        <v>76</v>
      </c>
      <c r="H219" s="14"/>
      <c r="I219" s="14"/>
      <c r="J219" s="14"/>
      <c r="K219" s="14"/>
      <c r="L219" s="14"/>
      <c r="M219" s="14"/>
      <c r="N219" s="14"/>
      <c r="O219" s="14"/>
      <c r="P219" s="14"/>
      <c r="Q219" s="7">
        <v>1</v>
      </c>
      <c r="R219" s="7"/>
      <c r="S219" s="7"/>
      <c r="T219" s="7"/>
      <c r="U219" s="7"/>
      <c r="V219" s="7"/>
      <c r="W219" s="7"/>
      <c r="X219" s="7"/>
      <c r="Y219" s="7"/>
      <c r="Z219" s="7"/>
      <c r="AA219" s="28">
        <f t="shared" si="34"/>
        <v>217</v>
      </c>
      <c r="AB219" s="28">
        <f t="shared" ca="1" si="29"/>
        <v>20076</v>
      </c>
      <c r="AC219" s="28">
        <f t="shared" ca="1" si="30"/>
        <v>1</v>
      </c>
      <c r="AD219" s="29">
        <f t="shared" ca="1" si="31"/>
        <v>10000</v>
      </c>
      <c r="AE219" s="28" t="str">
        <f t="shared" ca="1" si="32"/>
        <v>副本76</v>
      </c>
      <c r="AF219" s="28">
        <f t="shared" si="33"/>
        <v>76</v>
      </c>
      <c r="AG219" s="28">
        <f>COUNTIF(AF$3:AF219,AF219)-1</f>
        <v>0</v>
      </c>
    </row>
    <row r="220" spans="1:33" x14ac:dyDescent="0.25">
      <c r="A220" s="27">
        <f ca="1">COUNTIF($F$3:F220,F220)+F220*$F$1</f>
        <v>120006</v>
      </c>
      <c r="B220" s="27" t="str">
        <f ca="1">E220 &amp; COUNTIF($F$3:F220,F220)</f>
        <v>免费金币抽6</v>
      </c>
      <c r="C220" s="14">
        <f t="shared" si="36"/>
        <v>1</v>
      </c>
      <c r="D220" s="14">
        <f>IF(C220=0,"",SUM(C$3:C220))</f>
        <v>620</v>
      </c>
      <c r="E220" s="27" t="s">
        <v>361</v>
      </c>
      <c r="F220" s="27">
        <f ca="1">OFFSET(参数!$A$1,MATCH($E220,参数!$B$2:$B$16,0),)</f>
        <v>12</v>
      </c>
      <c r="G220" s="14">
        <v>77</v>
      </c>
      <c r="H220" s="14"/>
      <c r="I220" s="14"/>
      <c r="J220" s="14"/>
      <c r="K220" s="14"/>
      <c r="L220" s="14"/>
      <c r="M220" s="14"/>
      <c r="N220" s="14"/>
      <c r="O220" s="14"/>
      <c r="P220" s="14"/>
      <c r="Q220" s="7">
        <v>1</v>
      </c>
      <c r="R220" s="7"/>
      <c r="S220" s="7"/>
      <c r="T220" s="7"/>
      <c r="U220" s="7"/>
      <c r="V220" s="7"/>
      <c r="W220" s="7"/>
      <c r="X220" s="7"/>
      <c r="Y220" s="7"/>
      <c r="Z220" s="7"/>
      <c r="AA220" s="28">
        <f t="shared" si="34"/>
        <v>218</v>
      </c>
      <c r="AB220" s="28">
        <f t="shared" ca="1" si="29"/>
        <v>20076</v>
      </c>
      <c r="AC220" s="28">
        <f t="shared" ca="1" si="30"/>
        <v>11</v>
      </c>
      <c r="AD220" s="29">
        <f t="shared" ca="1" si="31"/>
        <v>6000</v>
      </c>
      <c r="AE220" s="28" t="str">
        <f t="shared" ca="1" si="32"/>
        <v>副本76</v>
      </c>
      <c r="AF220" s="28">
        <f t="shared" si="33"/>
        <v>76</v>
      </c>
      <c r="AG220" s="28">
        <f>COUNTIF(AF$3:AF220,AF220)-1</f>
        <v>1</v>
      </c>
    </row>
    <row r="221" spans="1:33" x14ac:dyDescent="0.25">
      <c r="A221" s="27">
        <f ca="1">COUNTIF($F$3:F221,F221)+F221*$F$1</f>
        <v>120007</v>
      </c>
      <c r="B221" s="27" t="str">
        <f ca="1">E221 &amp; COUNTIF($F$3:F221,F221)</f>
        <v>免费金币抽7</v>
      </c>
      <c r="C221" s="14">
        <f t="shared" si="36"/>
        <v>1</v>
      </c>
      <c r="D221" s="14">
        <f>IF(C221=0,"",SUM(C$3:C221))</f>
        <v>621</v>
      </c>
      <c r="E221" s="27" t="s">
        <v>361</v>
      </c>
      <c r="F221" s="27">
        <f ca="1">OFFSET(参数!$A$1,MATCH($E221,参数!$B$2:$B$16,0),)</f>
        <v>12</v>
      </c>
      <c r="G221" s="14">
        <v>78</v>
      </c>
      <c r="H221" s="14"/>
      <c r="I221" s="14"/>
      <c r="J221" s="14"/>
      <c r="K221" s="14"/>
      <c r="L221" s="14"/>
      <c r="M221" s="14"/>
      <c r="N221" s="14"/>
      <c r="O221" s="14"/>
      <c r="P221" s="14"/>
      <c r="Q221" s="7">
        <v>1</v>
      </c>
      <c r="R221" s="7"/>
      <c r="S221" s="7"/>
      <c r="T221" s="7"/>
      <c r="U221" s="7"/>
      <c r="V221" s="7"/>
      <c r="W221" s="7"/>
      <c r="X221" s="7"/>
      <c r="Y221" s="7"/>
      <c r="Z221" s="7"/>
      <c r="AA221" s="28">
        <f t="shared" si="34"/>
        <v>219</v>
      </c>
      <c r="AB221" s="28">
        <f t="shared" ca="1" si="29"/>
        <v>20076</v>
      </c>
      <c r="AC221" s="28">
        <f t="shared" ca="1" si="30"/>
        <v>5</v>
      </c>
      <c r="AD221" s="29">
        <f t="shared" ca="1" si="31"/>
        <v>8000</v>
      </c>
      <c r="AE221" s="28" t="str">
        <f t="shared" ca="1" si="32"/>
        <v>副本76</v>
      </c>
      <c r="AF221" s="28">
        <f t="shared" si="33"/>
        <v>76</v>
      </c>
      <c r="AG221" s="28">
        <f>COUNTIF(AF$3:AF221,AF221)-1</f>
        <v>2</v>
      </c>
    </row>
    <row r="222" spans="1:33" x14ac:dyDescent="0.25">
      <c r="A222" s="27">
        <f ca="1">COUNTIF($F$3:F222,F222)+F222*$F$1</f>
        <v>120008</v>
      </c>
      <c r="B222" s="27" t="str">
        <f ca="1">E222 &amp; COUNTIF($F$3:F222,F222)</f>
        <v>免费金币抽8</v>
      </c>
      <c r="C222" s="14">
        <f t="shared" si="36"/>
        <v>1</v>
      </c>
      <c r="D222" s="14">
        <f>IF(C222=0,"",SUM(C$3:C222))</f>
        <v>622</v>
      </c>
      <c r="E222" s="27" t="s">
        <v>361</v>
      </c>
      <c r="F222" s="27">
        <f ca="1">OFFSET(参数!$A$1,MATCH($E222,参数!$B$2:$B$16,0),)</f>
        <v>12</v>
      </c>
      <c r="G222" s="14">
        <v>79</v>
      </c>
      <c r="H222" s="14"/>
      <c r="I222" s="14"/>
      <c r="J222" s="14"/>
      <c r="K222" s="14"/>
      <c r="L222" s="14"/>
      <c r="M222" s="14"/>
      <c r="N222" s="14"/>
      <c r="O222" s="14"/>
      <c r="P222" s="14"/>
      <c r="Q222" s="7">
        <v>1</v>
      </c>
      <c r="R222" s="7"/>
      <c r="S222" s="7"/>
      <c r="T222" s="7"/>
      <c r="U222" s="7"/>
      <c r="V222" s="7"/>
      <c r="W222" s="7"/>
      <c r="X222" s="7"/>
      <c r="Y222" s="7"/>
      <c r="Z222" s="7"/>
      <c r="AA222" s="28">
        <f t="shared" si="34"/>
        <v>220</v>
      </c>
      <c r="AB222" s="28">
        <f t="shared" ca="1" si="29"/>
        <v>20076</v>
      </c>
      <c r="AC222" s="28">
        <f t="shared" ca="1" si="30"/>
        <v>4</v>
      </c>
      <c r="AD222" s="29">
        <f t="shared" ca="1" si="31"/>
        <v>9000</v>
      </c>
      <c r="AE222" s="28" t="str">
        <f t="shared" ca="1" si="32"/>
        <v>副本76</v>
      </c>
      <c r="AF222" s="28">
        <f t="shared" si="33"/>
        <v>76</v>
      </c>
      <c r="AG222" s="28">
        <f>COUNTIF(AF$3:AF222,AF222)-1</f>
        <v>3</v>
      </c>
    </row>
    <row r="223" spans="1:33" x14ac:dyDescent="0.25">
      <c r="A223" s="27">
        <f ca="1">COUNTIF($F$3:F223,F223)+F223*$F$1</f>
        <v>120009</v>
      </c>
      <c r="B223" s="27" t="str">
        <f ca="1">E223 &amp; COUNTIF($F$3:F223,F223)</f>
        <v>免费金币抽9</v>
      </c>
      <c r="C223" s="14">
        <f t="shared" si="36"/>
        <v>1</v>
      </c>
      <c r="D223" s="14">
        <f>IF(C223=0,"",SUM(C$3:C223))</f>
        <v>623</v>
      </c>
      <c r="E223" s="27" t="s">
        <v>361</v>
      </c>
      <c r="F223" s="27">
        <f ca="1">OFFSET(参数!$A$1,MATCH($E223,参数!$B$2:$B$16,0),)</f>
        <v>12</v>
      </c>
      <c r="G223" s="14">
        <v>80</v>
      </c>
      <c r="H223" s="14"/>
      <c r="I223" s="14"/>
      <c r="J223" s="14"/>
      <c r="K223" s="14"/>
      <c r="L223" s="14"/>
      <c r="M223" s="14"/>
      <c r="N223" s="14"/>
      <c r="O223" s="14"/>
      <c r="P223" s="14"/>
      <c r="Q223" s="7">
        <v>1</v>
      </c>
      <c r="R223" s="7"/>
      <c r="S223" s="7"/>
      <c r="T223" s="7"/>
      <c r="U223" s="7"/>
      <c r="V223" s="7"/>
      <c r="W223" s="7"/>
      <c r="X223" s="7"/>
      <c r="Y223" s="7"/>
      <c r="Z223" s="7"/>
      <c r="AA223" s="28">
        <f t="shared" si="34"/>
        <v>221</v>
      </c>
      <c r="AB223" s="28">
        <f t="shared" ca="1" si="29"/>
        <v>20077</v>
      </c>
      <c r="AC223" s="28">
        <f t="shared" ca="1" si="30"/>
        <v>1</v>
      </c>
      <c r="AD223" s="29">
        <f t="shared" ca="1" si="31"/>
        <v>10000</v>
      </c>
      <c r="AE223" s="28" t="str">
        <f t="shared" ca="1" si="32"/>
        <v>副本77</v>
      </c>
      <c r="AF223" s="28">
        <f t="shared" si="33"/>
        <v>77</v>
      </c>
      <c r="AG223" s="28">
        <f>COUNTIF(AF$3:AF223,AF223)-1</f>
        <v>0</v>
      </c>
    </row>
    <row r="224" spans="1:33" x14ac:dyDescent="0.25">
      <c r="A224" s="27">
        <f ca="1">COUNTIF($F$3:F224,F224)+F224*$F$1</f>
        <v>120010</v>
      </c>
      <c r="B224" s="27" t="str">
        <f ca="1">E224 &amp; COUNTIF($F$3:F224,F224)</f>
        <v>免费金币抽10</v>
      </c>
      <c r="C224" s="14">
        <f t="shared" si="36"/>
        <v>1</v>
      </c>
      <c r="D224" s="14">
        <f>IF(C224=0,"",SUM(C$3:C224))</f>
        <v>624</v>
      </c>
      <c r="E224" s="27" t="s">
        <v>361</v>
      </c>
      <c r="F224" s="27">
        <f ca="1">OFFSET(参数!$A$1,MATCH($E224,参数!$B$2:$B$16,0),)</f>
        <v>12</v>
      </c>
      <c r="G224" s="14">
        <v>81</v>
      </c>
      <c r="H224" s="14"/>
      <c r="I224" s="14"/>
      <c r="J224" s="14"/>
      <c r="K224" s="14"/>
      <c r="L224" s="14"/>
      <c r="M224" s="14"/>
      <c r="N224" s="14"/>
      <c r="O224" s="14"/>
      <c r="P224" s="14"/>
      <c r="Q224" s="7">
        <v>1</v>
      </c>
      <c r="R224" s="7"/>
      <c r="S224" s="7"/>
      <c r="T224" s="7"/>
      <c r="U224" s="7"/>
      <c r="V224" s="7"/>
      <c r="W224" s="7"/>
      <c r="X224" s="7"/>
      <c r="Y224" s="7"/>
      <c r="Z224" s="7"/>
      <c r="AA224" s="28">
        <f t="shared" si="34"/>
        <v>222</v>
      </c>
      <c r="AB224" s="28">
        <f t="shared" ca="1" si="29"/>
        <v>20077</v>
      </c>
      <c r="AC224" s="28">
        <f t="shared" ca="1" si="30"/>
        <v>11</v>
      </c>
      <c r="AD224" s="29">
        <f t="shared" ca="1" si="31"/>
        <v>6000</v>
      </c>
      <c r="AE224" s="28" t="str">
        <f t="shared" ca="1" si="32"/>
        <v>副本77</v>
      </c>
      <c r="AF224" s="28">
        <f t="shared" si="33"/>
        <v>77</v>
      </c>
      <c r="AG224" s="28">
        <f>COUNTIF(AF$3:AF224,AF224)-1</f>
        <v>1</v>
      </c>
    </row>
    <row r="225" spans="1:33" x14ac:dyDescent="0.25">
      <c r="A225" s="27">
        <f ca="1">COUNTIF($F$3:F225,F225)+F225*$F$1</f>
        <v>120011</v>
      </c>
      <c r="B225" s="27" t="str">
        <f ca="1">E225 &amp; COUNTIF($F$3:F225,F225)</f>
        <v>免费金币抽11</v>
      </c>
      <c r="C225" s="14">
        <f t="shared" si="36"/>
        <v>1</v>
      </c>
      <c r="D225" s="14">
        <f>IF(C225=0,"",SUM(C$3:C225))</f>
        <v>625</v>
      </c>
      <c r="E225" s="27" t="s">
        <v>361</v>
      </c>
      <c r="F225" s="27">
        <f ca="1">OFFSET(参数!$A$1,MATCH($E225,参数!$B$2:$B$16,0),)</f>
        <v>12</v>
      </c>
      <c r="G225" s="14">
        <v>82</v>
      </c>
      <c r="H225" s="14"/>
      <c r="I225" s="14"/>
      <c r="J225" s="14"/>
      <c r="K225" s="14"/>
      <c r="L225" s="14"/>
      <c r="M225" s="14"/>
      <c r="N225" s="14"/>
      <c r="O225" s="14"/>
      <c r="P225" s="14"/>
      <c r="Q225" s="7">
        <v>1</v>
      </c>
      <c r="R225" s="7"/>
      <c r="S225" s="7"/>
      <c r="T225" s="7"/>
      <c r="U225" s="7"/>
      <c r="V225" s="7"/>
      <c r="W225" s="7"/>
      <c r="X225" s="7"/>
      <c r="Y225" s="7"/>
      <c r="Z225" s="7"/>
      <c r="AA225" s="28">
        <f t="shared" si="34"/>
        <v>223</v>
      </c>
      <c r="AB225" s="28">
        <f t="shared" ca="1" si="29"/>
        <v>20077</v>
      </c>
      <c r="AC225" s="28">
        <f t="shared" ca="1" si="30"/>
        <v>5</v>
      </c>
      <c r="AD225" s="29">
        <f t="shared" ca="1" si="31"/>
        <v>8000</v>
      </c>
      <c r="AE225" s="28" t="str">
        <f t="shared" ca="1" si="32"/>
        <v>副本77</v>
      </c>
      <c r="AF225" s="28">
        <f t="shared" si="33"/>
        <v>77</v>
      </c>
      <c r="AG225" s="28">
        <f>COUNTIF(AF$3:AF225,AF225)-1</f>
        <v>2</v>
      </c>
    </row>
    <row r="226" spans="1:33" x14ac:dyDescent="0.25">
      <c r="A226" s="27">
        <f ca="1">COUNTIF($F$3:F226,F226)+F226*$F$1</f>
        <v>120012</v>
      </c>
      <c r="B226" s="27" t="str">
        <f ca="1">E226 &amp; COUNTIF($F$3:F226,F226)</f>
        <v>免费金币抽12</v>
      </c>
      <c r="C226" s="14">
        <f t="shared" si="36"/>
        <v>1</v>
      </c>
      <c r="D226" s="14">
        <f>IF(C226=0,"",SUM(C$3:C226))</f>
        <v>626</v>
      </c>
      <c r="E226" s="27" t="s">
        <v>361</v>
      </c>
      <c r="F226" s="27">
        <f ca="1">OFFSET(参数!$A$1,MATCH($E226,参数!$B$2:$B$16,0),)</f>
        <v>12</v>
      </c>
      <c r="G226" s="14">
        <v>83</v>
      </c>
      <c r="H226" s="14"/>
      <c r="I226" s="14"/>
      <c r="J226" s="14"/>
      <c r="K226" s="14"/>
      <c r="L226" s="14"/>
      <c r="M226" s="14"/>
      <c r="N226" s="14"/>
      <c r="O226" s="14"/>
      <c r="P226" s="14"/>
      <c r="Q226" s="7">
        <v>1</v>
      </c>
      <c r="R226" s="7"/>
      <c r="S226" s="7"/>
      <c r="T226" s="7"/>
      <c r="U226" s="7"/>
      <c r="V226" s="7"/>
      <c r="W226" s="7"/>
      <c r="X226" s="7"/>
      <c r="Y226" s="7"/>
      <c r="Z226" s="7"/>
      <c r="AA226" s="28">
        <f t="shared" si="34"/>
        <v>224</v>
      </c>
      <c r="AB226" s="28">
        <f t="shared" ca="1" si="29"/>
        <v>20077</v>
      </c>
      <c r="AC226" s="28">
        <f t="shared" ca="1" si="30"/>
        <v>4</v>
      </c>
      <c r="AD226" s="29">
        <f t="shared" ca="1" si="31"/>
        <v>9000</v>
      </c>
      <c r="AE226" s="28" t="str">
        <f t="shared" ca="1" si="32"/>
        <v>副本77</v>
      </c>
      <c r="AF226" s="28">
        <f t="shared" si="33"/>
        <v>77</v>
      </c>
      <c r="AG226" s="28">
        <f>COUNTIF(AF$3:AF226,AF226)-1</f>
        <v>3</v>
      </c>
    </row>
    <row r="227" spans="1:33" x14ac:dyDescent="0.25">
      <c r="A227" s="27">
        <f ca="1">COUNTIF($F$3:F227,F227)+F227*$F$1</f>
        <v>120013</v>
      </c>
      <c r="B227" s="27" t="str">
        <f ca="1">E227 &amp; COUNTIF($F$3:F227,F227)</f>
        <v>免费金币抽13</v>
      </c>
      <c r="C227" s="14">
        <f t="shared" ref="C227:C238" si="37">COUNTA(G227:P227)</f>
        <v>1</v>
      </c>
      <c r="D227" s="14">
        <f>IF(C227=0,"",SUM(C$3:C227))</f>
        <v>627</v>
      </c>
      <c r="E227" s="27" t="s">
        <v>361</v>
      </c>
      <c r="F227" s="27">
        <f ca="1">OFFSET(参数!$A$1,MATCH($E227,参数!$B$2:$B$16,0),)</f>
        <v>12</v>
      </c>
      <c r="G227" s="14">
        <v>84</v>
      </c>
      <c r="H227" s="14"/>
      <c r="I227" s="14"/>
      <c r="J227" s="14"/>
      <c r="K227" s="14"/>
      <c r="L227" s="14"/>
      <c r="M227" s="14"/>
      <c r="N227" s="14"/>
      <c r="O227" s="14"/>
      <c r="P227" s="14"/>
      <c r="Q227" s="7">
        <v>1</v>
      </c>
      <c r="R227" s="7"/>
      <c r="S227" s="7"/>
      <c r="T227" s="7"/>
      <c r="U227" s="7"/>
      <c r="V227" s="7"/>
      <c r="W227" s="7"/>
      <c r="X227" s="7"/>
      <c r="Y227" s="7"/>
      <c r="Z227" s="7"/>
      <c r="AA227" s="28">
        <f t="shared" si="34"/>
        <v>225</v>
      </c>
      <c r="AB227" s="28">
        <f t="shared" ca="1" si="29"/>
        <v>20078</v>
      </c>
      <c r="AC227" s="28">
        <f t="shared" ca="1" si="30"/>
        <v>1</v>
      </c>
      <c r="AD227" s="29">
        <f t="shared" ca="1" si="31"/>
        <v>10000</v>
      </c>
      <c r="AE227" s="28" t="str">
        <f t="shared" ca="1" si="32"/>
        <v>副本78</v>
      </c>
      <c r="AF227" s="28">
        <f t="shared" si="33"/>
        <v>78</v>
      </c>
      <c r="AG227" s="28">
        <f>COUNTIF(AF$3:AF227,AF227)-1</f>
        <v>0</v>
      </c>
    </row>
    <row r="228" spans="1:33" x14ac:dyDescent="0.25">
      <c r="A228" s="27">
        <f ca="1">COUNTIF($F$3:F228,F228)+F228*$F$1</f>
        <v>130001</v>
      </c>
      <c r="B228" s="27" t="str">
        <f ca="1">E228 &amp; COUNTIF($F$3:F228,F228)</f>
        <v>金币抽1</v>
      </c>
      <c r="C228" s="14">
        <f t="shared" si="37"/>
        <v>1</v>
      </c>
      <c r="D228" s="14">
        <f>IF(C228=0,"",SUM(C$3:C228))</f>
        <v>628</v>
      </c>
      <c r="E228" s="27" t="s">
        <v>370</v>
      </c>
      <c r="F228" s="27">
        <f ca="1">OFFSET(参数!$A$1,MATCH($E228,参数!$B$2:$B$16,0),)</f>
        <v>13</v>
      </c>
      <c r="G228" s="14">
        <v>72</v>
      </c>
      <c r="H228" s="14"/>
      <c r="I228" s="14"/>
      <c r="J228" s="14"/>
      <c r="K228" s="14"/>
      <c r="L228" s="14"/>
      <c r="M228" s="14"/>
      <c r="N228" s="14"/>
      <c r="O228" s="14"/>
      <c r="P228" s="14"/>
      <c r="Q228" s="7">
        <v>1</v>
      </c>
      <c r="R228" s="7"/>
      <c r="S228" s="7"/>
      <c r="T228" s="7"/>
      <c r="U228" s="7"/>
      <c r="V228" s="7"/>
      <c r="W228" s="7"/>
      <c r="X228" s="7"/>
      <c r="Y228" s="7"/>
      <c r="Z228" s="7"/>
      <c r="AA228" s="28">
        <f t="shared" si="34"/>
        <v>226</v>
      </c>
      <c r="AB228" s="28">
        <f t="shared" ca="1" si="29"/>
        <v>20078</v>
      </c>
      <c r="AC228" s="28">
        <f t="shared" ca="1" si="30"/>
        <v>11</v>
      </c>
      <c r="AD228" s="29">
        <f t="shared" ca="1" si="31"/>
        <v>6000</v>
      </c>
      <c r="AE228" s="28" t="str">
        <f t="shared" ca="1" si="32"/>
        <v>副本78</v>
      </c>
      <c r="AF228" s="28">
        <f t="shared" si="33"/>
        <v>78</v>
      </c>
      <c r="AG228" s="28">
        <f>COUNTIF(AF$3:AF228,AF228)-1</f>
        <v>1</v>
      </c>
    </row>
    <row r="229" spans="1:33" x14ac:dyDescent="0.25">
      <c r="A229" s="27">
        <f ca="1">COUNTIF($F$3:F229,F229)+F229*$F$1</f>
        <v>130002</v>
      </c>
      <c r="B229" s="27" t="str">
        <f ca="1">E229 &amp; COUNTIF($F$3:F229,F229)</f>
        <v>金币抽2</v>
      </c>
      <c r="C229" s="14">
        <f t="shared" si="37"/>
        <v>1</v>
      </c>
      <c r="D229" s="14">
        <f>IF(C229=0,"",SUM(C$3:C229))</f>
        <v>629</v>
      </c>
      <c r="E229" s="27" t="s">
        <v>370</v>
      </c>
      <c r="F229" s="27">
        <f ca="1">OFFSET(参数!$A$1,MATCH($E229,参数!$B$2:$B$16,0),)</f>
        <v>13</v>
      </c>
      <c r="G229" s="14">
        <v>73</v>
      </c>
      <c r="H229" s="14"/>
      <c r="I229" s="14"/>
      <c r="J229" s="14"/>
      <c r="K229" s="14"/>
      <c r="L229" s="14"/>
      <c r="M229" s="14"/>
      <c r="N229" s="14"/>
      <c r="O229" s="14"/>
      <c r="P229" s="14"/>
      <c r="Q229" s="7">
        <v>1</v>
      </c>
      <c r="R229" s="7"/>
      <c r="S229" s="7"/>
      <c r="T229" s="7"/>
      <c r="U229" s="7"/>
      <c r="V229" s="7"/>
      <c r="W229" s="7"/>
      <c r="X229" s="7"/>
      <c r="Y229" s="7"/>
      <c r="Z229" s="7"/>
      <c r="AA229" s="28">
        <f t="shared" si="34"/>
        <v>227</v>
      </c>
      <c r="AB229" s="28">
        <f t="shared" ca="1" si="29"/>
        <v>20078</v>
      </c>
      <c r="AC229" s="28">
        <f t="shared" ca="1" si="30"/>
        <v>5</v>
      </c>
      <c r="AD229" s="29">
        <f t="shared" ca="1" si="31"/>
        <v>8000</v>
      </c>
      <c r="AE229" s="28" t="str">
        <f t="shared" ca="1" si="32"/>
        <v>副本78</v>
      </c>
      <c r="AF229" s="28">
        <f t="shared" si="33"/>
        <v>78</v>
      </c>
      <c r="AG229" s="28">
        <f>COUNTIF(AF$3:AF229,AF229)-1</f>
        <v>2</v>
      </c>
    </row>
    <row r="230" spans="1:33" x14ac:dyDescent="0.25">
      <c r="A230" s="27">
        <f ca="1">COUNTIF($F$3:F230,F230)+F230*$F$1</f>
        <v>130003</v>
      </c>
      <c r="B230" s="27" t="str">
        <f ca="1">E230 &amp; COUNTIF($F$3:F230,F230)</f>
        <v>金币抽3</v>
      </c>
      <c r="C230" s="14">
        <f t="shared" si="37"/>
        <v>1</v>
      </c>
      <c r="D230" s="14">
        <f>IF(C230=0,"",SUM(C$3:C230))</f>
        <v>630</v>
      </c>
      <c r="E230" s="27" t="s">
        <v>370</v>
      </c>
      <c r="F230" s="27">
        <f ca="1">OFFSET(参数!$A$1,MATCH($E230,参数!$B$2:$B$16,0),)</f>
        <v>13</v>
      </c>
      <c r="G230" s="14">
        <v>74</v>
      </c>
      <c r="H230" s="14"/>
      <c r="I230" s="14"/>
      <c r="J230" s="14"/>
      <c r="K230" s="14"/>
      <c r="L230" s="14"/>
      <c r="M230" s="14"/>
      <c r="N230" s="14"/>
      <c r="O230" s="14"/>
      <c r="P230" s="14"/>
      <c r="Q230" s="7">
        <v>1</v>
      </c>
      <c r="R230" s="7"/>
      <c r="S230" s="7"/>
      <c r="T230" s="7"/>
      <c r="U230" s="7"/>
      <c r="V230" s="7"/>
      <c r="W230" s="7"/>
      <c r="X230" s="7"/>
      <c r="Y230" s="7"/>
      <c r="Z230" s="7"/>
      <c r="AA230" s="28">
        <f t="shared" si="34"/>
        <v>228</v>
      </c>
      <c r="AB230" s="28">
        <f t="shared" ca="1" si="29"/>
        <v>20078</v>
      </c>
      <c r="AC230" s="28">
        <f t="shared" ca="1" si="30"/>
        <v>4</v>
      </c>
      <c r="AD230" s="29">
        <f t="shared" ca="1" si="31"/>
        <v>9000</v>
      </c>
      <c r="AE230" s="28" t="str">
        <f t="shared" ca="1" si="32"/>
        <v>副本78</v>
      </c>
      <c r="AF230" s="28">
        <f t="shared" si="33"/>
        <v>78</v>
      </c>
      <c r="AG230" s="28">
        <f>COUNTIF(AF$3:AF230,AF230)-1</f>
        <v>3</v>
      </c>
    </row>
    <row r="231" spans="1:33" x14ac:dyDescent="0.25">
      <c r="A231" s="27">
        <f ca="1">COUNTIF($F$3:F231,F231)+F231*$F$1</f>
        <v>130004</v>
      </c>
      <c r="B231" s="27" t="str">
        <f ca="1">E231 &amp; COUNTIF($F$3:F231,F231)</f>
        <v>金币抽4</v>
      </c>
      <c r="C231" s="14">
        <f t="shared" si="37"/>
        <v>1</v>
      </c>
      <c r="D231" s="14">
        <f>IF(C231=0,"",SUM(C$3:C231))</f>
        <v>631</v>
      </c>
      <c r="E231" s="27" t="s">
        <v>370</v>
      </c>
      <c r="F231" s="27">
        <f ca="1">OFFSET(参数!$A$1,MATCH($E231,参数!$B$2:$B$16,0),)</f>
        <v>13</v>
      </c>
      <c r="G231" s="14">
        <v>75</v>
      </c>
      <c r="H231" s="14"/>
      <c r="I231" s="14"/>
      <c r="J231" s="14"/>
      <c r="K231" s="14"/>
      <c r="L231" s="14"/>
      <c r="M231" s="14"/>
      <c r="N231" s="14"/>
      <c r="O231" s="14"/>
      <c r="P231" s="14"/>
      <c r="Q231" s="7">
        <v>1</v>
      </c>
      <c r="R231" s="7"/>
      <c r="S231" s="7"/>
      <c r="T231" s="7"/>
      <c r="U231" s="7"/>
      <c r="V231" s="7"/>
      <c r="W231" s="7"/>
      <c r="X231" s="7"/>
      <c r="Y231" s="7"/>
      <c r="Z231" s="7"/>
      <c r="AA231" s="28">
        <f t="shared" si="34"/>
        <v>229</v>
      </c>
      <c r="AB231" s="28">
        <f t="shared" ca="1" si="29"/>
        <v>20079</v>
      </c>
      <c r="AC231" s="28">
        <f t="shared" ca="1" si="30"/>
        <v>1</v>
      </c>
      <c r="AD231" s="29">
        <f t="shared" ca="1" si="31"/>
        <v>10000</v>
      </c>
      <c r="AE231" s="28" t="str">
        <f t="shared" ca="1" si="32"/>
        <v>副本79</v>
      </c>
      <c r="AF231" s="28">
        <f t="shared" si="33"/>
        <v>79</v>
      </c>
      <c r="AG231" s="28">
        <f>COUNTIF(AF$3:AF231,AF231)-1</f>
        <v>0</v>
      </c>
    </row>
    <row r="232" spans="1:33" x14ac:dyDescent="0.25">
      <c r="A232" s="27">
        <f ca="1">COUNTIF($F$3:F232,F232)+F232*$F$1</f>
        <v>130005</v>
      </c>
      <c r="B232" s="27" t="str">
        <f ca="1">E232 &amp; COUNTIF($F$3:F232,F232)</f>
        <v>金币抽5</v>
      </c>
      <c r="C232" s="14">
        <f t="shared" si="37"/>
        <v>1</v>
      </c>
      <c r="D232" s="14">
        <f>IF(C232=0,"",SUM(C$3:C232))</f>
        <v>632</v>
      </c>
      <c r="E232" s="27" t="s">
        <v>370</v>
      </c>
      <c r="F232" s="27">
        <f ca="1">OFFSET(参数!$A$1,MATCH($E232,参数!$B$2:$B$16,0),)</f>
        <v>13</v>
      </c>
      <c r="G232" s="14">
        <v>76</v>
      </c>
      <c r="H232" s="14"/>
      <c r="I232" s="14"/>
      <c r="J232" s="14"/>
      <c r="K232" s="14"/>
      <c r="L232" s="14"/>
      <c r="M232" s="14"/>
      <c r="N232" s="14"/>
      <c r="O232" s="14"/>
      <c r="P232" s="14"/>
      <c r="Q232" s="7">
        <v>1</v>
      </c>
      <c r="R232" s="7"/>
      <c r="S232" s="7"/>
      <c r="T232" s="7"/>
      <c r="U232" s="7"/>
      <c r="V232" s="7"/>
      <c r="W232" s="7"/>
      <c r="X232" s="7"/>
      <c r="Y232" s="7"/>
      <c r="Z232" s="7"/>
      <c r="AA232" s="28">
        <f t="shared" si="34"/>
        <v>230</v>
      </c>
      <c r="AB232" s="28">
        <f t="shared" ca="1" si="29"/>
        <v>20079</v>
      </c>
      <c r="AC232" s="28">
        <f t="shared" ca="1" si="30"/>
        <v>12</v>
      </c>
      <c r="AD232" s="29">
        <f t="shared" ca="1" si="31"/>
        <v>6000</v>
      </c>
      <c r="AE232" s="28" t="str">
        <f t="shared" ca="1" si="32"/>
        <v>副本79</v>
      </c>
      <c r="AF232" s="28">
        <f t="shared" si="33"/>
        <v>79</v>
      </c>
      <c r="AG232" s="28">
        <f>COUNTIF(AF$3:AF232,AF232)-1</f>
        <v>1</v>
      </c>
    </row>
    <row r="233" spans="1:33" x14ac:dyDescent="0.25">
      <c r="A233" s="27">
        <f ca="1">COUNTIF($F$3:F233,F233)+F233*$F$1</f>
        <v>130006</v>
      </c>
      <c r="B233" s="27" t="str">
        <f ca="1">E233 &amp; COUNTIF($F$3:F233,F233)</f>
        <v>金币抽6</v>
      </c>
      <c r="C233" s="14">
        <f t="shared" si="37"/>
        <v>1</v>
      </c>
      <c r="D233" s="14">
        <f>IF(C233=0,"",SUM(C$3:C233))</f>
        <v>633</v>
      </c>
      <c r="E233" s="27" t="s">
        <v>370</v>
      </c>
      <c r="F233" s="27">
        <f ca="1">OFFSET(参数!$A$1,MATCH($E233,参数!$B$2:$B$16,0),)</f>
        <v>13</v>
      </c>
      <c r="G233" s="14">
        <v>77</v>
      </c>
      <c r="H233" s="14"/>
      <c r="I233" s="14"/>
      <c r="J233" s="14"/>
      <c r="K233" s="14"/>
      <c r="L233" s="14"/>
      <c r="M233" s="14"/>
      <c r="N233" s="14"/>
      <c r="O233" s="14"/>
      <c r="P233" s="14"/>
      <c r="Q233" s="7">
        <v>1</v>
      </c>
      <c r="R233" s="7"/>
      <c r="S233" s="7"/>
      <c r="T233" s="7"/>
      <c r="U233" s="7"/>
      <c r="V233" s="7"/>
      <c r="W233" s="7"/>
      <c r="X233" s="7"/>
      <c r="Y233" s="7"/>
      <c r="Z233" s="7"/>
      <c r="AA233" s="28">
        <f t="shared" si="34"/>
        <v>231</v>
      </c>
      <c r="AB233" s="28">
        <f t="shared" ca="1" si="29"/>
        <v>20079</v>
      </c>
      <c r="AC233" s="28">
        <f t="shared" ca="1" si="30"/>
        <v>7</v>
      </c>
      <c r="AD233" s="29">
        <f t="shared" ca="1" si="31"/>
        <v>8000</v>
      </c>
      <c r="AE233" s="28" t="str">
        <f t="shared" ca="1" si="32"/>
        <v>副本79</v>
      </c>
      <c r="AF233" s="28">
        <f t="shared" si="33"/>
        <v>79</v>
      </c>
      <c r="AG233" s="28">
        <f>COUNTIF(AF$3:AF233,AF233)-1</f>
        <v>2</v>
      </c>
    </row>
    <row r="234" spans="1:33" x14ac:dyDescent="0.25">
      <c r="A234" s="27">
        <f ca="1">COUNTIF($F$3:F234,F234)+F234*$F$1</f>
        <v>130007</v>
      </c>
      <c r="B234" s="27" t="str">
        <f ca="1">E234 &amp; COUNTIF($F$3:F234,F234)</f>
        <v>金币抽7</v>
      </c>
      <c r="C234" s="14">
        <f t="shared" si="37"/>
        <v>1</v>
      </c>
      <c r="D234" s="14">
        <f>IF(C234=0,"",SUM(C$3:C234))</f>
        <v>634</v>
      </c>
      <c r="E234" s="27" t="s">
        <v>370</v>
      </c>
      <c r="F234" s="27">
        <f ca="1">OFFSET(参数!$A$1,MATCH($E234,参数!$B$2:$B$16,0),)</f>
        <v>13</v>
      </c>
      <c r="G234" s="14">
        <v>78</v>
      </c>
      <c r="H234" s="14"/>
      <c r="I234" s="14"/>
      <c r="J234" s="14"/>
      <c r="K234" s="14"/>
      <c r="L234" s="14"/>
      <c r="M234" s="14"/>
      <c r="N234" s="14"/>
      <c r="O234" s="14"/>
      <c r="P234" s="14"/>
      <c r="Q234" s="7">
        <v>1</v>
      </c>
      <c r="R234" s="7"/>
      <c r="S234" s="7"/>
      <c r="T234" s="7"/>
      <c r="U234" s="7"/>
      <c r="V234" s="7"/>
      <c r="W234" s="7"/>
      <c r="X234" s="7"/>
      <c r="Y234" s="7"/>
      <c r="Z234" s="7"/>
      <c r="AA234" s="28">
        <f t="shared" si="34"/>
        <v>232</v>
      </c>
      <c r="AB234" s="28">
        <f t="shared" ca="1" si="29"/>
        <v>20079</v>
      </c>
      <c r="AC234" s="28">
        <f t="shared" ca="1" si="30"/>
        <v>2</v>
      </c>
      <c r="AD234" s="29">
        <f t="shared" ca="1" si="31"/>
        <v>9000</v>
      </c>
      <c r="AE234" s="28" t="str">
        <f t="shared" ca="1" si="32"/>
        <v>副本79</v>
      </c>
      <c r="AF234" s="28">
        <f t="shared" si="33"/>
        <v>79</v>
      </c>
      <c r="AG234" s="28">
        <f>COUNTIF(AF$3:AF234,AF234)-1</f>
        <v>3</v>
      </c>
    </row>
    <row r="235" spans="1:33" x14ac:dyDescent="0.25">
      <c r="A235" s="27">
        <f ca="1">COUNTIF($F$3:F235,F235)+F235*$F$1</f>
        <v>130008</v>
      </c>
      <c r="B235" s="27" t="str">
        <f ca="1">E235 &amp; COUNTIF($F$3:F235,F235)</f>
        <v>金币抽8</v>
      </c>
      <c r="C235" s="14">
        <f t="shared" si="37"/>
        <v>1</v>
      </c>
      <c r="D235" s="14">
        <f>IF(C235=0,"",SUM(C$3:C235))</f>
        <v>635</v>
      </c>
      <c r="E235" s="27" t="s">
        <v>370</v>
      </c>
      <c r="F235" s="27">
        <f ca="1">OFFSET(参数!$A$1,MATCH($E235,参数!$B$2:$B$16,0),)</f>
        <v>13</v>
      </c>
      <c r="G235" s="14">
        <v>79</v>
      </c>
      <c r="H235" s="14"/>
      <c r="I235" s="14"/>
      <c r="J235" s="14"/>
      <c r="K235" s="14"/>
      <c r="L235" s="14"/>
      <c r="M235" s="14"/>
      <c r="N235" s="14"/>
      <c r="O235" s="14"/>
      <c r="P235" s="14"/>
      <c r="Q235" s="7">
        <v>1</v>
      </c>
      <c r="R235" s="7"/>
      <c r="S235" s="7"/>
      <c r="T235" s="7"/>
      <c r="U235" s="7"/>
      <c r="V235" s="7"/>
      <c r="W235" s="7"/>
      <c r="X235" s="7"/>
      <c r="Y235" s="7"/>
      <c r="Z235" s="7"/>
      <c r="AA235" s="28">
        <f t="shared" si="34"/>
        <v>233</v>
      </c>
      <c r="AB235" s="28">
        <f t="shared" ca="1" si="29"/>
        <v>20080</v>
      </c>
      <c r="AC235" s="28">
        <f t="shared" ca="1" si="30"/>
        <v>1</v>
      </c>
      <c r="AD235" s="29">
        <f t="shared" ca="1" si="31"/>
        <v>10000</v>
      </c>
      <c r="AE235" s="28" t="str">
        <f t="shared" ca="1" si="32"/>
        <v>副本80</v>
      </c>
      <c r="AF235" s="28">
        <f t="shared" si="33"/>
        <v>80</v>
      </c>
      <c r="AG235" s="28">
        <f>COUNTIF(AF$3:AF235,AF235)-1</f>
        <v>0</v>
      </c>
    </row>
    <row r="236" spans="1:33" x14ac:dyDescent="0.25">
      <c r="A236" s="27">
        <f ca="1">COUNTIF($F$3:F236,F236)+F236*$F$1</f>
        <v>130009</v>
      </c>
      <c r="B236" s="27" t="str">
        <f ca="1">E236 &amp; COUNTIF($F$3:F236,F236)</f>
        <v>金币抽9</v>
      </c>
      <c r="C236" s="14">
        <f t="shared" si="37"/>
        <v>1</v>
      </c>
      <c r="D236" s="14">
        <f>IF(C236=0,"",SUM(C$3:C236))</f>
        <v>636</v>
      </c>
      <c r="E236" s="27" t="s">
        <v>370</v>
      </c>
      <c r="F236" s="27">
        <f ca="1">OFFSET(参数!$A$1,MATCH($E236,参数!$B$2:$B$16,0),)</f>
        <v>13</v>
      </c>
      <c r="G236" s="14">
        <v>80</v>
      </c>
      <c r="H236" s="14"/>
      <c r="I236" s="14"/>
      <c r="J236" s="14"/>
      <c r="K236" s="14"/>
      <c r="L236" s="14"/>
      <c r="M236" s="14"/>
      <c r="N236" s="14"/>
      <c r="O236" s="14"/>
      <c r="P236" s="14"/>
      <c r="Q236" s="7">
        <v>1</v>
      </c>
      <c r="R236" s="7"/>
      <c r="S236" s="7"/>
      <c r="T236" s="7"/>
      <c r="U236" s="7"/>
      <c r="V236" s="7"/>
      <c r="W236" s="7"/>
      <c r="X236" s="7"/>
      <c r="Y236" s="7"/>
      <c r="Z236" s="7"/>
      <c r="AA236" s="28">
        <f t="shared" si="34"/>
        <v>234</v>
      </c>
      <c r="AB236" s="28">
        <f t="shared" ca="1" si="29"/>
        <v>20080</v>
      </c>
      <c r="AC236" s="28">
        <f t="shared" ca="1" si="30"/>
        <v>12</v>
      </c>
      <c r="AD236" s="29">
        <f t="shared" ca="1" si="31"/>
        <v>6000</v>
      </c>
      <c r="AE236" s="28" t="str">
        <f t="shared" ca="1" si="32"/>
        <v>副本80</v>
      </c>
      <c r="AF236" s="28">
        <f t="shared" si="33"/>
        <v>80</v>
      </c>
      <c r="AG236" s="28">
        <f>COUNTIF(AF$3:AF236,AF236)-1</f>
        <v>1</v>
      </c>
    </row>
    <row r="237" spans="1:33" x14ac:dyDescent="0.25">
      <c r="A237" s="27">
        <f ca="1">COUNTIF($F$3:F237,F237)+F237*$F$1</f>
        <v>130010</v>
      </c>
      <c r="B237" s="27" t="str">
        <f ca="1">E237 &amp; COUNTIF($F$3:F237,F237)</f>
        <v>金币抽10</v>
      </c>
      <c r="C237" s="14">
        <f t="shared" si="37"/>
        <v>1</v>
      </c>
      <c r="D237" s="14">
        <f>IF(C237=0,"",SUM(C$3:C237))</f>
        <v>637</v>
      </c>
      <c r="E237" s="27" t="s">
        <v>370</v>
      </c>
      <c r="F237" s="27">
        <f ca="1">OFFSET(参数!$A$1,MATCH($E237,参数!$B$2:$B$16,0),)</f>
        <v>13</v>
      </c>
      <c r="G237" s="14">
        <v>81</v>
      </c>
      <c r="H237" s="14"/>
      <c r="I237" s="14"/>
      <c r="J237" s="14"/>
      <c r="K237" s="14"/>
      <c r="L237" s="14"/>
      <c r="M237" s="14"/>
      <c r="N237" s="14"/>
      <c r="O237" s="14"/>
      <c r="P237" s="14"/>
      <c r="Q237" s="7">
        <v>1</v>
      </c>
      <c r="R237" s="7"/>
      <c r="S237" s="7"/>
      <c r="T237" s="7"/>
      <c r="U237" s="7"/>
      <c r="V237" s="7"/>
      <c r="W237" s="7"/>
      <c r="X237" s="7"/>
      <c r="Y237" s="7"/>
      <c r="Z237" s="7"/>
      <c r="AA237" s="28">
        <f t="shared" si="34"/>
        <v>235</v>
      </c>
      <c r="AB237" s="28">
        <f t="shared" ca="1" si="29"/>
        <v>20080</v>
      </c>
      <c r="AC237" s="28">
        <f t="shared" ca="1" si="30"/>
        <v>7</v>
      </c>
      <c r="AD237" s="29">
        <f t="shared" ca="1" si="31"/>
        <v>8000</v>
      </c>
      <c r="AE237" s="28" t="str">
        <f t="shared" ca="1" si="32"/>
        <v>副本80</v>
      </c>
      <c r="AF237" s="28">
        <f t="shared" si="33"/>
        <v>80</v>
      </c>
      <c r="AG237" s="28">
        <f>COUNTIF(AF$3:AF237,AF237)-1</f>
        <v>2</v>
      </c>
    </row>
    <row r="238" spans="1:33" x14ac:dyDescent="0.25">
      <c r="A238" s="27">
        <f ca="1">COUNTIF($F$3:F238,F238)+F238*$F$1</f>
        <v>130011</v>
      </c>
      <c r="B238" s="27" t="str">
        <f ca="1">E238 &amp; COUNTIF($F$3:F238,F238)</f>
        <v>金币抽11</v>
      </c>
      <c r="C238" s="14">
        <f t="shared" si="37"/>
        <v>1</v>
      </c>
      <c r="D238" s="14">
        <f>IF(C238=0,"",SUM(C$3:C238))</f>
        <v>638</v>
      </c>
      <c r="E238" s="27" t="s">
        <v>370</v>
      </c>
      <c r="F238" s="27">
        <f ca="1">OFFSET(参数!$A$1,MATCH($E238,参数!$B$2:$B$16,0),)</f>
        <v>13</v>
      </c>
      <c r="G238" s="14">
        <v>82</v>
      </c>
      <c r="H238" s="14"/>
      <c r="I238" s="14"/>
      <c r="J238" s="14"/>
      <c r="K238" s="14"/>
      <c r="L238" s="14"/>
      <c r="M238" s="14"/>
      <c r="N238" s="14"/>
      <c r="O238" s="14"/>
      <c r="P238" s="14"/>
      <c r="Q238" s="7">
        <v>1</v>
      </c>
      <c r="R238" s="7"/>
      <c r="S238" s="7"/>
      <c r="T238" s="7"/>
      <c r="U238" s="7"/>
      <c r="V238" s="7"/>
      <c r="W238" s="7"/>
      <c r="X238" s="7"/>
      <c r="Y238" s="7"/>
      <c r="Z238" s="7"/>
      <c r="AA238" s="28">
        <f t="shared" si="34"/>
        <v>236</v>
      </c>
      <c r="AB238" s="28">
        <f t="shared" ca="1" si="29"/>
        <v>20080</v>
      </c>
      <c r="AC238" s="28">
        <f t="shared" ca="1" si="30"/>
        <v>2</v>
      </c>
      <c r="AD238" s="29">
        <f t="shared" ca="1" si="31"/>
        <v>9000</v>
      </c>
      <c r="AE238" s="28" t="str">
        <f t="shared" ca="1" si="32"/>
        <v>副本80</v>
      </c>
      <c r="AF238" s="28">
        <f t="shared" si="33"/>
        <v>80</v>
      </c>
      <c r="AG238" s="28">
        <f>COUNTIF(AF$3:AF238,AF238)-1</f>
        <v>3</v>
      </c>
    </row>
    <row r="239" spans="1:33" x14ac:dyDescent="0.25">
      <c r="A239" s="27">
        <f ca="1">COUNTIF($F$3:F239,F239)+F239*$F$1</f>
        <v>130012</v>
      </c>
      <c r="B239" s="27" t="str">
        <f ca="1">E239 &amp; COUNTIF($F$3:F239,F239)</f>
        <v>金币抽12</v>
      </c>
      <c r="C239" s="14">
        <f t="shared" ref="C239:C262" si="38">COUNTA(G239:P239)</f>
        <v>1</v>
      </c>
      <c r="D239" s="14">
        <f>IF(C239=0,"",SUM(C$3:C239))</f>
        <v>639</v>
      </c>
      <c r="E239" s="27" t="s">
        <v>370</v>
      </c>
      <c r="F239" s="27">
        <f ca="1">OFFSET(参数!$A$1,MATCH($E239,参数!$B$2:$B$16,0),)</f>
        <v>13</v>
      </c>
      <c r="G239" s="14">
        <v>83</v>
      </c>
      <c r="H239" s="14"/>
      <c r="I239" s="14"/>
      <c r="J239" s="14"/>
      <c r="K239" s="14"/>
      <c r="L239" s="14"/>
      <c r="M239" s="14"/>
      <c r="N239" s="14"/>
      <c r="O239" s="14"/>
      <c r="P239" s="14"/>
      <c r="Q239" s="7">
        <v>1</v>
      </c>
      <c r="R239" s="7"/>
      <c r="S239" s="7"/>
      <c r="T239" s="7"/>
      <c r="U239" s="7"/>
      <c r="V239" s="7"/>
      <c r="W239" s="7"/>
      <c r="X239" s="7"/>
      <c r="Y239" s="7"/>
      <c r="Z239" s="7"/>
      <c r="AA239" s="28">
        <f t="shared" si="34"/>
        <v>237</v>
      </c>
      <c r="AB239" s="28">
        <f t="shared" ca="1" si="29"/>
        <v>20081</v>
      </c>
      <c r="AC239" s="28">
        <f t="shared" ca="1" si="30"/>
        <v>1</v>
      </c>
      <c r="AD239" s="29">
        <f t="shared" ca="1" si="31"/>
        <v>10000</v>
      </c>
      <c r="AE239" s="28" t="str">
        <f t="shared" ca="1" si="32"/>
        <v>副本81</v>
      </c>
      <c r="AF239" s="28">
        <f t="shared" si="33"/>
        <v>81</v>
      </c>
      <c r="AG239" s="28">
        <f>COUNTIF(AF$3:AF239,AF239)-1</f>
        <v>0</v>
      </c>
    </row>
    <row r="240" spans="1:33" x14ac:dyDescent="0.25">
      <c r="A240" s="27">
        <f ca="1">COUNTIF($F$3:F240,F240)+F240*$F$1</f>
        <v>130013</v>
      </c>
      <c r="B240" s="27" t="str">
        <f ca="1">E240 &amp; COUNTIF($F$3:F240,F240)</f>
        <v>金币抽13</v>
      </c>
      <c r="C240" s="14">
        <f t="shared" si="38"/>
        <v>1</v>
      </c>
      <c r="D240" s="14">
        <f>IF(C240=0,"",SUM(C$3:C240))</f>
        <v>640</v>
      </c>
      <c r="E240" s="27" t="s">
        <v>370</v>
      </c>
      <c r="F240" s="27">
        <f ca="1">OFFSET(参数!$A$1,MATCH($E240,参数!$B$2:$B$16,0),)</f>
        <v>13</v>
      </c>
      <c r="G240" s="14">
        <v>84</v>
      </c>
      <c r="H240" s="14"/>
      <c r="I240" s="14"/>
      <c r="J240" s="14"/>
      <c r="K240" s="14"/>
      <c r="L240" s="14"/>
      <c r="M240" s="14"/>
      <c r="N240" s="14"/>
      <c r="O240" s="14"/>
      <c r="P240" s="14"/>
      <c r="Q240" s="7">
        <v>1</v>
      </c>
      <c r="R240" s="7"/>
      <c r="S240" s="7"/>
      <c r="T240" s="7"/>
      <c r="U240" s="7"/>
      <c r="V240" s="7"/>
      <c r="W240" s="7"/>
      <c r="X240" s="7"/>
      <c r="Y240" s="7"/>
      <c r="Z240" s="7"/>
      <c r="AA240" s="28">
        <f t="shared" si="34"/>
        <v>238</v>
      </c>
      <c r="AB240" s="28">
        <f t="shared" ca="1" si="29"/>
        <v>20081</v>
      </c>
      <c r="AC240" s="28">
        <f t="shared" ca="1" si="30"/>
        <v>12</v>
      </c>
      <c r="AD240" s="29">
        <f t="shared" ca="1" si="31"/>
        <v>6000</v>
      </c>
      <c r="AE240" s="28" t="str">
        <f t="shared" ca="1" si="32"/>
        <v>副本81</v>
      </c>
      <c r="AF240" s="28">
        <f t="shared" si="33"/>
        <v>81</v>
      </c>
      <c r="AG240" s="28">
        <f>COUNTIF(AF$3:AF240,AF240)-1</f>
        <v>1</v>
      </c>
    </row>
    <row r="241" spans="1:33" x14ac:dyDescent="0.25">
      <c r="A241" s="27">
        <f ca="1">COUNTIF($F$3:F241,F241)+F241*$F$1</f>
        <v>140001</v>
      </c>
      <c r="B241" s="27" t="str">
        <f ca="1">E241 &amp; COUNTIF($F$3:F241,F241)</f>
        <v>金币十抽1</v>
      </c>
      <c r="C241" s="14">
        <f t="shared" si="38"/>
        <v>1</v>
      </c>
      <c r="D241" s="14">
        <f>IF(C241=0,"",SUM(C$3:C241))</f>
        <v>641</v>
      </c>
      <c r="E241" s="27" t="s">
        <v>371</v>
      </c>
      <c r="F241" s="27">
        <f ca="1">OFFSET(参数!$A$1,MATCH($E241,参数!$B$2:$B$16,0),)</f>
        <v>14</v>
      </c>
      <c r="G241" s="14">
        <v>72</v>
      </c>
      <c r="H241" s="14"/>
      <c r="I241" s="14"/>
      <c r="J241" s="14"/>
      <c r="K241" s="14"/>
      <c r="L241" s="14"/>
      <c r="M241" s="14"/>
      <c r="N241" s="14"/>
      <c r="O241" s="14"/>
      <c r="P241" s="14"/>
      <c r="Q241" s="7">
        <v>1</v>
      </c>
      <c r="R241" s="7"/>
      <c r="S241" s="7"/>
      <c r="T241" s="7"/>
      <c r="U241" s="7"/>
      <c r="V241" s="7"/>
      <c r="W241" s="7"/>
      <c r="X241" s="7"/>
      <c r="Y241" s="7"/>
      <c r="Z241" s="7"/>
      <c r="AA241" s="28">
        <f t="shared" si="34"/>
        <v>239</v>
      </c>
      <c r="AB241" s="28">
        <f t="shared" ca="1" si="29"/>
        <v>20081</v>
      </c>
      <c r="AC241" s="28">
        <f t="shared" ca="1" si="30"/>
        <v>7</v>
      </c>
      <c r="AD241" s="29">
        <f t="shared" ca="1" si="31"/>
        <v>8000</v>
      </c>
      <c r="AE241" s="28" t="str">
        <f t="shared" ca="1" si="32"/>
        <v>副本81</v>
      </c>
      <c r="AF241" s="28">
        <f t="shared" si="33"/>
        <v>81</v>
      </c>
      <c r="AG241" s="28">
        <f>COUNTIF(AF$3:AF241,AF241)-1</f>
        <v>2</v>
      </c>
    </row>
    <row r="242" spans="1:33" x14ac:dyDescent="0.25">
      <c r="A242" s="27">
        <f ca="1">COUNTIF($F$3:F242,F242)+F242*$F$1</f>
        <v>140002</v>
      </c>
      <c r="B242" s="27" t="str">
        <f ca="1">E242 &amp; COUNTIF($F$3:F242,F242)</f>
        <v>金币十抽2</v>
      </c>
      <c r="C242" s="14">
        <f t="shared" si="38"/>
        <v>1</v>
      </c>
      <c r="D242" s="14">
        <f>IF(C242=0,"",SUM(C$3:C242))</f>
        <v>642</v>
      </c>
      <c r="E242" s="27" t="s">
        <v>371</v>
      </c>
      <c r="F242" s="27">
        <f ca="1">OFFSET(参数!$A$1,MATCH($E242,参数!$B$2:$B$16,0),)</f>
        <v>14</v>
      </c>
      <c r="G242" s="14">
        <v>73</v>
      </c>
      <c r="H242" s="14"/>
      <c r="I242" s="14"/>
      <c r="J242" s="14"/>
      <c r="K242" s="14"/>
      <c r="L242" s="14"/>
      <c r="M242" s="14"/>
      <c r="N242" s="14"/>
      <c r="O242" s="14"/>
      <c r="P242" s="14"/>
      <c r="Q242" s="7">
        <v>1</v>
      </c>
      <c r="R242" s="7"/>
      <c r="S242" s="7"/>
      <c r="T242" s="7"/>
      <c r="U242" s="7"/>
      <c r="V242" s="7"/>
      <c r="W242" s="7"/>
      <c r="X242" s="7"/>
      <c r="Y242" s="7"/>
      <c r="Z242" s="7"/>
      <c r="AA242" s="28">
        <f t="shared" si="34"/>
        <v>240</v>
      </c>
      <c r="AB242" s="28">
        <f t="shared" ca="1" si="29"/>
        <v>20081</v>
      </c>
      <c r="AC242" s="28">
        <f t="shared" ca="1" si="30"/>
        <v>2</v>
      </c>
      <c r="AD242" s="29">
        <f t="shared" ca="1" si="31"/>
        <v>9000</v>
      </c>
      <c r="AE242" s="28" t="str">
        <f t="shared" ca="1" si="32"/>
        <v>副本81</v>
      </c>
      <c r="AF242" s="28">
        <f t="shared" si="33"/>
        <v>81</v>
      </c>
      <c r="AG242" s="28">
        <f>COUNTIF(AF$3:AF242,AF242)-1</f>
        <v>3</v>
      </c>
    </row>
    <row r="243" spans="1:33" x14ac:dyDescent="0.25">
      <c r="A243" s="27">
        <f ca="1">COUNTIF($F$3:F243,F243)+F243*$F$1</f>
        <v>140003</v>
      </c>
      <c r="B243" s="27" t="str">
        <f ca="1">E243 &amp; COUNTIF($F$3:F243,F243)</f>
        <v>金币十抽3</v>
      </c>
      <c r="C243" s="14">
        <f t="shared" si="38"/>
        <v>1</v>
      </c>
      <c r="D243" s="14">
        <f>IF(C243=0,"",SUM(C$3:C243))</f>
        <v>643</v>
      </c>
      <c r="E243" s="27" t="s">
        <v>371</v>
      </c>
      <c r="F243" s="27">
        <f ca="1">OFFSET(参数!$A$1,MATCH($E243,参数!$B$2:$B$16,0),)</f>
        <v>14</v>
      </c>
      <c r="G243" s="14">
        <v>74</v>
      </c>
      <c r="H243" s="14"/>
      <c r="I243" s="14"/>
      <c r="J243" s="14"/>
      <c r="K243" s="14"/>
      <c r="L243" s="14"/>
      <c r="M243" s="14"/>
      <c r="N243" s="14"/>
      <c r="O243" s="14"/>
      <c r="P243" s="14"/>
      <c r="Q243" s="7">
        <v>1</v>
      </c>
      <c r="R243" s="7"/>
      <c r="S243" s="7"/>
      <c r="T243" s="7"/>
      <c r="U243" s="7"/>
      <c r="V243" s="7"/>
      <c r="W243" s="7"/>
      <c r="X243" s="7"/>
      <c r="Y243" s="7"/>
      <c r="Z243" s="7"/>
      <c r="AA243" s="28">
        <f t="shared" si="34"/>
        <v>241</v>
      </c>
      <c r="AB243" s="28">
        <f t="shared" ca="1" si="29"/>
        <v>20082</v>
      </c>
      <c r="AC243" s="28">
        <f t="shared" ca="1" si="30"/>
        <v>1</v>
      </c>
      <c r="AD243" s="29">
        <f t="shared" ca="1" si="31"/>
        <v>10000</v>
      </c>
      <c r="AE243" s="28" t="str">
        <f t="shared" ca="1" si="32"/>
        <v>副本82</v>
      </c>
      <c r="AF243" s="28">
        <f t="shared" si="33"/>
        <v>82</v>
      </c>
      <c r="AG243" s="28">
        <f>COUNTIF(AF$3:AF243,AF243)-1</f>
        <v>0</v>
      </c>
    </row>
    <row r="244" spans="1:33" x14ac:dyDescent="0.25">
      <c r="A244" s="27">
        <f ca="1">COUNTIF($F$3:F244,F244)+F244*$F$1</f>
        <v>140004</v>
      </c>
      <c r="B244" s="27" t="str">
        <f ca="1">E244 &amp; COUNTIF($F$3:F244,F244)</f>
        <v>金币十抽4</v>
      </c>
      <c r="C244" s="14">
        <f t="shared" si="38"/>
        <v>1</v>
      </c>
      <c r="D244" s="14">
        <f>IF(C244=0,"",SUM(C$3:C244))</f>
        <v>644</v>
      </c>
      <c r="E244" s="27" t="s">
        <v>371</v>
      </c>
      <c r="F244" s="27">
        <f ca="1">OFFSET(参数!$A$1,MATCH($E244,参数!$B$2:$B$16,0),)</f>
        <v>14</v>
      </c>
      <c r="G244" s="14">
        <v>75</v>
      </c>
      <c r="H244" s="14"/>
      <c r="I244" s="14"/>
      <c r="J244" s="14"/>
      <c r="K244" s="14"/>
      <c r="L244" s="14"/>
      <c r="M244" s="14"/>
      <c r="N244" s="14"/>
      <c r="O244" s="14"/>
      <c r="P244" s="14"/>
      <c r="Q244" s="7">
        <v>1</v>
      </c>
      <c r="R244" s="7"/>
      <c r="S244" s="7"/>
      <c r="T244" s="7"/>
      <c r="U244" s="7"/>
      <c r="V244" s="7"/>
      <c r="W244" s="7"/>
      <c r="X244" s="7"/>
      <c r="Y244" s="7"/>
      <c r="Z244" s="7"/>
      <c r="AA244" s="28">
        <f t="shared" si="34"/>
        <v>242</v>
      </c>
      <c r="AB244" s="28">
        <f t="shared" ca="1" si="29"/>
        <v>20082</v>
      </c>
      <c r="AC244" s="28">
        <f t="shared" ca="1" si="30"/>
        <v>13</v>
      </c>
      <c r="AD244" s="29">
        <f t="shared" ca="1" si="31"/>
        <v>6000</v>
      </c>
      <c r="AE244" s="28" t="str">
        <f t="shared" ca="1" si="32"/>
        <v>副本82</v>
      </c>
      <c r="AF244" s="28">
        <f t="shared" si="33"/>
        <v>82</v>
      </c>
      <c r="AG244" s="28">
        <f>COUNTIF(AF$3:AF244,AF244)-1</f>
        <v>1</v>
      </c>
    </row>
    <row r="245" spans="1:33" x14ac:dyDescent="0.25">
      <c r="A245" s="27">
        <f ca="1">COUNTIF($F$3:F245,F245)+F245*$F$1</f>
        <v>140005</v>
      </c>
      <c r="B245" s="27" t="str">
        <f ca="1">E245 &amp; COUNTIF($F$3:F245,F245)</f>
        <v>金币十抽5</v>
      </c>
      <c r="C245" s="14">
        <f t="shared" si="38"/>
        <v>1</v>
      </c>
      <c r="D245" s="14">
        <f>IF(C245=0,"",SUM(C$3:C245))</f>
        <v>645</v>
      </c>
      <c r="E245" s="27" t="s">
        <v>371</v>
      </c>
      <c r="F245" s="27">
        <f ca="1">OFFSET(参数!$A$1,MATCH($E245,参数!$B$2:$B$16,0),)</f>
        <v>14</v>
      </c>
      <c r="G245" s="14">
        <v>76</v>
      </c>
      <c r="H245" s="14"/>
      <c r="I245" s="14"/>
      <c r="J245" s="14"/>
      <c r="K245" s="14"/>
      <c r="L245" s="14"/>
      <c r="M245" s="14"/>
      <c r="N245" s="14"/>
      <c r="O245" s="14"/>
      <c r="P245" s="14"/>
      <c r="Q245" s="7">
        <v>1</v>
      </c>
      <c r="R245" s="7"/>
      <c r="S245" s="7"/>
      <c r="T245" s="7"/>
      <c r="U245" s="7"/>
      <c r="V245" s="7"/>
      <c r="W245" s="7"/>
      <c r="X245" s="7"/>
      <c r="Y245" s="7"/>
      <c r="Z245" s="7"/>
      <c r="AA245" s="28">
        <f t="shared" si="34"/>
        <v>243</v>
      </c>
      <c r="AB245" s="28">
        <f t="shared" ca="1" si="29"/>
        <v>20082</v>
      </c>
      <c r="AC245" s="28">
        <f t="shared" ca="1" si="30"/>
        <v>6</v>
      </c>
      <c r="AD245" s="29">
        <f t="shared" ca="1" si="31"/>
        <v>8000</v>
      </c>
      <c r="AE245" s="28" t="str">
        <f t="shared" ca="1" si="32"/>
        <v>副本82</v>
      </c>
      <c r="AF245" s="28">
        <f t="shared" si="33"/>
        <v>82</v>
      </c>
      <c r="AG245" s="28">
        <f>COUNTIF(AF$3:AF245,AF245)-1</f>
        <v>2</v>
      </c>
    </row>
    <row r="246" spans="1:33" x14ac:dyDescent="0.25">
      <c r="A246" s="27">
        <f ca="1">COUNTIF($F$3:F246,F246)+F246*$F$1</f>
        <v>140006</v>
      </c>
      <c r="B246" s="27" t="str">
        <f ca="1">E246 &amp; COUNTIF($F$3:F246,F246)</f>
        <v>金币十抽6</v>
      </c>
      <c r="C246" s="14">
        <f t="shared" si="38"/>
        <v>1</v>
      </c>
      <c r="D246" s="14">
        <f>IF(C246=0,"",SUM(C$3:C246))</f>
        <v>646</v>
      </c>
      <c r="E246" s="27" t="s">
        <v>371</v>
      </c>
      <c r="F246" s="27">
        <f ca="1">OFFSET(参数!$A$1,MATCH($E246,参数!$B$2:$B$16,0),)</f>
        <v>14</v>
      </c>
      <c r="G246" s="14">
        <v>77</v>
      </c>
      <c r="H246" s="14"/>
      <c r="I246" s="14"/>
      <c r="J246" s="14"/>
      <c r="K246" s="14"/>
      <c r="L246" s="14"/>
      <c r="M246" s="14"/>
      <c r="N246" s="14"/>
      <c r="O246" s="14"/>
      <c r="P246" s="14"/>
      <c r="Q246" s="7">
        <v>1</v>
      </c>
      <c r="R246" s="7"/>
      <c r="S246" s="7"/>
      <c r="T246" s="7"/>
      <c r="U246" s="7"/>
      <c r="V246" s="7"/>
      <c r="W246" s="7"/>
      <c r="X246" s="7"/>
      <c r="Y246" s="7"/>
      <c r="Z246" s="7"/>
      <c r="AA246" s="28">
        <f t="shared" si="34"/>
        <v>244</v>
      </c>
      <c r="AB246" s="28">
        <f t="shared" ca="1" si="29"/>
        <v>20082</v>
      </c>
      <c r="AC246" s="28">
        <f t="shared" ca="1" si="30"/>
        <v>3</v>
      </c>
      <c r="AD246" s="29">
        <f t="shared" ca="1" si="31"/>
        <v>9000</v>
      </c>
      <c r="AE246" s="28" t="str">
        <f t="shared" ca="1" si="32"/>
        <v>副本82</v>
      </c>
      <c r="AF246" s="28">
        <f t="shared" si="33"/>
        <v>82</v>
      </c>
      <c r="AG246" s="28">
        <f>COUNTIF(AF$3:AF246,AF246)-1</f>
        <v>3</v>
      </c>
    </row>
    <row r="247" spans="1:33" x14ac:dyDescent="0.25">
      <c r="A247" s="27">
        <f ca="1">COUNTIF($F$3:F247,F247)+F247*$F$1</f>
        <v>140007</v>
      </c>
      <c r="B247" s="27" t="str">
        <f ca="1">E247 &amp; COUNTIF($F$3:F247,F247)</f>
        <v>金币十抽7</v>
      </c>
      <c r="C247" s="14">
        <f t="shared" si="38"/>
        <v>1</v>
      </c>
      <c r="D247" s="14">
        <f>IF(C247=0,"",SUM(C$3:C247))</f>
        <v>647</v>
      </c>
      <c r="E247" s="27" t="s">
        <v>371</v>
      </c>
      <c r="F247" s="27">
        <f ca="1">OFFSET(参数!$A$1,MATCH($E247,参数!$B$2:$B$16,0),)</f>
        <v>14</v>
      </c>
      <c r="G247" s="14">
        <v>78</v>
      </c>
      <c r="H247" s="14"/>
      <c r="I247" s="14"/>
      <c r="J247" s="14"/>
      <c r="K247" s="14"/>
      <c r="L247" s="14"/>
      <c r="M247" s="14"/>
      <c r="N247" s="14"/>
      <c r="O247" s="14"/>
      <c r="P247" s="14"/>
      <c r="Q247" s="7">
        <v>1</v>
      </c>
      <c r="R247" s="7"/>
      <c r="S247" s="7"/>
      <c r="T247" s="7"/>
      <c r="U247" s="7"/>
      <c r="V247" s="7"/>
      <c r="W247" s="7"/>
      <c r="X247" s="7"/>
      <c r="Y247" s="7"/>
      <c r="Z247" s="7"/>
      <c r="AA247" s="28">
        <f t="shared" si="34"/>
        <v>245</v>
      </c>
      <c r="AB247" s="28">
        <f t="shared" ca="1" si="29"/>
        <v>20083</v>
      </c>
      <c r="AC247" s="28">
        <f t="shared" ca="1" si="30"/>
        <v>1</v>
      </c>
      <c r="AD247" s="29">
        <f t="shared" ca="1" si="31"/>
        <v>10000</v>
      </c>
      <c r="AE247" s="28" t="str">
        <f t="shared" ca="1" si="32"/>
        <v>副本83</v>
      </c>
      <c r="AF247" s="28">
        <f t="shared" si="33"/>
        <v>83</v>
      </c>
      <c r="AG247" s="28">
        <f>COUNTIF(AF$3:AF247,AF247)-1</f>
        <v>0</v>
      </c>
    </row>
    <row r="248" spans="1:33" x14ac:dyDescent="0.25">
      <c r="A248" s="27">
        <f ca="1">COUNTIF($F$3:F248,F248)+F248*$F$1</f>
        <v>140008</v>
      </c>
      <c r="B248" s="27" t="str">
        <f ca="1">E248 &amp; COUNTIF($F$3:F248,F248)</f>
        <v>金币十抽8</v>
      </c>
      <c r="C248" s="14">
        <f t="shared" si="38"/>
        <v>1</v>
      </c>
      <c r="D248" s="14">
        <f>IF(C248=0,"",SUM(C$3:C248))</f>
        <v>648</v>
      </c>
      <c r="E248" s="27" t="s">
        <v>371</v>
      </c>
      <c r="F248" s="27">
        <f ca="1">OFFSET(参数!$A$1,MATCH($E248,参数!$B$2:$B$16,0),)</f>
        <v>14</v>
      </c>
      <c r="G248" s="14">
        <v>79</v>
      </c>
      <c r="H248" s="14"/>
      <c r="I248" s="14"/>
      <c r="J248" s="14"/>
      <c r="K248" s="14"/>
      <c r="L248" s="14"/>
      <c r="M248" s="14"/>
      <c r="N248" s="14"/>
      <c r="O248" s="14"/>
      <c r="P248" s="14"/>
      <c r="Q248" s="7">
        <v>1</v>
      </c>
      <c r="R248" s="7"/>
      <c r="S248" s="7"/>
      <c r="T248" s="7"/>
      <c r="U248" s="7"/>
      <c r="V248" s="7"/>
      <c r="W248" s="7"/>
      <c r="X248" s="7"/>
      <c r="Y248" s="7"/>
      <c r="Z248" s="7"/>
      <c r="AA248" s="28">
        <f t="shared" si="34"/>
        <v>246</v>
      </c>
      <c r="AB248" s="28">
        <f t="shared" ca="1" si="29"/>
        <v>20083</v>
      </c>
      <c r="AC248" s="28">
        <f t="shared" ca="1" si="30"/>
        <v>13</v>
      </c>
      <c r="AD248" s="29">
        <f t="shared" ca="1" si="31"/>
        <v>6000</v>
      </c>
      <c r="AE248" s="28" t="str">
        <f t="shared" ca="1" si="32"/>
        <v>副本83</v>
      </c>
      <c r="AF248" s="28">
        <f t="shared" si="33"/>
        <v>83</v>
      </c>
      <c r="AG248" s="28">
        <f>COUNTIF(AF$3:AF248,AF248)-1</f>
        <v>1</v>
      </c>
    </row>
    <row r="249" spans="1:33" x14ac:dyDescent="0.25">
      <c r="A249" s="27">
        <f ca="1">COUNTIF($F$3:F249,F249)+F249*$F$1</f>
        <v>140009</v>
      </c>
      <c r="B249" s="27" t="str">
        <f ca="1">E249 &amp; COUNTIF($F$3:F249,F249)</f>
        <v>金币十抽9</v>
      </c>
      <c r="C249" s="14">
        <f t="shared" si="38"/>
        <v>1</v>
      </c>
      <c r="D249" s="14">
        <f>IF(C249=0,"",SUM(C$3:C249))</f>
        <v>649</v>
      </c>
      <c r="E249" s="27" t="s">
        <v>371</v>
      </c>
      <c r="F249" s="27">
        <f ca="1">OFFSET(参数!$A$1,MATCH($E249,参数!$B$2:$B$16,0),)</f>
        <v>14</v>
      </c>
      <c r="G249" s="14">
        <v>80</v>
      </c>
      <c r="H249" s="14"/>
      <c r="I249" s="14"/>
      <c r="J249" s="14"/>
      <c r="K249" s="14"/>
      <c r="L249" s="14"/>
      <c r="M249" s="14"/>
      <c r="N249" s="14"/>
      <c r="O249" s="14"/>
      <c r="P249" s="14"/>
      <c r="Q249" s="7">
        <v>1</v>
      </c>
      <c r="R249" s="7"/>
      <c r="S249" s="7"/>
      <c r="T249" s="7"/>
      <c r="U249" s="7"/>
      <c r="V249" s="7"/>
      <c r="W249" s="7"/>
      <c r="X249" s="7"/>
      <c r="Y249" s="7"/>
      <c r="Z249" s="7"/>
      <c r="AA249" s="28">
        <f t="shared" si="34"/>
        <v>247</v>
      </c>
      <c r="AB249" s="28">
        <f t="shared" ca="1" si="29"/>
        <v>20083</v>
      </c>
      <c r="AC249" s="28">
        <f t="shared" ca="1" si="30"/>
        <v>6</v>
      </c>
      <c r="AD249" s="29">
        <f t="shared" ca="1" si="31"/>
        <v>8000</v>
      </c>
      <c r="AE249" s="28" t="str">
        <f t="shared" ca="1" si="32"/>
        <v>副本83</v>
      </c>
      <c r="AF249" s="28">
        <f t="shared" si="33"/>
        <v>83</v>
      </c>
      <c r="AG249" s="28">
        <f>COUNTIF(AF$3:AF249,AF249)-1</f>
        <v>2</v>
      </c>
    </row>
    <row r="250" spans="1:33" x14ac:dyDescent="0.25">
      <c r="A250" s="27">
        <f ca="1">COUNTIF($F$3:F250,F250)+F250*$F$1</f>
        <v>140010</v>
      </c>
      <c r="B250" s="27" t="str">
        <f ca="1">E250 &amp; COUNTIF($F$3:F250,F250)</f>
        <v>金币十抽10</v>
      </c>
      <c r="C250" s="14">
        <f t="shared" si="38"/>
        <v>1</v>
      </c>
      <c r="D250" s="14">
        <f>IF(C250=0,"",SUM(C$3:C250))</f>
        <v>650</v>
      </c>
      <c r="E250" s="27" t="s">
        <v>371</v>
      </c>
      <c r="F250" s="27">
        <f ca="1">OFFSET(参数!$A$1,MATCH($E250,参数!$B$2:$B$16,0),)</f>
        <v>14</v>
      </c>
      <c r="G250" s="14">
        <v>81</v>
      </c>
      <c r="H250" s="14"/>
      <c r="I250" s="14"/>
      <c r="J250" s="14"/>
      <c r="K250" s="14"/>
      <c r="L250" s="14"/>
      <c r="M250" s="14"/>
      <c r="N250" s="14"/>
      <c r="O250" s="14"/>
      <c r="P250" s="14"/>
      <c r="Q250" s="7">
        <v>1</v>
      </c>
      <c r="R250" s="7"/>
      <c r="S250" s="7"/>
      <c r="T250" s="7"/>
      <c r="U250" s="7"/>
      <c r="V250" s="7"/>
      <c r="W250" s="7"/>
      <c r="X250" s="7"/>
      <c r="Y250" s="7"/>
      <c r="Z250" s="7"/>
      <c r="AA250" s="28">
        <f t="shared" si="34"/>
        <v>248</v>
      </c>
      <c r="AB250" s="28">
        <f t="shared" ca="1" si="29"/>
        <v>20083</v>
      </c>
      <c r="AC250" s="28">
        <f t="shared" ca="1" si="30"/>
        <v>3</v>
      </c>
      <c r="AD250" s="29">
        <f t="shared" ca="1" si="31"/>
        <v>9000</v>
      </c>
      <c r="AE250" s="28" t="str">
        <f t="shared" ca="1" si="32"/>
        <v>副本83</v>
      </c>
      <c r="AF250" s="28">
        <f t="shared" si="33"/>
        <v>83</v>
      </c>
      <c r="AG250" s="28">
        <f>COUNTIF(AF$3:AF250,AF250)-1</f>
        <v>3</v>
      </c>
    </row>
    <row r="251" spans="1:33" x14ac:dyDescent="0.25">
      <c r="A251" s="27">
        <f ca="1">COUNTIF($F$3:F251,F251)+F251*$F$1</f>
        <v>140011</v>
      </c>
      <c r="B251" s="27" t="str">
        <f ca="1">E251 &amp; COUNTIF($F$3:F251,F251)</f>
        <v>金币十抽11</v>
      </c>
      <c r="C251" s="14">
        <f t="shared" si="38"/>
        <v>1</v>
      </c>
      <c r="D251" s="14">
        <f>IF(C251=0,"",SUM(C$3:C251))</f>
        <v>651</v>
      </c>
      <c r="E251" s="27" t="s">
        <v>371</v>
      </c>
      <c r="F251" s="27">
        <f ca="1">OFFSET(参数!$A$1,MATCH($E251,参数!$B$2:$B$16,0),)</f>
        <v>14</v>
      </c>
      <c r="G251" s="14">
        <v>82</v>
      </c>
      <c r="H251" s="14"/>
      <c r="I251" s="14"/>
      <c r="J251" s="14"/>
      <c r="K251" s="14"/>
      <c r="L251" s="14"/>
      <c r="M251" s="14"/>
      <c r="N251" s="14"/>
      <c r="O251" s="14"/>
      <c r="P251" s="14"/>
      <c r="Q251" s="7">
        <v>1</v>
      </c>
      <c r="R251" s="7"/>
      <c r="S251" s="7"/>
      <c r="T251" s="7"/>
      <c r="U251" s="7"/>
      <c r="V251" s="7"/>
      <c r="W251" s="7"/>
      <c r="X251" s="7"/>
      <c r="Y251" s="7"/>
      <c r="Z251" s="7"/>
      <c r="AA251" s="28">
        <f t="shared" si="34"/>
        <v>249</v>
      </c>
      <c r="AB251" s="28">
        <f t="shared" ca="1" si="29"/>
        <v>20084</v>
      </c>
      <c r="AC251" s="28">
        <f t="shared" ca="1" si="30"/>
        <v>1</v>
      </c>
      <c r="AD251" s="29">
        <f t="shared" ca="1" si="31"/>
        <v>10000</v>
      </c>
      <c r="AE251" s="28" t="str">
        <f t="shared" ca="1" si="32"/>
        <v>副本84</v>
      </c>
      <c r="AF251" s="28">
        <f t="shared" si="33"/>
        <v>84</v>
      </c>
      <c r="AG251" s="28">
        <f>COUNTIF(AF$3:AF251,AF251)-1</f>
        <v>0</v>
      </c>
    </row>
    <row r="252" spans="1:33" x14ac:dyDescent="0.25">
      <c r="A252" s="27">
        <f ca="1">COUNTIF($F$3:F252,F252)+F252*$F$1</f>
        <v>140012</v>
      </c>
      <c r="B252" s="27" t="str">
        <f ca="1">E252 &amp; COUNTIF($F$3:F252,F252)</f>
        <v>金币十抽12</v>
      </c>
      <c r="C252" s="14">
        <f t="shared" si="38"/>
        <v>1</v>
      </c>
      <c r="D252" s="14">
        <f>IF(C252=0,"",SUM(C$3:C252))</f>
        <v>652</v>
      </c>
      <c r="E252" s="27" t="s">
        <v>371</v>
      </c>
      <c r="F252" s="27">
        <f ca="1">OFFSET(参数!$A$1,MATCH($E252,参数!$B$2:$B$16,0),)</f>
        <v>14</v>
      </c>
      <c r="G252" s="14">
        <v>83</v>
      </c>
      <c r="H252" s="14"/>
      <c r="I252" s="14"/>
      <c r="J252" s="14"/>
      <c r="K252" s="14"/>
      <c r="L252" s="14"/>
      <c r="M252" s="14"/>
      <c r="N252" s="14"/>
      <c r="O252" s="14"/>
      <c r="P252" s="14"/>
      <c r="Q252" s="7">
        <v>1</v>
      </c>
      <c r="R252" s="7"/>
      <c r="S252" s="7"/>
      <c r="T252" s="7"/>
      <c r="U252" s="7"/>
      <c r="V252" s="7"/>
      <c r="W252" s="7"/>
      <c r="X252" s="7"/>
      <c r="Y252" s="7"/>
      <c r="Z252" s="7"/>
      <c r="AA252" s="28">
        <f t="shared" si="34"/>
        <v>250</v>
      </c>
      <c r="AB252" s="28">
        <f t="shared" ca="1" si="29"/>
        <v>20084</v>
      </c>
      <c r="AC252" s="28">
        <f t="shared" ca="1" si="30"/>
        <v>13</v>
      </c>
      <c r="AD252" s="29">
        <f t="shared" ca="1" si="31"/>
        <v>6000</v>
      </c>
      <c r="AE252" s="28" t="str">
        <f t="shared" ca="1" si="32"/>
        <v>副本84</v>
      </c>
      <c r="AF252" s="28">
        <f t="shared" si="33"/>
        <v>84</v>
      </c>
      <c r="AG252" s="28">
        <f>COUNTIF(AF$3:AF252,AF252)-1</f>
        <v>1</v>
      </c>
    </row>
    <row r="253" spans="1:33" x14ac:dyDescent="0.25">
      <c r="A253" s="27">
        <f ca="1">COUNTIF($F$3:F253,F253)+F253*$F$1</f>
        <v>140013</v>
      </c>
      <c r="B253" s="27" t="str">
        <f ca="1">E253 &amp; COUNTIF($F$3:F253,F253)</f>
        <v>金币十抽13</v>
      </c>
      <c r="C253" s="14">
        <f t="shared" si="38"/>
        <v>1</v>
      </c>
      <c r="D253" s="14">
        <f>IF(C253=0,"",SUM(C$3:C253))</f>
        <v>653</v>
      </c>
      <c r="E253" s="27" t="s">
        <v>371</v>
      </c>
      <c r="F253" s="27">
        <f ca="1">OFFSET(参数!$A$1,MATCH($E253,参数!$B$2:$B$16,0),)</f>
        <v>14</v>
      </c>
      <c r="G253" s="14">
        <v>84</v>
      </c>
      <c r="H253" s="14"/>
      <c r="I253" s="14"/>
      <c r="J253" s="14"/>
      <c r="K253" s="14"/>
      <c r="L253" s="14"/>
      <c r="M253" s="14"/>
      <c r="N253" s="14"/>
      <c r="O253" s="14"/>
      <c r="P253" s="14"/>
      <c r="Q253" s="7">
        <v>1</v>
      </c>
      <c r="R253" s="7"/>
      <c r="S253" s="7"/>
      <c r="T253" s="7"/>
      <c r="U253" s="7"/>
      <c r="V253" s="7"/>
      <c r="W253" s="7"/>
      <c r="X253" s="7"/>
      <c r="Y253" s="7"/>
      <c r="Z253" s="7"/>
      <c r="AA253" s="28">
        <f t="shared" si="34"/>
        <v>251</v>
      </c>
      <c r="AB253" s="28">
        <f t="shared" ca="1" si="29"/>
        <v>20084</v>
      </c>
      <c r="AC253" s="28">
        <f t="shared" ca="1" si="30"/>
        <v>6</v>
      </c>
      <c r="AD253" s="29">
        <f t="shared" ca="1" si="31"/>
        <v>8000</v>
      </c>
      <c r="AE253" s="28" t="str">
        <f t="shared" ca="1" si="32"/>
        <v>副本84</v>
      </c>
      <c r="AF253" s="28">
        <f t="shared" si="33"/>
        <v>84</v>
      </c>
      <c r="AG253" s="28">
        <f>COUNTIF(AF$3:AF253,AF253)-1</f>
        <v>2</v>
      </c>
    </row>
    <row r="254" spans="1:33" x14ac:dyDescent="0.25">
      <c r="A254" s="27">
        <f ca="1">COUNTIF($F$3:F254,F254)+F254*$F$1</f>
        <v>150001</v>
      </c>
      <c r="B254" s="27" t="str">
        <f ca="1">E254 &amp; COUNTIF($F$3:F254,F254)</f>
        <v>VIP金币十抽1</v>
      </c>
      <c r="C254" s="14">
        <f t="shared" si="38"/>
        <v>1</v>
      </c>
      <c r="D254" s="14">
        <f>IF(C254=0,"",SUM(C$3:C254))</f>
        <v>654</v>
      </c>
      <c r="E254" s="27" t="s">
        <v>373</v>
      </c>
      <c r="F254" s="27">
        <f ca="1">OFFSET(参数!$A$1,MATCH($E254,参数!$B$2:$B$16,0),)</f>
        <v>15</v>
      </c>
      <c r="G254" s="14">
        <v>72</v>
      </c>
      <c r="H254" s="14"/>
      <c r="I254" s="14"/>
      <c r="J254" s="14"/>
      <c r="K254" s="14"/>
      <c r="L254" s="14"/>
      <c r="M254" s="14"/>
      <c r="N254" s="14"/>
      <c r="O254" s="14"/>
      <c r="P254" s="14"/>
      <c r="Q254" s="7">
        <v>1</v>
      </c>
      <c r="R254" s="7"/>
      <c r="S254" s="7"/>
      <c r="T254" s="7"/>
      <c r="U254" s="7"/>
      <c r="V254" s="7"/>
      <c r="W254" s="7"/>
      <c r="X254" s="7"/>
      <c r="Y254" s="7"/>
      <c r="Z254" s="7"/>
      <c r="AA254" s="28">
        <f t="shared" si="34"/>
        <v>252</v>
      </c>
      <c r="AB254" s="28">
        <f t="shared" ca="1" si="29"/>
        <v>20084</v>
      </c>
      <c r="AC254" s="28">
        <f t="shared" ca="1" si="30"/>
        <v>3</v>
      </c>
      <c r="AD254" s="29">
        <f t="shared" ca="1" si="31"/>
        <v>9000</v>
      </c>
      <c r="AE254" s="28" t="str">
        <f t="shared" ca="1" si="32"/>
        <v>副本84</v>
      </c>
      <c r="AF254" s="28">
        <f t="shared" si="33"/>
        <v>84</v>
      </c>
      <c r="AG254" s="28">
        <f>COUNTIF(AF$3:AF254,AF254)-1</f>
        <v>3</v>
      </c>
    </row>
    <row r="255" spans="1:33" x14ac:dyDescent="0.25">
      <c r="A255" s="27">
        <f ca="1">COUNTIF($F$3:F255,F255)+F255*$F$1</f>
        <v>150002</v>
      </c>
      <c r="B255" s="27" t="str">
        <f ca="1">E255 &amp; COUNTIF($F$3:F255,F255)</f>
        <v>VIP金币十抽2</v>
      </c>
      <c r="C255" s="14">
        <f t="shared" si="38"/>
        <v>1</v>
      </c>
      <c r="D255" s="14">
        <f>IF(C255=0,"",SUM(C$3:C255))</f>
        <v>655</v>
      </c>
      <c r="E255" s="27" t="s">
        <v>372</v>
      </c>
      <c r="F255" s="27">
        <f ca="1">OFFSET(参数!$A$1,MATCH($E255,参数!$B$2:$B$16,0),)</f>
        <v>15</v>
      </c>
      <c r="G255" s="14">
        <v>73</v>
      </c>
      <c r="H255" s="14"/>
      <c r="I255" s="14"/>
      <c r="J255" s="14"/>
      <c r="K255" s="14"/>
      <c r="L255" s="14"/>
      <c r="M255" s="14"/>
      <c r="N255" s="14"/>
      <c r="O255" s="14"/>
      <c r="P255" s="14"/>
      <c r="Q255" s="7">
        <v>1</v>
      </c>
      <c r="R255" s="7"/>
      <c r="S255" s="7"/>
      <c r="T255" s="7"/>
      <c r="U255" s="7"/>
      <c r="V255" s="7"/>
      <c r="W255" s="7"/>
      <c r="X255" s="7"/>
      <c r="Y255" s="7"/>
      <c r="Z255" s="7"/>
      <c r="AA255" s="28">
        <f t="shared" si="34"/>
        <v>253</v>
      </c>
      <c r="AB255" s="28">
        <f t="shared" ca="1" si="29"/>
        <v>20085</v>
      </c>
      <c r="AC255" s="28">
        <f t="shared" ca="1" si="30"/>
        <v>1</v>
      </c>
      <c r="AD255" s="29">
        <f t="shared" ca="1" si="31"/>
        <v>10000</v>
      </c>
      <c r="AE255" s="28" t="str">
        <f t="shared" ca="1" si="32"/>
        <v>副本85</v>
      </c>
      <c r="AF255" s="28">
        <f t="shared" si="33"/>
        <v>85</v>
      </c>
      <c r="AG255" s="28">
        <f>COUNTIF(AF$3:AF255,AF255)-1</f>
        <v>0</v>
      </c>
    </row>
    <row r="256" spans="1:33" x14ac:dyDescent="0.25">
      <c r="A256" s="27">
        <f ca="1">COUNTIF($F$3:F256,F256)+F256*$F$1</f>
        <v>150003</v>
      </c>
      <c r="B256" s="27" t="str">
        <f ca="1">E256 &amp; COUNTIF($F$3:F256,F256)</f>
        <v>VIP金币十抽3</v>
      </c>
      <c r="C256" s="14">
        <f t="shared" si="38"/>
        <v>1</v>
      </c>
      <c r="D256" s="14">
        <f>IF(C256=0,"",SUM(C$3:C256))</f>
        <v>656</v>
      </c>
      <c r="E256" s="27" t="s">
        <v>372</v>
      </c>
      <c r="F256" s="27">
        <f ca="1">OFFSET(参数!$A$1,MATCH($E256,参数!$B$2:$B$16,0),)</f>
        <v>15</v>
      </c>
      <c r="G256" s="14">
        <v>74</v>
      </c>
      <c r="H256" s="14"/>
      <c r="I256" s="14"/>
      <c r="J256" s="14"/>
      <c r="K256" s="14"/>
      <c r="L256" s="14"/>
      <c r="M256" s="14"/>
      <c r="N256" s="14"/>
      <c r="O256" s="14"/>
      <c r="P256" s="14"/>
      <c r="Q256" s="7">
        <v>1</v>
      </c>
      <c r="R256" s="7"/>
      <c r="S256" s="7"/>
      <c r="T256" s="7"/>
      <c r="U256" s="7"/>
      <c r="V256" s="7"/>
      <c r="W256" s="7"/>
      <c r="X256" s="7"/>
      <c r="Y256" s="7"/>
      <c r="Z256" s="7"/>
      <c r="AA256" s="28">
        <f t="shared" si="34"/>
        <v>254</v>
      </c>
      <c r="AB256" s="28">
        <f t="shared" ca="1" si="29"/>
        <v>20086</v>
      </c>
      <c r="AC256" s="28">
        <f t="shared" ca="1" si="30"/>
        <v>1</v>
      </c>
      <c r="AD256" s="29">
        <f t="shared" ca="1" si="31"/>
        <v>10000</v>
      </c>
      <c r="AE256" s="28" t="str">
        <f t="shared" ca="1" si="32"/>
        <v>副本86</v>
      </c>
      <c r="AF256" s="28">
        <f t="shared" si="33"/>
        <v>86</v>
      </c>
      <c r="AG256" s="28">
        <f>COUNTIF(AF$3:AF256,AF256)-1</f>
        <v>0</v>
      </c>
    </row>
    <row r="257" spans="1:33" x14ac:dyDescent="0.25">
      <c r="A257" s="27">
        <f ca="1">COUNTIF($F$3:F257,F257)+F257*$F$1</f>
        <v>150004</v>
      </c>
      <c r="B257" s="27" t="str">
        <f ca="1">E257 &amp; COUNTIF($F$3:F257,F257)</f>
        <v>VIP金币十抽4</v>
      </c>
      <c r="C257" s="14">
        <f t="shared" si="38"/>
        <v>1</v>
      </c>
      <c r="D257" s="14">
        <f>IF(C257=0,"",SUM(C$3:C257))</f>
        <v>657</v>
      </c>
      <c r="E257" s="27" t="s">
        <v>372</v>
      </c>
      <c r="F257" s="27">
        <f ca="1">OFFSET(参数!$A$1,MATCH($E257,参数!$B$2:$B$16,0),)</f>
        <v>15</v>
      </c>
      <c r="G257" s="14">
        <v>75</v>
      </c>
      <c r="H257" s="14"/>
      <c r="I257" s="14"/>
      <c r="J257" s="14"/>
      <c r="K257" s="14"/>
      <c r="L257" s="14"/>
      <c r="M257" s="14"/>
      <c r="N257" s="14"/>
      <c r="O257" s="14"/>
      <c r="P257" s="14"/>
      <c r="Q257" s="7">
        <v>1</v>
      </c>
      <c r="R257" s="7"/>
      <c r="S257" s="7"/>
      <c r="T257" s="7"/>
      <c r="U257" s="7"/>
      <c r="V257" s="7"/>
      <c r="W257" s="7"/>
      <c r="X257" s="7"/>
      <c r="Y257" s="7"/>
      <c r="Z257" s="7"/>
      <c r="AA257" s="28">
        <f t="shared" si="34"/>
        <v>255</v>
      </c>
      <c r="AB257" s="28">
        <f t="shared" ca="1" si="29"/>
        <v>20086</v>
      </c>
      <c r="AC257" s="28">
        <f t="shared" ca="1" si="30"/>
        <v>14</v>
      </c>
      <c r="AD257" s="29">
        <f t="shared" ca="1" si="31"/>
        <v>5000</v>
      </c>
      <c r="AE257" s="28" t="str">
        <f t="shared" ca="1" si="32"/>
        <v>副本86</v>
      </c>
      <c r="AF257" s="28">
        <f t="shared" si="33"/>
        <v>86</v>
      </c>
      <c r="AG257" s="28">
        <f>COUNTIF(AF$3:AF257,AF257)-1</f>
        <v>1</v>
      </c>
    </row>
    <row r="258" spans="1:33" x14ac:dyDescent="0.25">
      <c r="A258" s="27">
        <f ca="1">COUNTIF($F$3:F258,F258)+F258*$F$1</f>
        <v>150005</v>
      </c>
      <c r="B258" s="27" t="str">
        <f ca="1">E258 &amp; COUNTIF($F$3:F258,F258)</f>
        <v>VIP金币十抽5</v>
      </c>
      <c r="C258" s="14">
        <f t="shared" si="38"/>
        <v>1</v>
      </c>
      <c r="D258" s="14">
        <f>IF(C258=0,"",SUM(C$3:C258))</f>
        <v>658</v>
      </c>
      <c r="E258" s="27" t="s">
        <v>372</v>
      </c>
      <c r="F258" s="27">
        <f ca="1">OFFSET(参数!$A$1,MATCH($E258,参数!$B$2:$B$16,0),)</f>
        <v>15</v>
      </c>
      <c r="G258" s="14">
        <v>76</v>
      </c>
      <c r="H258" s="14"/>
      <c r="I258" s="14"/>
      <c r="J258" s="14"/>
      <c r="K258" s="14"/>
      <c r="L258" s="14"/>
      <c r="M258" s="14"/>
      <c r="N258" s="14"/>
      <c r="O258" s="14"/>
      <c r="P258" s="14"/>
      <c r="Q258" s="7">
        <v>1</v>
      </c>
      <c r="R258" s="7"/>
      <c r="S258" s="7"/>
      <c r="T258" s="7"/>
      <c r="U258" s="7"/>
      <c r="V258" s="7"/>
      <c r="W258" s="7"/>
      <c r="X258" s="7"/>
      <c r="Y258" s="7"/>
      <c r="Z258" s="7"/>
      <c r="AA258" s="28">
        <f t="shared" si="34"/>
        <v>256</v>
      </c>
      <c r="AB258" s="28">
        <f t="shared" ca="1" si="29"/>
        <v>20086</v>
      </c>
      <c r="AC258" s="28">
        <f t="shared" ca="1" si="30"/>
        <v>10</v>
      </c>
      <c r="AD258" s="29">
        <f t="shared" ca="1" si="31"/>
        <v>7000</v>
      </c>
      <c r="AE258" s="28" t="str">
        <f t="shared" ca="1" si="32"/>
        <v>副本86</v>
      </c>
      <c r="AF258" s="28">
        <f t="shared" si="33"/>
        <v>86</v>
      </c>
      <c r="AG258" s="28">
        <f>COUNTIF(AF$3:AF258,AF258)-1</f>
        <v>2</v>
      </c>
    </row>
    <row r="259" spans="1:33" x14ac:dyDescent="0.25">
      <c r="A259" s="27">
        <f ca="1">COUNTIF($F$3:F259,F259)+F259*$F$1</f>
        <v>150006</v>
      </c>
      <c r="B259" s="27" t="str">
        <f ca="1">E259 &amp; COUNTIF($F$3:F259,F259)</f>
        <v>VIP金币十抽6</v>
      </c>
      <c r="C259" s="14">
        <f t="shared" si="38"/>
        <v>1</v>
      </c>
      <c r="D259" s="14">
        <f>IF(C259=0,"",SUM(C$3:C259))</f>
        <v>659</v>
      </c>
      <c r="E259" s="27" t="s">
        <v>372</v>
      </c>
      <c r="F259" s="27">
        <f ca="1">OFFSET(参数!$A$1,MATCH($E259,参数!$B$2:$B$16,0),)</f>
        <v>15</v>
      </c>
      <c r="G259" s="14">
        <v>77</v>
      </c>
      <c r="H259" s="14"/>
      <c r="I259" s="14"/>
      <c r="J259" s="14"/>
      <c r="K259" s="14"/>
      <c r="L259" s="14"/>
      <c r="M259" s="14"/>
      <c r="N259" s="14"/>
      <c r="O259" s="14"/>
      <c r="P259" s="14"/>
      <c r="Q259" s="7">
        <v>1</v>
      </c>
      <c r="R259" s="7"/>
      <c r="S259" s="7"/>
      <c r="T259" s="7"/>
      <c r="U259" s="7"/>
      <c r="V259" s="7"/>
      <c r="W259" s="7"/>
      <c r="X259" s="7"/>
      <c r="Y259" s="7"/>
      <c r="Z259" s="7"/>
      <c r="AA259" s="28">
        <f t="shared" si="34"/>
        <v>257</v>
      </c>
      <c r="AB259" s="28">
        <f t="shared" ref="AB259:AB301" ca="1" si="39">OFFSET(A$2,$AF259,)</f>
        <v>20086</v>
      </c>
      <c r="AC259" s="28">
        <f t="shared" ref="AC259:AC322" ca="1" si="40">OFFSET($G$2,$AF259,$AG259)</f>
        <v>6</v>
      </c>
      <c r="AD259" s="29">
        <f t="shared" ref="AD259:AD322" ca="1" si="41">OFFSET($Q$2,$AF259,$AG259)*$AD$1</f>
        <v>8000</v>
      </c>
      <c r="AE259" s="28" t="str">
        <f t="shared" ref="AE259:AE301" ca="1" si="42">OFFSET(B$2,$AF259,)</f>
        <v>副本86</v>
      </c>
      <c r="AF259" s="28">
        <f t="shared" ref="AF259:AF301" si="43">FREQUENCY(D:D,AA259-0.1)+1</f>
        <v>86</v>
      </c>
      <c r="AG259" s="28">
        <f>COUNTIF(AF$3:AF259,AF259)-1</f>
        <v>3</v>
      </c>
    </row>
    <row r="260" spans="1:33" x14ac:dyDescent="0.25">
      <c r="A260" s="27">
        <f ca="1">COUNTIF($F$3:F260,F260)+F260*$F$1</f>
        <v>150007</v>
      </c>
      <c r="B260" s="27" t="str">
        <f ca="1">E260 &amp; COUNTIF($F$3:F260,F260)</f>
        <v>VIP金币十抽7</v>
      </c>
      <c r="C260" s="14">
        <f t="shared" si="38"/>
        <v>1</v>
      </c>
      <c r="D260" s="14">
        <f>IF(C260=0,"",SUM(C$3:C260))</f>
        <v>660</v>
      </c>
      <c r="E260" s="27" t="s">
        <v>372</v>
      </c>
      <c r="F260" s="27">
        <f ca="1">OFFSET(参数!$A$1,MATCH($E260,参数!$B$2:$B$16,0),)</f>
        <v>15</v>
      </c>
      <c r="G260" s="14">
        <v>78</v>
      </c>
      <c r="H260" s="14"/>
      <c r="I260" s="14"/>
      <c r="J260" s="14"/>
      <c r="K260" s="14"/>
      <c r="L260" s="14"/>
      <c r="M260" s="14"/>
      <c r="N260" s="14"/>
      <c r="O260" s="14"/>
      <c r="P260" s="14"/>
      <c r="Q260" s="7">
        <v>1</v>
      </c>
      <c r="R260" s="7"/>
      <c r="S260" s="7"/>
      <c r="T260" s="7"/>
      <c r="U260" s="7"/>
      <c r="V260" s="7"/>
      <c r="W260" s="7"/>
      <c r="X260" s="7"/>
      <c r="Y260" s="7"/>
      <c r="Z260" s="7"/>
      <c r="AA260" s="28">
        <f t="shared" ref="AA260:AA301" si="44">IF(ROW(A258)&gt;MAX(D:D),"",ROW(A258))</f>
        <v>258</v>
      </c>
      <c r="AB260" s="28">
        <f t="shared" ca="1" si="39"/>
        <v>20087</v>
      </c>
      <c r="AC260" s="28">
        <f t="shared" ca="1" si="40"/>
        <v>1</v>
      </c>
      <c r="AD260" s="29">
        <f t="shared" ca="1" si="41"/>
        <v>10000</v>
      </c>
      <c r="AE260" s="28" t="str">
        <f t="shared" ca="1" si="42"/>
        <v>副本87</v>
      </c>
      <c r="AF260" s="28">
        <f t="shared" si="43"/>
        <v>87</v>
      </c>
      <c r="AG260" s="28">
        <f>COUNTIF(AF$3:AF260,AF260)-1</f>
        <v>0</v>
      </c>
    </row>
    <row r="261" spans="1:33" x14ac:dyDescent="0.25">
      <c r="A261" s="27">
        <f ca="1">COUNTIF($F$3:F261,F261)+F261*$F$1</f>
        <v>150008</v>
      </c>
      <c r="B261" s="27" t="str">
        <f ca="1">E261 &amp; COUNTIF($F$3:F261,F261)</f>
        <v>VIP金币十抽8</v>
      </c>
      <c r="C261" s="14">
        <f t="shared" si="38"/>
        <v>1</v>
      </c>
      <c r="D261" s="14">
        <f>IF(C261=0,"",SUM(C$3:C261))</f>
        <v>661</v>
      </c>
      <c r="E261" s="27" t="s">
        <v>372</v>
      </c>
      <c r="F261" s="27">
        <f ca="1">OFFSET(参数!$A$1,MATCH($E261,参数!$B$2:$B$16,0),)</f>
        <v>15</v>
      </c>
      <c r="G261" s="14">
        <v>79</v>
      </c>
      <c r="H261" s="14"/>
      <c r="I261" s="14"/>
      <c r="J261" s="14"/>
      <c r="K261" s="14"/>
      <c r="L261" s="14"/>
      <c r="M261" s="14"/>
      <c r="N261" s="14"/>
      <c r="O261" s="14"/>
      <c r="P261" s="14"/>
      <c r="Q261" s="7">
        <v>1</v>
      </c>
      <c r="R261" s="7"/>
      <c r="S261" s="7"/>
      <c r="T261" s="7"/>
      <c r="U261" s="7"/>
      <c r="V261" s="7"/>
      <c r="W261" s="7"/>
      <c r="X261" s="7"/>
      <c r="Y261" s="7"/>
      <c r="Z261" s="7"/>
      <c r="AA261" s="28">
        <f t="shared" si="44"/>
        <v>259</v>
      </c>
      <c r="AB261" s="28">
        <f t="shared" ca="1" si="39"/>
        <v>20087</v>
      </c>
      <c r="AC261" s="28">
        <f t="shared" ca="1" si="40"/>
        <v>14</v>
      </c>
      <c r="AD261" s="29">
        <f t="shared" ca="1" si="41"/>
        <v>5000</v>
      </c>
      <c r="AE261" s="28" t="str">
        <f t="shared" ca="1" si="42"/>
        <v>副本87</v>
      </c>
      <c r="AF261" s="28">
        <f t="shared" si="43"/>
        <v>87</v>
      </c>
      <c r="AG261" s="28">
        <f>COUNTIF(AF$3:AF261,AF261)-1</f>
        <v>1</v>
      </c>
    </row>
    <row r="262" spans="1:33" x14ac:dyDescent="0.25">
      <c r="A262" s="27">
        <f ca="1">COUNTIF($F$3:F262,F262)+F262*$F$1</f>
        <v>150009</v>
      </c>
      <c r="B262" s="27" t="str">
        <f ca="1">E262 &amp; COUNTIF($F$3:F262,F262)</f>
        <v>VIP金币十抽9</v>
      </c>
      <c r="C262" s="14">
        <f t="shared" si="38"/>
        <v>1</v>
      </c>
      <c r="D262" s="14">
        <f>IF(C262=0,"",SUM(C$3:C262))</f>
        <v>662</v>
      </c>
      <c r="E262" s="27" t="s">
        <v>372</v>
      </c>
      <c r="F262" s="27">
        <f ca="1">OFFSET(参数!$A$1,MATCH($E262,参数!$B$2:$B$16,0),)</f>
        <v>15</v>
      </c>
      <c r="G262" s="14">
        <v>80</v>
      </c>
      <c r="H262" s="14"/>
      <c r="I262" s="14"/>
      <c r="J262" s="14"/>
      <c r="K262" s="14"/>
      <c r="L262" s="14"/>
      <c r="M262" s="14"/>
      <c r="N262" s="14"/>
      <c r="O262" s="14"/>
      <c r="P262" s="14"/>
      <c r="Q262" s="7">
        <v>1</v>
      </c>
      <c r="R262" s="7"/>
      <c r="S262" s="7"/>
      <c r="T262" s="7"/>
      <c r="U262" s="7"/>
      <c r="V262" s="7"/>
      <c r="W262" s="7"/>
      <c r="X262" s="7"/>
      <c r="Y262" s="7"/>
      <c r="Z262" s="7"/>
      <c r="AA262" s="28">
        <f t="shared" si="44"/>
        <v>260</v>
      </c>
      <c r="AB262" s="28">
        <f t="shared" ca="1" si="39"/>
        <v>20087</v>
      </c>
      <c r="AC262" s="28">
        <f t="shared" ca="1" si="40"/>
        <v>10</v>
      </c>
      <c r="AD262" s="29">
        <f t="shared" ca="1" si="41"/>
        <v>7000</v>
      </c>
      <c r="AE262" s="28" t="str">
        <f t="shared" ca="1" si="42"/>
        <v>副本87</v>
      </c>
      <c r="AF262" s="28">
        <f t="shared" si="43"/>
        <v>87</v>
      </c>
      <c r="AG262" s="28">
        <f>COUNTIF(AF$3:AF262,AF262)-1</f>
        <v>2</v>
      </c>
    </row>
    <row r="263" spans="1:33" x14ac:dyDescent="0.25">
      <c r="A263" s="27">
        <f ca="1">COUNTIF($F$3:F263,F263)+F263*$F$1</f>
        <v>150010</v>
      </c>
      <c r="B263" s="27" t="str">
        <f ca="1">E263 &amp; COUNTIF($F$3:F263,F263)</f>
        <v>VIP金币十抽10</v>
      </c>
      <c r="C263" s="14">
        <f t="shared" ref="C263" si="45">COUNTA(G263:P263)</f>
        <v>1</v>
      </c>
      <c r="D263" s="14">
        <f>IF(C263=0,"",SUM(C$3:C263))</f>
        <v>663</v>
      </c>
      <c r="E263" s="27" t="s">
        <v>372</v>
      </c>
      <c r="F263" s="27">
        <f ca="1">OFFSET(参数!$A$1,MATCH($E263,参数!$B$2:$B$16,0),)</f>
        <v>15</v>
      </c>
      <c r="G263" s="14">
        <v>81</v>
      </c>
      <c r="H263" s="14"/>
      <c r="I263" s="14"/>
      <c r="J263" s="14"/>
      <c r="K263" s="14"/>
      <c r="L263" s="14"/>
      <c r="M263" s="14"/>
      <c r="N263" s="14"/>
      <c r="O263" s="14"/>
      <c r="P263" s="14"/>
      <c r="Q263" s="7">
        <v>1</v>
      </c>
      <c r="R263" s="7"/>
      <c r="S263" s="7"/>
      <c r="T263" s="7"/>
      <c r="U263" s="7"/>
      <c r="V263" s="7"/>
      <c r="W263" s="7"/>
      <c r="X263" s="7"/>
      <c r="Y263" s="7"/>
      <c r="Z263" s="7"/>
      <c r="AA263" s="28">
        <f t="shared" si="44"/>
        <v>261</v>
      </c>
      <c r="AB263" s="28">
        <f t="shared" ca="1" si="39"/>
        <v>20087</v>
      </c>
      <c r="AC263" s="28">
        <f t="shared" ca="1" si="40"/>
        <v>6</v>
      </c>
      <c r="AD263" s="29">
        <f t="shared" ca="1" si="41"/>
        <v>8000</v>
      </c>
      <c r="AE263" s="28" t="str">
        <f t="shared" ca="1" si="42"/>
        <v>副本87</v>
      </c>
      <c r="AF263" s="28">
        <f t="shared" si="43"/>
        <v>87</v>
      </c>
      <c r="AG263" s="28">
        <f>COUNTIF(AF$3:AF263,AF263)-1</f>
        <v>3</v>
      </c>
    </row>
    <row r="264" spans="1:33" x14ac:dyDescent="0.25">
      <c r="A264" s="27">
        <f ca="1">COUNTIF($F$3:F264,F264)+F264*$F$1</f>
        <v>150011</v>
      </c>
      <c r="B264" s="27" t="str">
        <f ca="1">E264 &amp; COUNTIF($F$3:F264,F264)</f>
        <v>VIP金币十抽11</v>
      </c>
      <c r="C264" s="14">
        <f t="shared" ref="C264:C265" si="46">COUNTA(G264:P264)</f>
        <v>1</v>
      </c>
      <c r="D264" s="14">
        <f>IF(C264=0,"",SUM(C$3:C264))</f>
        <v>664</v>
      </c>
      <c r="E264" s="27" t="s">
        <v>372</v>
      </c>
      <c r="F264" s="27">
        <f ca="1">OFFSET(参数!$A$1,MATCH($E264,参数!$B$2:$B$16,0),)</f>
        <v>15</v>
      </c>
      <c r="G264" s="14">
        <v>82</v>
      </c>
      <c r="H264" s="14"/>
      <c r="I264" s="14"/>
      <c r="J264" s="14"/>
      <c r="K264" s="14"/>
      <c r="L264" s="14"/>
      <c r="M264" s="14"/>
      <c r="N264" s="14"/>
      <c r="O264" s="14"/>
      <c r="P264" s="14"/>
      <c r="Q264" s="7">
        <v>1</v>
      </c>
      <c r="R264" s="7"/>
      <c r="S264" s="7"/>
      <c r="T264" s="7"/>
      <c r="U264" s="7"/>
      <c r="V264" s="7"/>
      <c r="W264" s="7"/>
      <c r="X264" s="7"/>
      <c r="Y264" s="7"/>
      <c r="Z264" s="7"/>
      <c r="AA264" s="28">
        <f t="shared" si="44"/>
        <v>262</v>
      </c>
      <c r="AB264" s="28">
        <f t="shared" ca="1" si="39"/>
        <v>20088</v>
      </c>
      <c r="AC264" s="28">
        <f t="shared" ca="1" si="40"/>
        <v>1</v>
      </c>
      <c r="AD264" s="29">
        <f t="shared" ca="1" si="41"/>
        <v>10000</v>
      </c>
      <c r="AE264" s="28" t="str">
        <f t="shared" ca="1" si="42"/>
        <v>副本88</v>
      </c>
      <c r="AF264" s="28">
        <f t="shared" si="43"/>
        <v>88</v>
      </c>
      <c r="AG264" s="28">
        <f>COUNTIF(AF$3:AF264,AF264)-1</f>
        <v>0</v>
      </c>
    </row>
    <row r="265" spans="1:33" x14ac:dyDescent="0.25">
      <c r="A265" s="27">
        <f ca="1">COUNTIF($F$3:F265,F265)+F265*$F$1</f>
        <v>150012</v>
      </c>
      <c r="B265" s="27" t="str">
        <f ca="1">E265 &amp; COUNTIF($F$3:F265,F265)</f>
        <v>VIP金币十抽12</v>
      </c>
      <c r="C265" s="14">
        <f t="shared" si="46"/>
        <v>1</v>
      </c>
      <c r="D265" s="14">
        <f>IF(C265=0,"",SUM(C$3:C265))</f>
        <v>665</v>
      </c>
      <c r="E265" s="27" t="s">
        <v>372</v>
      </c>
      <c r="F265" s="27">
        <f ca="1">OFFSET(参数!$A$1,MATCH($E265,参数!$B$2:$B$16,0),)</f>
        <v>15</v>
      </c>
      <c r="G265" s="14">
        <v>83</v>
      </c>
      <c r="H265" s="14"/>
      <c r="I265" s="14"/>
      <c r="J265" s="14"/>
      <c r="K265" s="14"/>
      <c r="L265" s="14"/>
      <c r="M265" s="14"/>
      <c r="N265" s="14"/>
      <c r="O265" s="14"/>
      <c r="P265" s="14"/>
      <c r="Q265" s="7">
        <v>1</v>
      </c>
      <c r="R265" s="7"/>
      <c r="S265" s="7"/>
      <c r="T265" s="7"/>
      <c r="U265" s="7"/>
      <c r="V265" s="7"/>
      <c r="W265" s="7"/>
      <c r="X265" s="7"/>
      <c r="Y265" s="7"/>
      <c r="Z265" s="7"/>
      <c r="AA265" s="28">
        <f t="shared" si="44"/>
        <v>263</v>
      </c>
      <c r="AB265" s="28">
        <f t="shared" ca="1" si="39"/>
        <v>20088</v>
      </c>
      <c r="AC265" s="28">
        <f t="shared" ca="1" si="40"/>
        <v>14</v>
      </c>
      <c r="AD265" s="29">
        <f t="shared" ca="1" si="41"/>
        <v>5000</v>
      </c>
      <c r="AE265" s="28" t="str">
        <f t="shared" ca="1" si="42"/>
        <v>副本88</v>
      </c>
      <c r="AF265" s="28">
        <f t="shared" si="43"/>
        <v>88</v>
      </c>
      <c r="AG265" s="28">
        <f>COUNTIF(AF$3:AF265,AF265)-1</f>
        <v>1</v>
      </c>
    </row>
    <row r="266" spans="1:33" x14ac:dyDescent="0.25">
      <c r="A266" s="27">
        <f ca="1">COUNTIF($F$3:F266,F266)+F266*$F$1</f>
        <v>150013</v>
      </c>
      <c r="B266" s="27" t="str">
        <f ca="1">E266 &amp; COUNTIF($F$3:F266,F266)</f>
        <v>VIP金币十抽13</v>
      </c>
      <c r="C266" s="14">
        <f t="shared" ref="C266" si="47">COUNTA(G266:P266)</f>
        <v>1</v>
      </c>
      <c r="D266" s="14">
        <f>IF(C266=0,"",SUM(C$3:C266))</f>
        <v>666</v>
      </c>
      <c r="E266" s="27" t="s">
        <v>372</v>
      </c>
      <c r="F266" s="27">
        <f ca="1">OFFSET(参数!$A$1,MATCH($E266,参数!$B$2:$B$16,0),)</f>
        <v>15</v>
      </c>
      <c r="G266" s="14">
        <v>84</v>
      </c>
      <c r="H266" s="14"/>
      <c r="I266" s="14"/>
      <c r="J266" s="14"/>
      <c r="K266" s="14"/>
      <c r="L266" s="14"/>
      <c r="M266" s="14"/>
      <c r="N266" s="14"/>
      <c r="O266" s="14"/>
      <c r="P266" s="14"/>
      <c r="Q266" s="7">
        <v>1</v>
      </c>
      <c r="R266" s="7"/>
      <c r="S266" s="7"/>
      <c r="T266" s="7"/>
      <c r="U266" s="7"/>
      <c r="V266" s="7"/>
      <c r="W266" s="7"/>
      <c r="X266" s="7"/>
      <c r="Y266" s="7"/>
      <c r="Z266" s="7"/>
      <c r="AA266" s="28">
        <f t="shared" si="44"/>
        <v>264</v>
      </c>
      <c r="AB266" s="28">
        <f t="shared" ca="1" si="39"/>
        <v>20088</v>
      </c>
      <c r="AC266" s="28">
        <f t="shared" ca="1" si="40"/>
        <v>10</v>
      </c>
      <c r="AD266" s="29">
        <f t="shared" ca="1" si="41"/>
        <v>7000</v>
      </c>
      <c r="AE266" s="28" t="str">
        <f t="shared" ca="1" si="42"/>
        <v>副本88</v>
      </c>
      <c r="AF266" s="28">
        <f t="shared" si="43"/>
        <v>88</v>
      </c>
      <c r="AG266" s="28">
        <f>COUNTIF(AF$3:AF266,AF266)-1</f>
        <v>2</v>
      </c>
    </row>
    <row r="267" spans="1:33" x14ac:dyDescent="0.25">
      <c r="A267" s="27"/>
      <c r="B267" s="27"/>
      <c r="C267" s="14"/>
      <c r="D267" s="14"/>
      <c r="E267" s="27"/>
      <c r="F267" s="27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28">
        <f t="shared" si="44"/>
        <v>265</v>
      </c>
      <c r="AB267" s="28">
        <f t="shared" ca="1" si="39"/>
        <v>20088</v>
      </c>
      <c r="AC267" s="28">
        <f t="shared" ca="1" si="40"/>
        <v>6</v>
      </c>
      <c r="AD267" s="29">
        <f t="shared" ca="1" si="41"/>
        <v>8000</v>
      </c>
      <c r="AE267" s="28" t="str">
        <f t="shared" ca="1" si="42"/>
        <v>副本88</v>
      </c>
      <c r="AF267" s="28">
        <f t="shared" si="43"/>
        <v>88</v>
      </c>
      <c r="AG267" s="28">
        <f>COUNTIF(AF$3:AF267,AF267)-1</f>
        <v>3</v>
      </c>
    </row>
    <row r="268" spans="1:33" x14ac:dyDescent="0.25">
      <c r="A268" s="27"/>
      <c r="B268" s="27"/>
      <c r="C268" s="14"/>
      <c r="D268" s="14"/>
      <c r="E268" s="27"/>
      <c r="F268" s="27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28">
        <f t="shared" si="44"/>
        <v>266</v>
      </c>
      <c r="AB268" s="28">
        <f t="shared" ca="1" si="39"/>
        <v>20089</v>
      </c>
      <c r="AC268" s="28">
        <f t="shared" ca="1" si="40"/>
        <v>1</v>
      </c>
      <c r="AD268" s="29">
        <f t="shared" ca="1" si="41"/>
        <v>10000</v>
      </c>
      <c r="AE268" s="28" t="str">
        <f t="shared" ca="1" si="42"/>
        <v>副本89</v>
      </c>
      <c r="AF268" s="28">
        <f t="shared" si="43"/>
        <v>89</v>
      </c>
      <c r="AG268" s="28">
        <f>COUNTIF(AF$3:AF268,AF268)-1</f>
        <v>0</v>
      </c>
    </row>
    <row r="269" spans="1:33" x14ac:dyDescent="0.25">
      <c r="A269" s="27"/>
      <c r="B269" s="27"/>
      <c r="C269" s="14"/>
      <c r="D269" s="14"/>
      <c r="E269" s="27"/>
      <c r="F269" s="27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28">
        <f t="shared" si="44"/>
        <v>267</v>
      </c>
      <c r="AB269" s="28">
        <f t="shared" ca="1" si="39"/>
        <v>20089</v>
      </c>
      <c r="AC269" s="28">
        <f t="shared" ca="1" si="40"/>
        <v>15</v>
      </c>
      <c r="AD269" s="29">
        <f t="shared" ca="1" si="41"/>
        <v>5000</v>
      </c>
      <c r="AE269" s="28" t="str">
        <f t="shared" ca="1" si="42"/>
        <v>副本89</v>
      </c>
      <c r="AF269" s="28">
        <f t="shared" si="43"/>
        <v>89</v>
      </c>
      <c r="AG269" s="28">
        <f>COUNTIF(AF$3:AF269,AF269)-1</f>
        <v>1</v>
      </c>
    </row>
    <row r="270" spans="1:33" x14ac:dyDescent="0.25">
      <c r="A270" s="27"/>
      <c r="B270" s="27"/>
      <c r="C270" s="14"/>
      <c r="D270" s="14"/>
      <c r="E270" s="27"/>
      <c r="F270" s="27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28">
        <f t="shared" si="44"/>
        <v>268</v>
      </c>
      <c r="AB270" s="28">
        <f t="shared" ca="1" si="39"/>
        <v>20089</v>
      </c>
      <c r="AC270" s="28">
        <f t="shared" ca="1" si="40"/>
        <v>9</v>
      </c>
      <c r="AD270" s="29">
        <f t="shared" ca="1" si="41"/>
        <v>7000</v>
      </c>
      <c r="AE270" s="28" t="str">
        <f t="shared" ca="1" si="42"/>
        <v>副本89</v>
      </c>
      <c r="AF270" s="28">
        <f t="shared" si="43"/>
        <v>89</v>
      </c>
      <c r="AG270" s="28">
        <f>COUNTIF(AF$3:AF270,AF270)-1</f>
        <v>2</v>
      </c>
    </row>
    <row r="271" spans="1:33" x14ac:dyDescent="0.25">
      <c r="A271" s="27"/>
      <c r="B271" s="27"/>
      <c r="C271" s="14"/>
      <c r="D271" s="14"/>
      <c r="E271" s="27"/>
      <c r="F271" s="27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28">
        <f t="shared" si="44"/>
        <v>269</v>
      </c>
      <c r="AB271" s="28">
        <f t="shared" ca="1" si="39"/>
        <v>20089</v>
      </c>
      <c r="AC271" s="28">
        <f t="shared" ca="1" si="40"/>
        <v>7</v>
      </c>
      <c r="AD271" s="29">
        <f t="shared" ca="1" si="41"/>
        <v>8000</v>
      </c>
      <c r="AE271" s="28" t="str">
        <f t="shared" ca="1" si="42"/>
        <v>副本89</v>
      </c>
      <c r="AF271" s="28">
        <f t="shared" si="43"/>
        <v>89</v>
      </c>
      <c r="AG271" s="28">
        <f>COUNTIF(AF$3:AF271,AF271)-1</f>
        <v>3</v>
      </c>
    </row>
    <row r="272" spans="1:33" x14ac:dyDescent="0.25">
      <c r="A272" s="27"/>
      <c r="B272" s="27"/>
      <c r="C272" s="14"/>
      <c r="D272" s="14"/>
      <c r="E272" s="27"/>
      <c r="F272" s="27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28">
        <f t="shared" si="44"/>
        <v>270</v>
      </c>
      <c r="AB272" s="28">
        <f t="shared" ca="1" si="39"/>
        <v>20090</v>
      </c>
      <c r="AC272" s="28">
        <f t="shared" ca="1" si="40"/>
        <v>1</v>
      </c>
      <c r="AD272" s="29">
        <f t="shared" ca="1" si="41"/>
        <v>10000</v>
      </c>
      <c r="AE272" s="28" t="str">
        <f t="shared" ca="1" si="42"/>
        <v>副本90</v>
      </c>
      <c r="AF272" s="28">
        <f t="shared" si="43"/>
        <v>90</v>
      </c>
      <c r="AG272" s="28">
        <f>COUNTIF(AF$3:AF272,AF272)-1</f>
        <v>0</v>
      </c>
    </row>
    <row r="273" spans="1:33" x14ac:dyDescent="0.25">
      <c r="A273" s="27"/>
      <c r="B273" s="27"/>
      <c r="C273" s="14"/>
      <c r="D273" s="14"/>
      <c r="E273" s="27"/>
      <c r="F273" s="27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28">
        <f t="shared" si="44"/>
        <v>271</v>
      </c>
      <c r="AB273" s="28">
        <f t="shared" ca="1" si="39"/>
        <v>20090</v>
      </c>
      <c r="AC273" s="28">
        <f t="shared" ca="1" si="40"/>
        <v>15</v>
      </c>
      <c r="AD273" s="29">
        <f t="shared" ca="1" si="41"/>
        <v>5000</v>
      </c>
      <c r="AE273" s="28" t="str">
        <f t="shared" ca="1" si="42"/>
        <v>副本90</v>
      </c>
      <c r="AF273" s="28">
        <f t="shared" si="43"/>
        <v>90</v>
      </c>
      <c r="AG273" s="28">
        <f>COUNTIF(AF$3:AF273,AF273)-1</f>
        <v>1</v>
      </c>
    </row>
    <row r="274" spans="1:33" x14ac:dyDescent="0.25">
      <c r="A274" s="27"/>
      <c r="B274" s="27"/>
      <c r="C274" s="14"/>
      <c r="D274" s="14"/>
      <c r="E274" s="27"/>
      <c r="F274" s="27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28">
        <f t="shared" si="44"/>
        <v>272</v>
      </c>
      <c r="AB274" s="28">
        <f t="shared" ca="1" si="39"/>
        <v>20090</v>
      </c>
      <c r="AC274" s="28">
        <f t="shared" ca="1" si="40"/>
        <v>9</v>
      </c>
      <c r="AD274" s="29">
        <f t="shared" ca="1" si="41"/>
        <v>7000</v>
      </c>
      <c r="AE274" s="28" t="str">
        <f t="shared" ca="1" si="42"/>
        <v>副本90</v>
      </c>
      <c r="AF274" s="28">
        <f t="shared" si="43"/>
        <v>90</v>
      </c>
      <c r="AG274" s="28">
        <f>COUNTIF(AF$3:AF274,AF274)-1</f>
        <v>2</v>
      </c>
    </row>
    <row r="275" spans="1:33" x14ac:dyDescent="0.25">
      <c r="A275" s="27"/>
      <c r="B275" s="27"/>
      <c r="C275" s="14"/>
      <c r="D275" s="14"/>
      <c r="E275" s="27"/>
      <c r="F275" s="27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28">
        <f t="shared" si="44"/>
        <v>273</v>
      </c>
      <c r="AB275" s="28">
        <f t="shared" ca="1" si="39"/>
        <v>20090</v>
      </c>
      <c r="AC275" s="28">
        <f t="shared" ca="1" si="40"/>
        <v>7</v>
      </c>
      <c r="AD275" s="29">
        <f t="shared" ca="1" si="41"/>
        <v>8000</v>
      </c>
      <c r="AE275" s="28" t="str">
        <f t="shared" ca="1" si="42"/>
        <v>副本90</v>
      </c>
      <c r="AF275" s="28">
        <f t="shared" si="43"/>
        <v>90</v>
      </c>
      <c r="AG275" s="28">
        <f>COUNTIF(AF$3:AF275,AF275)-1</f>
        <v>3</v>
      </c>
    </row>
    <row r="276" spans="1:33" x14ac:dyDescent="0.25">
      <c r="A276" s="27"/>
      <c r="B276" s="27"/>
      <c r="C276" s="14"/>
      <c r="D276" s="14"/>
      <c r="E276" s="27"/>
      <c r="F276" s="27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28">
        <f t="shared" si="44"/>
        <v>274</v>
      </c>
      <c r="AB276" s="28">
        <f t="shared" ca="1" si="39"/>
        <v>20091</v>
      </c>
      <c r="AC276" s="28">
        <f t="shared" ca="1" si="40"/>
        <v>1</v>
      </c>
      <c r="AD276" s="29">
        <f t="shared" ca="1" si="41"/>
        <v>10000</v>
      </c>
      <c r="AE276" s="28" t="str">
        <f t="shared" ca="1" si="42"/>
        <v>副本91</v>
      </c>
      <c r="AF276" s="28">
        <f t="shared" si="43"/>
        <v>91</v>
      </c>
      <c r="AG276" s="28">
        <f>COUNTIF(AF$3:AF276,AF276)-1</f>
        <v>0</v>
      </c>
    </row>
    <row r="277" spans="1:33" x14ac:dyDescent="0.25">
      <c r="A277" s="27"/>
      <c r="B277" s="27"/>
      <c r="C277" s="14"/>
      <c r="D277" s="14"/>
      <c r="E277" s="27"/>
      <c r="F277" s="27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28">
        <f t="shared" si="44"/>
        <v>275</v>
      </c>
      <c r="AB277" s="28">
        <f t="shared" ca="1" si="39"/>
        <v>20091</v>
      </c>
      <c r="AC277" s="28">
        <f t="shared" ca="1" si="40"/>
        <v>15</v>
      </c>
      <c r="AD277" s="29">
        <f t="shared" ca="1" si="41"/>
        <v>5000</v>
      </c>
      <c r="AE277" s="28" t="str">
        <f t="shared" ca="1" si="42"/>
        <v>副本91</v>
      </c>
      <c r="AF277" s="28">
        <f t="shared" si="43"/>
        <v>91</v>
      </c>
      <c r="AG277" s="28">
        <f>COUNTIF(AF$3:AF277,AF277)-1</f>
        <v>1</v>
      </c>
    </row>
    <row r="278" spans="1:33" x14ac:dyDescent="0.25">
      <c r="A278" s="27"/>
      <c r="B278" s="27"/>
      <c r="C278" s="14"/>
      <c r="D278" s="14"/>
      <c r="E278" s="27"/>
      <c r="F278" s="27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28">
        <f t="shared" si="44"/>
        <v>276</v>
      </c>
      <c r="AB278" s="28">
        <f t="shared" ca="1" si="39"/>
        <v>20091</v>
      </c>
      <c r="AC278" s="28">
        <f t="shared" ca="1" si="40"/>
        <v>9</v>
      </c>
      <c r="AD278" s="29">
        <f t="shared" ca="1" si="41"/>
        <v>7000</v>
      </c>
      <c r="AE278" s="28" t="str">
        <f t="shared" ca="1" si="42"/>
        <v>副本91</v>
      </c>
      <c r="AF278" s="28">
        <f t="shared" si="43"/>
        <v>91</v>
      </c>
      <c r="AG278" s="28">
        <f>COUNTIF(AF$3:AF278,AF278)-1</f>
        <v>2</v>
      </c>
    </row>
    <row r="279" spans="1:33" x14ac:dyDescent="0.25">
      <c r="A279" s="27"/>
      <c r="B279" s="27"/>
      <c r="C279" s="14"/>
      <c r="D279" s="14"/>
      <c r="E279" s="27"/>
      <c r="F279" s="27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28">
        <f t="shared" si="44"/>
        <v>277</v>
      </c>
      <c r="AB279" s="28">
        <f t="shared" ca="1" si="39"/>
        <v>20091</v>
      </c>
      <c r="AC279" s="28">
        <f t="shared" ca="1" si="40"/>
        <v>7</v>
      </c>
      <c r="AD279" s="29">
        <f t="shared" ca="1" si="41"/>
        <v>8000</v>
      </c>
      <c r="AE279" s="28" t="str">
        <f t="shared" ca="1" si="42"/>
        <v>副本91</v>
      </c>
      <c r="AF279" s="28">
        <f t="shared" si="43"/>
        <v>91</v>
      </c>
      <c r="AG279" s="28">
        <f>COUNTIF(AF$3:AF279,AF279)-1</f>
        <v>3</v>
      </c>
    </row>
    <row r="280" spans="1:33" x14ac:dyDescent="0.25">
      <c r="A280" s="27"/>
      <c r="B280" s="27"/>
      <c r="C280" s="14"/>
      <c r="D280" s="14"/>
      <c r="E280" s="27"/>
      <c r="F280" s="27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28">
        <f t="shared" si="44"/>
        <v>278</v>
      </c>
      <c r="AB280" s="28">
        <f t="shared" ca="1" si="39"/>
        <v>20092</v>
      </c>
      <c r="AC280" s="28">
        <f t="shared" ca="1" si="40"/>
        <v>1</v>
      </c>
      <c r="AD280" s="29">
        <f t="shared" ca="1" si="41"/>
        <v>10000</v>
      </c>
      <c r="AE280" s="28" t="str">
        <f t="shared" ca="1" si="42"/>
        <v>副本92</v>
      </c>
      <c r="AF280" s="28">
        <f t="shared" si="43"/>
        <v>92</v>
      </c>
      <c r="AG280" s="28">
        <f>COUNTIF(AF$3:AF280,AF280)-1</f>
        <v>0</v>
      </c>
    </row>
    <row r="281" spans="1:33" x14ac:dyDescent="0.25">
      <c r="A281" s="27"/>
      <c r="B281" s="27"/>
      <c r="C281" s="14"/>
      <c r="D281" s="14"/>
      <c r="E281" s="27"/>
      <c r="F281" s="27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28">
        <f t="shared" si="44"/>
        <v>279</v>
      </c>
      <c r="AB281" s="28">
        <f t="shared" ca="1" si="39"/>
        <v>20092</v>
      </c>
      <c r="AC281" s="28">
        <f t="shared" ca="1" si="40"/>
        <v>16</v>
      </c>
      <c r="AD281" s="29">
        <f t="shared" ca="1" si="41"/>
        <v>5000</v>
      </c>
      <c r="AE281" s="28" t="str">
        <f t="shared" ca="1" si="42"/>
        <v>副本92</v>
      </c>
      <c r="AF281" s="28">
        <f t="shared" si="43"/>
        <v>92</v>
      </c>
      <c r="AG281" s="28">
        <f>COUNTIF(AF$3:AF281,AF281)-1</f>
        <v>1</v>
      </c>
    </row>
    <row r="282" spans="1:33" x14ac:dyDescent="0.25">
      <c r="A282" s="27"/>
      <c r="B282" s="27"/>
      <c r="C282" s="14"/>
      <c r="D282" s="14"/>
      <c r="E282" s="27"/>
      <c r="F282" s="27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28">
        <f t="shared" si="44"/>
        <v>280</v>
      </c>
      <c r="AB282" s="28">
        <f t="shared" ca="1" si="39"/>
        <v>20092</v>
      </c>
      <c r="AC282" s="28">
        <f t="shared" ca="1" si="40"/>
        <v>8</v>
      </c>
      <c r="AD282" s="29">
        <f t="shared" ca="1" si="41"/>
        <v>7000</v>
      </c>
      <c r="AE282" s="28" t="str">
        <f t="shared" ca="1" si="42"/>
        <v>副本92</v>
      </c>
      <c r="AF282" s="28">
        <f t="shared" si="43"/>
        <v>92</v>
      </c>
      <c r="AG282" s="28">
        <f>COUNTIF(AF$3:AF282,AF282)-1</f>
        <v>2</v>
      </c>
    </row>
    <row r="283" spans="1:33" x14ac:dyDescent="0.25">
      <c r="A283" s="27"/>
      <c r="B283" s="27"/>
      <c r="C283" s="14"/>
      <c r="D283" s="14"/>
      <c r="E283" s="27"/>
      <c r="F283" s="27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28">
        <f t="shared" si="44"/>
        <v>281</v>
      </c>
      <c r="AB283" s="28">
        <f t="shared" ca="1" si="39"/>
        <v>20092</v>
      </c>
      <c r="AC283" s="28">
        <f t="shared" ca="1" si="40"/>
        <v>5</v>
      </c>
      <c r="AD283" s="29">
        <f t="shared" ca="1" si="41"/>
        <v>8000</v>
      </c>
      <c r="AE283" s="28" t="str">
        <f t="shared" ca="1" si="42"/>
        <v>副本92</v>
      </c>
      <c r="AF283" s="28">
        <f t="shared" si="43"/>
        <v>92</v>
      </c>
      <c r="AG283" s="28">
        <f>COUNTIF(AF$3:AF283,AF283)-1</f>
        <v>3</v>
      </c>
    </row>
    <row r="284" spans="1:33" x14ac:dyDescent="0.25">
      <c r="A284" s="27"/>
      <c r="B284" s="27"/>
      <c r="C284" s="14"/>
      <c r="D284" s="14"/>
      <c r="E284" s="27"/>
      <c r="F284" s="27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28">
        <f t="shared" si="44"/>
        <v>282</v>
      </c>
      <c r="AB284" s="28">
        <f t="shared" ca="1" si="39"/>
        <v>20093</v>
      </c>
      <c r="AC284" s="28">
        <f t="shared" ca="1" si="40"/>
        <v>1</v>
      </c>
      <c r="AD284" s="29">
        <f t="shared" ca="1" si="41"/>
        <v>10000</v>
      </c>
      <c r="AE284" s="28" t="str">
        <f t="shared" ca="1" si="42"/>
        <v>副本93</v>
      </c>
      <c r="AF284" s="28">
        <f t="shared" si="43"/>
        <v>93</v>
      </c>
      <c r="AG284" s="28">
        <f>COUNTIF(AF$3:AF284,AF284)-1</f>
        <v>0</v>
      </c>
    </row>
    <row r="285" spans="1:33" x14ac:dyDescent="0.25">
      <c r="A285" s="27"/>
      <c r="B285" s="27"/>
      <c r="C285" s="14"/>
      <c r="D285" s="14"/>
      <c r="E285" s="27"/>
      <c r="F285" s="27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28">
        <f t="shared" si="44"/>
        <v>283</v>
      </c>
      <c r="AB285" s="28">
        <f t="shared" ca="1" si="39"/>
        <v>20093</v>
      </c>
      <c r="AC285" s="28">
        <f t="shared" ca="1" si="40"/>
        <v>16</v>
      </c>
      <c r="AD285" s="29">
        <f t="shared" ca="1" si="41"/>
        <v>5000</v>
      </c>
      <c r="AE285" s="28" t="str">
        <f t="shared" ca="1" si="42"/>
        <v>副本93</v>
      </c>
      <c r="AF285" s="28">
        <f t="shared" si="43"/>
        <v>93</v>
      </c>
      <c r="AG285" s="28">
        <f>COUNTIF(AF$3:AF285,AF285)-1</f>
        <v>1</v>
      </c>
    </row>
    <row r="286" spans="1:33" x14ac:dyDescent="0.25">
      <c r="A286" s="27"/>
      <c r="B286" s="27"/>
      <c r="C286" s="14"/>
      <c r="D286" s="14"/>
      <c r="E286" s="27"/>
      <c r="F286" s="27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28">
        <f t="shared" si="44"/>
        <v>284</v>
      </c>
      <c r="AB286" s="28">
        <f t="shared" ca="1" si="39"/>
        <v>20093</v>
      </c>
      <c r="AC286" s="28">
        <f t="shared" ca="1" si="40"/>
        <v>8</v>
      </c>
      <c r="AD286" s="29">
        <f t="shared" ca="1" si="41"/>
        <v>7000</v>
      </c>
      <c r="AE286" s="28" t="str">
        <f t="shared" ca="1" si="42"/>
        <v>副本93</v>
      </c>
      <c r="AF286" s="28">
        <f t="shared" si="43"/>
        <v>93</v>
      </c>
      <c r="AG286" s="28">
        <f>COUNTIF(AF$3:AF286,AF286)-1</f>
        <v>2</v>
      </c>
    </row>
    <row r="287" spans="1:33" x14ac:dyDescent="0.25">
      <c r="A287" s="27"/>
      <c r="B287" s="27"/>
      <c r="C287" s="14"/>
      <c r="D287" s="14"/>
      <c r="E287" s="27"/>
      <c r="F287" s="27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28">
        <f t="shared" si="44"/>
        <v>285</v>
      </c>
      <c r="AB287" s="28">
        <f t="shared" ca="1" si="39"/>
        <v>20093</v>
      </c>
      <c r="AC287" s="28">
        <f t="shared" ca="1" si="40"/>
        <v>5</v>
      </c>
      <c r="AD287" s="29">
        <f t="shared" ca="1" si="41"/>
        <v>8000</v>
      </c>
      <c r="AE287" s="28" t="str">
        <f t="shared" ca="1" si="42"/>
        <v>副本93</v>
      </c>
      <c r="AF287" s="28">
        <f t="shared" si="43"/>
        <v>93</v>
      </c>
      <c r="AG287" s="28">
        <f>COUNTIF(AF$3:AF287,AF287)-1</f>
        <v>3</v>
      </c>
    </row>
    <row r="288" spans="1:33" x14ac:dyDescent="0.25">
      <c r="A288" s="27"/>
      <c r="B288" s="27"/>
      <c r="C288" s="14"/>
      <c r="D288" s="14"/>
      <c r="E288" s="27"/>
      <c r="F288" s="27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28">
        <f t="shared" si="44"/>
        <v>286</v>
      </c>
      <c r="AB288" s="28">
        <f t="shared" ca="1" si="39"/>
        <v>20094</v>
      </c>
      <c r="AC288" s="28">
        <f t="shared" ca="1" si="40"/>
        <v>1</v>
      </c>
      <c r="AD288" s="29">
        <f t="shared" ca="1" si="41"/>
        <v>10000</v>
      </c>
      <c r="AE288" s="28" t="str">
        <f t="shared" ca="1" si="42"/>
        <v>副本94</v>
      </c>
      <c r="AF288" s="28">
        <f t="shared" si="43"/>
        <v>94</v>
      </c>
      <c r="AG288" s="28">
        <f>COUNTIF(AF$3:AF288,AF288)-1</f>
        <v>0</v>
      </c>
    </row>
    <row r="289" spans="1:33" x14ac:dyDescent="0.25">
      <c r="A289" s="27"/>
      <c r="B289" s="27"/>
      <c r="C289" s="14"/>
      <c r="D289" s="14"/>
      <c r="E289" s="27"/>
      <c r="F289" s="27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28">
        <f t="shared" si="44"/>
        <v>287</v>
      </c>
      <c r="AB289" s="28">
        <f t="shared" ca="1" si="39"/>
        <v>20094</v>
      </c>
      <c r="AC289" s="28">
        <f t="shared" ca="1" si="40"/>
        <v>16</v>
      </c>
      <c r="AD289" s="29">
        <f t="shared" ca="1" si="41"/>
        <v>5000</v>
      </c>
      <c r="AE289" s="28" t="str">
        <f t="shared" ca="1" si="42"/>
        <v>副本94</v>
      </c>
      <c r="AF289" s="28">
        <f t="shared" si="43"/>
        <v>94</v>
      </c>
      <c r="AG289" s="28">
        <f>COUNTIF(AF$3:AF289,AF289)-1</f>
        <v>1</v>
      </c>
    </row>
    <row r="290" spans="1:33" x14ac:dyDescent="0.25">
      <c r="A290" s="27"/>
      <c r="B290" s="27"/>
      <c r="C290" s="14"/>
      <c r="D290" s="14"/>
      <c r="E290" s="27"/>
      <c r="F290" s="27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28">
        <f t="shared" si="44"/>
        <v>288</v>
      </c>
      <c r="AB290" s="28">
        <f t="shared" ca="1" si="39"/>
        <v>20094</v>
      </c>
      <c r="AC290" s="28">
        <f t="shared" ca="1" si="40"/>
        <v>8</v>
      </c>
      <c r="AD290" s="29">
        <f t="shared" ca="1" si="41"/>
        <v>7000</v>
      </c>
      <c r="AE290" s="28" t="str">
        <f t="shared" ca="1" si="42"/>
        <v>副本94</v>
      </c>
      <c r="AF290" s="28">
        <f t="shared" si="43"/>
        <v>94</v>
      </c>
      <c r="AG290" s="28">
        <f>COUNTIF(AF$3:AF290,AF290)-1</f>
        <v>2</v>
      </c>
    </row>
    <row r="291" spans="1:33" x14ac:dyDescent="0.25">
      <c r="A291" s="27"/>
      <c r="B291" s="27"/>
      <c r="C291" s="14"/>
      <c r="D291" s="14"/>
      <c r="E291" s="27"/>
      <c r="F291" s="27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28">
        <f t="shared" si="44"/>
        <v>289</v>
      </c>
      <c r="AB291" s="28">
        <f t="shared" ca="1" si="39"/>
        <v>20094</v>
      </c>
      <c r="AC291" s="28">
        <f t="shared" ca="1" si="40"/>
        <v>5</v>
      </c>
      <c r="AD291" s="29">
        <f t="shared" ca="1" si="41"/>
        <v>8000</v>
      </c>
      <c r="AE291" s="28" t="str">
        <f t="shared" ca="1" si="42"/>
        <v>副本94</v>
      </c>
      <c r="AF291" s="28">
        <f t="shared" si="43"/>
        <v>94</v>
      </c>
      <c r="AG291" s="28">
        <f>COUNTIF(AF$3:AF291,AF291)-1</f>
        <v>3</v>
      </c>
    </row>
    <row r="292" spans="1:33" x14ac:dyDescent="0.25">
      <c r="A292" s="27"/>
      <c r="B292" s="27"/>
      <c r="C292" s="14"/>
      <c r="D292" s="14"/>
      <c r="E292" s="27"/>
      <c r="F292" s="27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28">
        <f t="shared" si="44"/>
        <v>290</v>
      </c>
      <c r="AB292" s="28">
        <f t="shared" ca="1" si="39"/>
        <v>20095</v>
      </c>
      <c r="AC292" s="28">
        <f t="shared" ca="1" si="40"/>
        <v>1</v>
      </c>
      <c r="AD292" s="29">
        <f t="shared" ca="1" si="41"/>
        <v>10000</v>
      </c>
      <c r="AE292" s="28" t="str">
        <f t="shared" ca="1" si="42"/>
        <v>副本95</v>
      </c>
      <c r="AF292" s="28">
        <f t="shared" si="43"/>
        <v>95</v>
      </c>
      <c r="AG292" s="28">
        <f>COUNTIF(AF$3:AF292,AF292)-1</f>
        <v>0</v>
      </c>
    </row>
    <row r="293" spans="1:33" x14ac:dyDescent="0.25">
      <c r="A293" s="27"/>
      <c r="B293" s="27"/>
      <c r="C293" s="14"/>
      <c r="D293" s="14"/>
      <c r="E293" s="27"/>
      <c r="F293" s="27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28">
        <f t="shared" si="44"/>
        <v>291</v>
      </c>
      <c r="AB293" s="28">
        <f t="shared" ca="1" si="39"/>
        <v>20095</v>
      </c>
      <c r="AC293" s="28">
        <f t="shared" ca="1" si="40"/>
        <v>14</v>
      </c>
      <c r="AD293" s="29">
        <f t="shared" ca="1" si="41"/>
        <v>5000</v>
      </c>
      <c r="AE293" s="28" t="str">
        <f t="shared" ca="1" si="42"/>
        <v>副本95</v>
      </c>
      <c r="AF293" s="28">
        <f t="shared" si="43"/>
        <v>95</v>
      </c>
      <c r="AG293" s="28">
        <f>COUNTIF(AF$3:AF293,AF293)-1</f>
        <v>1</v>
      </c>
    </row>
    <row r="294" spans="1:33" x14ac:dyDescent="0.25">
      <c r="A294" s="27"/>
      <c r="B294" s="27"/>
      <c r="C294" s="14"/>
      <c r="D294" s="14"/>
      <c r="E294" s="27"/>
      <c r="F294" s="27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28">
        <f t="shared" si="44"/>
        <v>292</v>
      </c>
      <c r="AB294" s="28">
        <f t="shared" ca="1" si="39"/>
        <v>20095</v>
      </c>
      <c r="AC294" s="28">
        <f t="shared" ca="1" si="40"/>
        <v>9</v>
      </c>
      <c r="AD294" s="29">
        <f t="shared" ca="1" si="41"/>
        <v>7000</v>
      </c>
      <c r="AE294" s="28" t="str">
        <f t="shared" ca="1" si="42"/>
        <v>副本95</v>
      </c>
      <c r="AF294" s="28">
        <f t="shared" si="43"/>
        <v>95</v>
      </c>
      <c r="AG294" s="28">
        <f>COUNTIF(AF$3:AF294,AF294)-1</f>
        <v>2</v>
      </c>
    </row>
    <row r="295" spans="1:33" x14ac:dyDescent="0.25">
      <c r="A295" s="27"/>
      <c r="B295" s="27"/>
      <c r="C295" s="14"/>
      <c r="D295" s="14"/>
      <c r="E295" s="27"/>
      <c r="F295" s="27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28">
        <f t="shared" si="44"/>
        <v>293</v>
      </c>
      <c r="AB295" s="28">
        <f t="shared" ca="1" si="39"/>
        <v>20095</v>
      </c>
      <c r="AC295" s="28">
        <f t="shared" ca="1" si="40"/>
        <v>7</v>
      </c>
      <c r="AD295" s="29">
        <f t="shared" ca="1" si="41"/>
        <v>8000</v>
      </c>
      <c r="AE295" s="28" t="str">
        <f t="shared" ca="1" si="42"/>
        <v>副本95</v>
      </c>
      <c r="AF295" s="28">
        <f t="shared" si="43"/>
        <v>95</v>
      </c>
      <c r="AG295" s="28">
        <f>COUNTIF(AF$3:AF295,AF295)-1</f>
        <v>3</v>
      </c>
    </row>
    <row r="296" spans="1:33" x14ac:dyDescent="0.25">
      <c r="A296" s="27"/>
      <c r="B296" s="27"/>
      <c r="C296" s="14"/>
      <c r="D296" s="14"/>
      <c r="E296" s="27"/>
      <c r="F296" s="27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28">
        <f t="shared" si="44"/>
        <v>294</v>
      </c>
      <c r="AB296" s="28">
        <f t="shared" ca="1" si="39"/>
        <v>20096</v>
      </c>
      <c r="AC296" s="28">
        <f t="shared" ca="1" si="40"/>
        <v>1</v>
      </c>
      <c r="AD296" s="29">
        <f t="shared" ca="1" si="41"/>
        <v>10000</v>
      </c>
      <c r="AE296" s="28" t="str">
        <f t="shared" ca="1" si="42"/>
        <v>副本96</v>
      </c>
      <c r="AF296" s="28">
        <f t="shared" si="43"/>
        <v>96</v>
      </c>
      <c r="AG296" s="28">
        <f>COUNTIF(AF$3:AF296,AF296)-1</f>
        <v>0</v>
      </c>
    </row>
    <row r="297" spans="1:33" x14ac:dyDescent="0.25">
      <c r="A297" s="27"/>
      <c r="B297" s="27"/>
      <c r="C297" s="14"/>
      <c r="D297" s="14"/>
      <c r="E297" s="27"/>
      <c r="F297" s="27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28">
        <f t="shared" si="44"/>
        <v>295</v>
      </c>
      <c r="AB297" s="28">
        <f t="shared" ca="1" si="39"/>
        <v>20096</v>
      </c>
      <c r="AC297" s="28">
        <f t="shared" ca="1" si="40"/>
        <v>14</v>
      </c>
      <c r="AD297" s="29">
        <f t="shared" ca="1" si="41"/>
        <v>5000</v>
      </c>
      <c r="AE297" s="28" t="str">
        <f t="shared" ca="1" si="42"/>
        <v>副本96</v>
      </c>
      <c r="AF297" s="28">
        <f t="shared" si="43"/>
        <v>96</v>
      </c>
      <c r="AG297" s="28">
        <f>COUNTIF(AF$3:AF297,AF297)-1</f>
        <v>1</v>
      </c>
    </row>
    <row r="298" spans="1:33" x14ac:dyDescent="0.25">
      <c r="A298" s="27"/>
      <c r="B298" s="27"/>
      <c r="C298" s="14"/>
      <c r="D298" s="14"/>
      <c r="E298" s="27"/>
      <c r="F298" s="27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28">
        <f t="shared" si="44"/>
        <v>296</v>
      </c>
      <c r="AB298" s="28">
        <f t="shared" ca="1" si="39"/>
        <v>20096</v>
      </c>
      <c r="AC298" s="28">
        <f t="shared" ca="1" si="40"/>
        <v>9</v>
      </c>
      <c r="AD298" s="29">
        <f t="shared" ca="1" si="41"/>
        <v>7000</v>
      </c>
      <c r="AE298" s="28" t="str">
        <f t="shared" ca="1" si="42"/>
        <v>副本96</v>
      </c>
      <c r="AF298" s="28">
        <f t="shared" si="43"/>
        <v>96</v>
      </c>
      <c r="AG298" s="28">
        <f>COUNTIF(AF$3:AF298,AF298)-1</f>
        <v>2</v>
      </c>
    </row>
    <row r="299" spans="1:33" x14ac:dyDescent="0.25">
      <c r="A299" s="27"/>
      <c r="B299" s="27"/>
      <c r="C299" s="14"/>
      <c r="D299" s="14"/>
      <c r="E299" s="27"/>
      <c r="F299" s="27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28">
        <f t="shared" si="44"/>
        <v>297</v>
      </c>
      <c r="AB299" s="28">
        <f t="shared" ca="1" si="39"/>
        <v>20096</v>
      </c>
      <c r="AC299" s="28">
        <f t="shared" ca="1" si="40"/>
        <v>7</v>
      </c>
      <c r="AD299" s="29">
        <f t="shared" ca="1" si="41"/>
        <v>8000</v>
      </c>
      <c r="AE299" s="28" t="str">
        <f t="shared" ca="1" si="42"/>
        <v>副本96</v>
      </c>
      <c r="AF299" s="28">
        <f t="shared" si="43"/>
        <v>96</v>
      </c>
      <c r="AG299" s="28">
        <f>COUNTIF(AF$3:AF299,AF299)-1</f>
        <v>3</v>
      </c>
    </row>
    <row r="300" spans="1:33" x14ac:dyDescent="0.25">
      <c r="A300" s="27"/>
      <c r="B300" s="27"/>
      <c r="C300" s="14"/>
      <c r="D300" s="14"/>
      <c r="E300" s="27"/>
      <c r="F300" s="27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28">
        <f t="shared" si="44"/>
        <v>298</v>
      </c>
      <c r="AB300" s="28">
        <f t="shared" ca="1" si="39"/>
        <v>20097</v>
      </c>
      <c r="AC300" s="28">
        <f t="shared" ca="1" si="40"/>
        <v>1</v>
      </c>
      <c r="AD300" s="29">
        <f t="shared" ca="1" si="41"/>
        <v>10000</v>
      </c>
      <c r="AE300" s="28" t="str">
        <f t="shared" ca="1" si="42"/>
        <v>副本97</v>
      </c>
      <c r="AF300" s="28">
        <f t="shared" si="43"/>
        <v>97</v>
      </c>
      <c r="AG300" s="28">
        <f>COUNTIF(AF$3:AF300,AF300)-1</f>
        <v>0</v>
      </c>
    </row>
    <row r="301" spans="1:33" x14ac:dyDescent="0.25">
      <c r="A301" s="27"/>
      <c r="B301" s="27"/>
      <c r="C301" s="14"/>
      <c r="D301" s="14"/>
      <c r="E301" s="27"/>
      <c r="F301" s="27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28">
        <f t="shared" si="44"/>
        <v>299</v>
      </c>
      <c r="AB301" s="28">
        <f t="shared" ca="1" si="39"/>
        <v>20097</v>
      </c>
      <c r="AC301" s="28">
        <f t="shared" ca="1" si="40"/>
        <v>14</v>
      </c>
      <c r="AD301" s="29">
        <f t="shared" ca="1" si="41"/>
        <v>5000</v>
      </c>
      <c r="AE301" s="28" t="str">
        <f t="shared" ca="1" si="42"/>
        <v>副本97</v>
      </c>
      <c r="AF301" s="28">
        <f t="shared" si="43"/>
        <v>97</v>
      </c>
      <c r="AG301" s="28">
        <f>COUNTIF(AF$3:AF301,AF301)-1</f>
        <v>1</v>
      </c>
    </row>
    <row r="302" spans="1:33" x14ac:dyDescent="0.25">
      <c r="A302" s="27"/>
      <c r="B302" s="27"/>
      <c r="C302" s="14"/>
      <c r="D302" s="14"/>
      <c r="E302" s="27"/>
      <c r="F302" s="27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28">
        <f t="shared" ref="AA302:AA319" si="48">IF(ROW(A300)&gt;MAX(D:D),"",ROW(A300))</f>
        <v>300</v>
      </c>
      <c r="AB302" s="28">
        <f t="shared" ref="AB302:AB319" ca="1" si="49">OFFSET(A$2,$AF302,)</f>
        <v>20097</v>
      </c>
      <c r="AC302" s="28">
        <f t="shared" ca="1" si="40"/>
        <v>9</v>
      </c>
      <c r="AD302" s="29">
        <f t="shared" ca="1" si="41"/>
        <v>7000</v>
      </c>
      <c r="AE302" s="28" t="str">
        <f t="shared" ref="AE302:AE319" ca="1" si="50">OFFSET(B$2,$AF302,)</f>
        <v>副本97</v>
      </c>
      <c r="AF302" s="28">
        <f t="shared" ref="AF302:AF319" si="51">FREQUENCY(D:D,AA302-0.1)+1</f>
        <v>97</v>
      </c>
      <c r="AG302" s="28">
        <f>COUNTIF(AF$3:AF302,AF302)-1</f>
        <v>2</v>
      </c>
    </row>
    <row r="303" spans="1:33" x14ac:dyDescent="0.25">
      <c r="A303" s="27"/>
      <c r="B303" s="27"/>
      <c r="C303" s="14"/>
      <c r="D303" s="14"/>
      <c r="E303" s="27"/>
      <c r="F303" s="27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28">
        <f t="shared" si="48"/>
        <v>301</v>
      </c>
      <c r="AB303" s="28">
        <f t="shared" ca="1" si="49"/>
        <v>20097</v>
      </c>
      <c r="AC303" s="28">
        <f t="shared" ca="1" si="40"/>
        <v>7</v>
      </c>
      <c r="AD303" s="29">
        <f t="shared" ca="1" si="41"/>
        <v>8000</v>
      </c>
      <c r="AE303" s="28" t="str">
        <f t="shared" ca="1" si="50"/>
        <v>副本97</v>
      </c>
      <c r="AF303" s="28">
        <f t="shared" si="51"/>
        <v>97</v>
      </c>
      <c r="AG303" s="28">
        <f>COUNTIF(AF$3:AF303,AF303)-1</f>
        <v>3</v>
      </c>
    </row>
    <row r="304" spans="1:33" x14ac:dyDescent="0.25">
      <c r="A304" s="27"/>
      <c r="B304" s="27"/>
      <c r="C304" s="14"/>
      <c r="D304" s="14"/>
      <c r="E304" s="27"/>
      <c r="F304" s="27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28">
        <f t="shared" si="48"/>
        <v>302</v>
      </c>
      <c r="AB304" s="28">
        <f t="shared" ca="1" si="49"/>
        <v>20098</v>
      </c>
      <c r="AC304" s="28">
        <f t="shared" ca="1" si="40"/>
        <v>1</v>
      </c>
      <c r="AD304" s="29">
        <f t="shared" ca="1" si="41"/>
        <v>10000</v>
      </c>
      <c r="AE304" s="28" t="str">
        <f t="shared" ca="1" si="50"/>
        <v>副本98</v>
      </c>
      <c r="AF304" s="28">
        <f t="shared" si="51"/>
        <v>98</v>
      </c>
      <c r="AG304" s="28">
        <f>COUNTIF(AF$3:AF304,AF304)-1</f>
        <v>0</v>
      </c>
    </row>
    <row r="305" spans="1:33" x14ac:dyDescent="0.25">
      <c r="A305" s="27"/>
      <c r="B305" s="27"/>
      <c r="C305" s="14"/>
      <c r="D305" s="14"/>
      <c r="E305" s="27"/>
      <c r="F305" s="27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28">
        <f t="shared" si="48"/>
        <v>303</v>
      </c>
      <c r="AB305" s="28">
        <f t="shared" ca="1" si="49"/>
        <v>20098</v>
      </c>
      <c r="AC305" s="28">
        <f t="shared" ca="1" si="40"/>
        <v>14</v>
      </c>
      <c r="AD305" s="29">
        <f t="shared" ca="1" si="41"/>
        <v>5000</v>
      </c>
      <c r="AE305" s="28" t="str">
        <f t="shared" ca="1" si="50"/>
        <v>副本98</v>
      </c>
      <c r="AF305" s="28">
        <f t="shared" si="51"/>
        <v>98</v>
      </c>
      <c r="AG305" s="28">
        <f>COUNTIF(AF$3:AF305,AF305)-1</f>
        <v>1</v>
      </c>
    </row>
    <row r="306" spans="1:33" x14ac:dyDescent="0.25">
      <c r="A306" s="27"/>
      <c r="B306" s="27"/>
      <c r="C306" s="14"/>
      <c r="D306" s="14"/>
      <c r="E306" s="27"/>
      <c r="F306" s="27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28">
        <f t="shared" si="48"/>
        <v>304</v>
      </c>
      <c r="AB306" s="28">
        <f t="shared" ca="1" si="49"/>
        <v>20098</v>
      </c>
      <c r="AC306" s="28">
        <f t="shared" ca="1" si="40"/>
        <v>9</v>
      </c>
      <c r="AD306" s="29">
        <f t="shared" ca="1" si="41"/>
        <v>7000</v>
      </c>
      <c r="AE306" s="28" t="str">
        <f t="shared" ca="1" si="50"/>
        <v>副本98</v>
      </c>
      <c r="AF306" s="28">
        <f t="shared" si="51"/>
        <v>98</v>
      </c>
      <c r="AG306" s="28">
        <f>COUNTIF(AF$3:AF306,AF306)-1</f>
        <v>2</v>
      </c>
    </row>
    <row r="307" spans="1:33" x14ac:dyDescent="0.25">
      <c r="A307" s="27"/>
      <c r="B307" s="27"/>
      <c r="C307" s="14"/>
      <c r="D307" s="14"/>
      <c r="E307" s="27"/>
      <c r="F307" s="27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28">
        <f t="shared" si="48"/>
        <v>305</v>
      </c>
      <c r="AB307" s="28">
        <f t="shared" ca="1" si="49"/>
        <v>20098</v>
      </c>
      <c r="AC307" s="28">
        <f t="shared" ca="1" si="40"/>
        <v>7</v>
      </c>
      <c r="AD307" s="29">
        <f t="shared" ca="1" si="41"/>
        <v>8000</v>
      </c>
      <c r="AE307" s="28" t="str">
        <f t="shared" ca="1" si="50"/>
        <v>副本98</v>
      </c>
      <c r="AF307" s="28">
        <f t="shared" si="51"/>
        <v>98</v>
      </c>
      <c r="AG307" s="28">
        <f>COUNTIF(AF$3:AF307,AF307)-1</f>
        <v>3</v>
      </c>
    </row>
    <row r="308" spans="1:33" x14ac:dyDescent="0.25">
      <c r="A308" s="27"/>
      <c r="B308" s="27"/>
      <c r="C308" s="14"/>
      <c r="D308" s="14"/>
      <c r="E308" s="27"/>
      <c r="F308" s="27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28">
        <f t="shared" si="48"/>
        <v>306</v>
      </c>
      <c r="AB308" s="28">
        <f t="shared" ca="1" si="49"/>
        <v>20099</v>
      </c>
      <c r="AC308" s="28">
        <f t="shared" ca="1" si="40"/>
        <v>1</v>
      </c>
      <c r="AD308" s="29">
        <f t="shared" ca="1" si="41"/>
        <v>10000</v>
      </c>
      <c r="AE308" s="28" t="str">
        <f t="shared" ca="1" si="50"/>
        <v>副本99</v>
      </c>
      <c r="AF308" s="28">
        <f t="shared" si="51"/>
        <v>99</v>
      </c>
      <c r="AG308" s="28">
        <f>COUNTIF(AF$3:AF308,AF308)-1</f>
        <v>0</v>
      </c>
    </row>
    <row r="309" spans="1:33" x14ac:dyDescent="0.25">
      <c r="A309" s="27"/>
      <c r="B309" s="27"/>
      <c r="C309" s="14"/>
      <c r="D309" s="14"/>
      <c r="E309" s="27"/>
      <c r="F309" s="27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28">
        <f t="shared" si="48"/>
        <v>307</v>
      </c>
      <c r="AB309" s="28">
        <f t="shared" ca="1" si="49"/>
        <v>20099</v>
      </c>
      <c r="AC309" s="28">
        <f t="shared" ca="1" si="40"/>
        <v>15</v>
      </c>
      <c r="AD309" s="29">
        <f t="shared" ca="1" si="41"/>
        <v>5000</v>
      </c>
      <c r="AE309" s="28" t="str">
        <f t="shared" ca="1" si="50"/>
        <v>副本99</v>
      </c>
      <c r="AF309" s="28">
        <f t="shared" si="51"/>
        <v>99</v>
      </c>
      <c r="AG309" s="28">
        <f>COUNTIF(AF$3:AF309,AF309)-1</f>
        <v>1</v>
      </c>
    </row>
    <row r="310" spans="1:33" x14ac:dyDescent="0.25">
      <c r="A310" s="27"/>
      <c r="B310" s="27"/>
      <c r="C310" s="14"/>
      <c r="D310" s="14"/>
      <c r="E310" s="27"/>
      <c r="F310" s="27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28">
        <f t="shared" si="48"/>
        <v>308</v>
      </c>
      <c r="AB310" s="28">
        <f t="shared" ca="1" si="49"/>
        <v>20099</v>
      </c>
      <c r="AC310" s="28">
        <f t="shared" ca="1" si="40"/>
        <v>8</v>
      </c>
      <c r="AD310" s="29">
        <f t="shared" ca="1" si="41"/>
        <v>7000</v>
      </c>
      <c r="AE310" s="28" t="str">
        <f t="shared" ca="1" si="50"/>
        <v>副本99</v>
      </c>
      <c r="AF310" s="28">
        <f t="shared" si="51"/>
        <v>99</v>
      </c>
      <c r="AG310" s="28">
        <f>COUNTIF(AF$3:AF310,AF310)-1</f>
        <v>2</v>
      </c>
    </row>
    <row r="311" spans="1:33" x14ac:dyDescent="0.25">
      <c r="A311" s="27"/>
      <c r="B311" s="27"/>
      <c r="C311" s="14"/>
      <c r="D311" s="14"/>
      <c r="E311" s="27"/>
      <c r="F311" s="27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28">
        <f t="shared" si="48"/>
        <v>309</v>
      </c>
      <c r="AB311" s="28">
        <f t="shared" ca="1" si="49"/>
        <v>20099</v>
      </c>
      <c r="AC311" s="28">
        <f t="shared" ca="1" si="40"/>
        <v>5</v>
      </c>
      <c r="AD311" s="29">
        <f t="shared" ca="1" si="41"/>
        <v>8000</v>
      </c>
      <c r="AE311" s="28" t="str">
        <f t="shared" ca="1" si="50"/>
        <v>副本99</v>
      </c>
      <c r="AF311" s="28">
        <f t="shared" si="51"/>
        <v>99</v>
      </c>
      <c r="AG311" s="28">
        <f>COUNTIF(AF$3:AF311,AF311)-1</f>
        <v>3</v>
      </c>
    </row>
    <row r="312" spans="1:33" x14ac:dyDescent="0.25">
      <c r="A312" s="27"/>
      <c r="B312" s="27"/>
      <c r="C312" s="14"/>
      <c r="D312" s="14"/>
      <c r="E312" s="27"/>
      <c r="F312" s="27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28">
        <f t="shared" si="48"/>
        <v>310</v>
      </c>
      <c r="AB312" s="28">
        <f t="shared" ca="1" si="49"/>
        <v>20100</v>
      </c>
      <c r="AC312" s="28">
        <f t="shared" ca="1" si="40"/>
        <v>1</v>
      </c>
      <c r="AD312" s="29">
        <f t="shared" ca="1" si="41"/>
        <v>10000</v>
      </c>
      <c r="AE312" s="28" t="str">
        <f t="shared" ca="1" si="50"/>
        <v>副本100</v>
      </c>
      <c r="AF312" s="28">
        <f t="shared" si="51"/>
        <v>100</v>
      </c>
      <c r="AG312" s="28">
        <f>COUNTIF(AF$3:AF312,AF312)-1</f>
        <v>0</v>
      </c>
    </row>
    <row r="313" spans="1:33" x14ac:dyDescent="0.25">
      <c r="A313" s="27"/>
      <c r="B313" s="27"/>
      <c r="C313" s="14"/>
      <c r="D313" s="14"/>
      <c r="E313" s="27"/>
      <c r="F313" s="27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28">
        <f t="shared" si="48"/>
        <v>311</v>
      </c>
      <c r="AB313" s="28">
        <f t="shared" ca="1" si="49"/>
        <v>20100</v>
      </c>
      <c r="AC313" s="28">
        <f t="shared" ca="1" si="40"/>
        <v>15</v>
      </c>
      <c r="AD313" s="29">
        <f t="shared" ca="1" si="41"/>
        <v>5000</v>
      </c>
      <c r="AE313" s="28" t="str">
        <f t="shared" ca="1" si="50"/>
        <v>副本100</v>
      </c>
      <c r="AF313" s="28">
        <f t="shared" si="51"/>
        <v>100</v>
      </c>
      <c r="AG313" s="28">
        <f>COUNTIF(AF$3:AF313,AF313)-1</f>
        <v>1</v>
      </c>
    </row>
    <row r="314" spans="1:33" x14ac:dyDescent="0.25">
      <c r="A314" s="27"/>
      <c r="B314" s="27"/>
      <c r="C314" s="14"/>
      <c r="D314" s="14"/>
      <c r="E314" s="27"/>
      <c r="F314" s="27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28">
        <f t="shared" si="48"/>
        <v>312</v>
      </c>
      <c r="AB314" s="28">
        <f t="shared" ca="1" si="49"/>
        <v>20100</v>
      </c>
      <c r="AC314" s="28">
        <f t="shared" ca="1" si="40"/>
        <v>8</v>
      </c>
      <c r="AD314" s="29">
        <f t="shared" ca="1" si="41"/>
        <v>7000</v>
      </c>
      <c r="AE314" s="28" t="str">
        <f t="shared" ca="1" si="50"/>
        <v>副本100</v>
      </c>
      <c r="AF314" s="28">
        <f t="shared" si="51"/>
        <v>100</v>
      </c>
      <c r="AG314" s="28">
        <f>COUNTIF(AF$3:AF314,AF314)-1</f>
        <v>2</v>
      </c>
    </row>
    <row r="315" spans="1:33" x14ac:dyDescent="0.25">
      <c r="A315" s="27"/>
      <c r="B315" s="27"/>
      <c r="C315" s="14"/>
      <c r="D315" s="14"/>
      <c r="E315" s="27"/>
      <c r="F315" s="27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28">
        <f t="shared" si="48"/>
        <v>313</v>
      </c>
      <c r="AB315" s="28">
        <f t="shared" ca="1" si="49"/>
        <v>20100</v>
      </c>
      <c r="AC315" s="28">
        <f t="shared" ca="1" si="40"/>
        <v>5</v>
      </c>
      <c r="AD315" s="29">
        <f t="shared" ca="1" si="41"/>
        <v>8000</v>
      </c>
      <c r="AE315" s="28" t="str">
        <f t="shared" ca="1" si="50"/>
        <v>副本100</v>
      </c>
      <c r="AF315" s="28">
        <f t="shared" si="51"/>
        <v>100</v>
      </c>
      <c r="AG315" s="28">
        <f>COUNTIF(AF$3:AF315,AF315)-1</f>
        <v>3</v>
      </c>
    </row>
    <row r="316" spans="1:33" x14ac:dyDescent="0.25">
      <c r="A316" s="27"/>
      <c r="B316" s="27"/>
      <c r="C316" s="14"/>
      <c r="D316" s="14"/>
      <c r="E316" s="27"/>
      <c r="F316" s="27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28">
        <f t="shared" si="48"/>
        <v>314</v>
      </c>
      <c r="AB316" s="28">
        <f t="shared" ca="1" si="49"/>
        <v>20101</v>
      </c>
      <c r="AC316" s="28">
        <f t="shared" ca="1" si="40"/>
        <v>1</v>
      </c>
      <c r="AD316" s="29">
        <f t="shared" ca="1" si="41"/>
        <v>10000</v>
      </c>
      <c r="AE316" s="28" t="str">
        <f t="shared" ca="1" si="50"/>
        <v>副本101</v>
      </c>
      <c r="AF316" s="28">
        <f t="shared" si="51"/>
        <v>101</v>
      </c>
      <c r="AG316" s="28">
        <f>COUNTIF(AF$3:AF316,AF316)-1</f>
        <v>0</v>
      </c>
    </row>
    <row r="317" spans="1:33" x14ac:dyDescent="0.25">
      <c r="A317" s="27"/>
      <c r="B317" s="27"/>
      <c r="C317" s="14"/>
      <c r="D317" s="14"/>
      <c r="E317" s="27"/>
      <c r="F317" s="27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28">
        <f t="shared" si="48"/>
        <v>315</v>
      </c>
      <c r="AB317" s="28">
        <f t="shared" ca="1" si="49"/>
        <v>20101</v>
      </c>
      <c r="AC317" s="28">
        <f t="shared" ca="1" si="40"/>
        <v>15</v>
      </c>
      <c r="AD317" s="29">
        <f t="shared" ca="1" si="41"/>
        <v>5000</v>
      </c>
      <c r="AE317" s="28" t="str">
        <f t="shared" ca="1" si="50"/>
        <v>副本101</v>
      </c>
      <c r="AF317" s="28">
        <f t="shared" si="51"/>
        <v>101</v>
      </c>
      <c r="AG317" s="28">
        <f>COUNTIF(AF$3:AF317,AF317)-1</f>
        <v>1</v>
      </c>
    </row>
    <row r="318" spans="1:33" x14ac:dyDescent="0.25">
      <c r="A318" s="27"/>
      <c r="B318" s="27"/>
      <c r="C318" s="14"/>
      <c r="D318" s="14"/>
      <c r="E318" s="27"/>
      <c r="F318" s="27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28">
        <f t="shared" si="48"/>
        <v>316</v>
      </c>
      <c r="AB318" s="28">
        <f t="shared" ca="1" si="49"/>
        <v>20101</v>
      </c>
      <c r="AC318" s="28">
        <f t="shared" ca="1" si="40"/>
        <v>8</v>
      </c>
      <c r="AD318" s="29">
        <f t="shared" ca="1" si="41"/>
        <v>7000</v>
      </c>
      <c r="AE318" s="28" t="str">
        <f t="shared" ca="1" si="50"/>
        <v>副本101</v>
      </c>
      <c r="AF318" s="28">
        <f t="shared" si="51"/>
        <v>101</v>
      </c>
      <c r="AG318" s="28">
        <f>COUNTIF(AF$3:AF318,AF318)-1</f>
        <v>2</v>
      </c>
    </row>
    <row r="319" spans="1:33" x14ac:dyDescent="0.25">
      <c r="A319" s="27"/>
      <c r="B319" s="27"/>
      <c r="C319" s="14"/>
      <c r="D319" s="14"/>
      <c r="E319" s="27"/>
      <c r="F319" s="27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28">
        <f t="shared" si="48"/>
        <v>317</v>
      </c>
      <c r="AB319" s="28">
        <f t="shared" ca="1" si="49"/>
        <v>20101</v>
      </c>
      <c r="AC319" s="28">
        <f t="shared" ca="1" si="40"/>
        <v>5</v>
      </c>
      <c r="AD319" s="29">
        <f t="shared" ca="1" si="41"/>
        <v>8000</v>
      </c>
      <c r="AE319" s="28" t="str">
        <f t="shared" ca="1" si="50"/>
        <v>副本101</v>
      </c>
      <c r="AF319" s="28">
        <f t="shared" si="51"/>
        <v>101</v>
      </c>
      <c r="AG319" s="28">
        <f>COUNTIF(AF$3:AF319,AF319)-1</f>
        <v>3</v>
      </c>
    </row>
    <row r="320" spans="1:33" x14ac:dyDescent="0.25">
      <c r="A320" s="27"/>
      <c r="B320" s="27"/>
      <c r="C320" s="14"/>
      <c r="D320" s="14"/>
      <c r="E320" s="27"/>
      <c r="F320" s="27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28">
        <f t="shared" ref="AA320:AA350" si="52">IF(ROW(A318)&gt;MAX(D:D),"",ROW(A318))</f>
        <v>318</v>
      </c>
      <c r="AB320" s="28">
        <f t="shared" ref="AB320:AB350" ca="1" si="53">OFFSET(A$2,$AF320,)</f>
        <v>20102</v>
      </c>
      <c r="AC320" s="28">
        <f t="shared" ca="1" si="40"/>
        <v>1</v>
      </c>
      <c r="AD320" s="29">
        <f t="shared" ca="1" si="41"/>
        <v>10000</v>
      </c>
      <c r="AE320" s="28" t="str">
        <f t="shared" ref="AE320:AE350" ca="1" si="54">OFFSET(B$2,$AF320,)</f>
        <v>副本102</v>
      </c>
      <c r="AF320" s="28">
        <f t="shared" ref="AF320:AF350" si="55">FREQUENCY(D:D,AA320-0.1)+1</f>
        <v>102</v>
      </c>
      <c r="AG320" s="28">
        <f>COUNTIF(AF$3:AF320,AF320)-1</f>
        <v>0</v>
      </c>
    </row>
    <row r="321" spans="1:33" x14ac:dyDescent="0.25">
      <c r="A321" s="27"/>
      <c r="B321" s="27"/>
      <c r="C321" s="14"/>
      <c r="D321" s="14"/>
      <c r="E321" s="27"/>
      <c r="F321" s="27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28">
        <f t="shared" si="52"/>
        <v>319</v>
      </c>
      <c r="AB321" s="28">
        <f t="shared" ca="1" si="53"/>
        <v>20102</v>
      </c>
      <c r="AC321" s="28">
        <f t="shared" ca="1" si="40"/>
        <v>15</v>
      </c>
      <c r="AD321" s="29">
        <f t="shared" ca="1" si="41"/>
        <v>5000</v>
      </c>
      <c r="AE321" s="28" t="str">
        <f t="shared" ca="1" si="54"/>
        <v>副本102</v>
      </c>
      <c r="AF321" s="28">
        <f t="shared" si="55"/>
        <v>102</v>
      </c>
      <c r="AG321" s="28">
        <f>COUNTIF(AF$3:AF321,AF321)-1</f>
        <v>1</v>
      </c>
    </row>
    <row r="322" spans="1:33" x14ac:dyDescent="0.25">
      <c r="A322" s="27"/>
      <c r="B322" s="27"/>
      <c r="C322" s="14"/>
      <c r="D322" s="14"/>
      <c r="E322" s="27"/>
      <c r="F322" s="27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28">
        <f t="shared" si="52"/>
        <v>320</v>
      </c>
      <c r="AB322" s="28">
        <f t="shared" ca="1" si="53"/>
        <v>20102</v>
      </c>
      <c r="AC322" s="28">
        <f t="shared" ca="1" si="40"/>
        <v>8</v>
      </c>
      <c r="AD322" s="29">
        <f t="shared" ca="1" si="41"/>
        <v>7000</v>
      </c>
      <c r="AE322" s="28" t="str">
        <f t="shared" ca="1" si="54"/>
        <v>副本102</v>
      </c>
      <c r="AF322" s="28">
        <f t="shared" si="55"/>
        <v>102</v>
      </c>
      <c r="AG322" s="28">
        <f>COUNTIF(AF$3:AF322,AF322)-1</f>
        <v>2</v>
      </c>
    </row>
    <row r="323" spans="1:33" x14ac:dyDescent="0.25">
      <c r="A323" s="27"/>
      <c r="B323" s="27"/>
      <c r="C323" s="14"/>
      <c r="D323" s="14"/>
      <c r="E323" s="27"/>
      <c r="F323" s="27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28">
        <f t="shared" si="52"/>
        <v>321</v>
      </c>
      <c r="AB323" s="28">
        <f t="shared" ca="1" si="53"/>
        <v>20102</v>
      </c>
      <c r="AC323" s="28">
        <f t="shared" ref="AC323:AC386" ca="1" si="56">OFFSET($G$2,$AF323,$AG323)</f>
        <v>5</v>
      </c>
      <c r="AD323" s="29">
        <f t="shared" ref="AD323:AD386" ca="1" si="57">OFFSET($Q$2,$AF323,$AG323)*$AD$1</f>
        <v>8000</v>
      </c>
      <c r="AE323" s="28" t="str">
        <f t="shared" ca="1" si="54"/>
        <v>副本102</v>
      </c>
      <c r="AF323" s="28">
        <f t="shared" si="55"/>
        <v>102</v>
      </c>
      <c r="AG323" s="28">
        <f>COUNTIF(AF$3:AF323,AF323)-1</f>
        <v>3</v>
      </c>
    </row>
    <row r="324" spans="1:33" x14ac:dyDescent="0.25">
      <c r="A324" s="27"/>
      <c r="B324" s="27"/>
      <c r="C324" s="14"/>
      <c r="D324" s="14"/>
      <c r="E324" s="27"/>
      <c r="F324" s="27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28">
        <f t="shared" si="52"/>
        <v>322</v>
      </c>
      <c r="AB324" s="28">
        <f t="shared" ca="1" si="53"/>
        <v>20103</v>
      </c>
      <c r="AC324" s="28">
        <f t="shared" ca="1" si="56"/>
        <v>1</v>
      </c>
      <c r="AD324" s="29">
        <f t="shared" ca="1" si="57"/>
        <v>10000</v>
      </c>
      <c r="AE324" s="28" t="str">
        <f t="shared" ca="1" si="54"/>
        <v>副本103</v>
      </c>
      <c r="AF324" s="28">
        <f t="shared" si="55"/>
        <v>103</v>
      </c>
      <c r="AG324" s="28">
        <f>COUNTIF(AF$3:AF324,AF324)-1</f>
        <v>0</v>
      </c>
    </row>
    <row r="325" spans="1:33" x14ac:dyDescent="0.25">
      <c r="A325" s="27"/>
      <c r="B325" s="27"/>
      <c r="C325" s="14"/>
      <c r="D325" s="14"/>
      <c r="E325" s="27"/>
      <c r="F325" s="27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28">
        <f t="shared" si="52"/>
        <v>323</v>
      </c>
      <c r="AB325" s="28">
        <f t="shared" ca="1" si="53"/>
        <v>20103</v>
      </c>
      <c r="AC325" s="28">
        <f t="shared" ca="1" si="56"/>
        <v>16</v>
      </c>
      <c r="AD325" s="29">
        <f t="shared" ca="1" si="57"/>
        <v>5000</v>
      </c>
      <c r="AE325" s="28" t="str">
        <f t="shared" ca="1" si="54"/>
        <v>副本103</v>
      </c>
      <c r="AF325" s="28">
        <f t="shared" si="55"/>
        <v>103</v>
      </c>
      <c r="AG325" s="28">
        <f>COUNTIF(AF$3:AF325,AF325)-1</f>
        <v>1</v>
      </c>
    </row>
    <row r="326" spans="1:33" x14ac:dyDescent="0.25">
      <c r="A326" s="27"/>
      <c r="B326" s="27"/>
      <c r="C326" s="14"/>
      <c r="D326" s="14"/>
      <c r="E326" s="27"/>
      <c r="F326" s="27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28">
        <f t="shared" si="52"/>
        <v>324</v>
      </c>
      <c r="AB326" s="28">
        <f t="shared" ca="1" si="53"/>
        <v>20103</v>
      </c>
      <c r="AC326" s="28">
        <f t="shared" ca="1" si="56"/>
        <v>10</v>
      </c>
      <c r="AD326" s="29">
        <f t="shared" ca="1" si="57"/>
        <v>7000</v>
      </c>
      <c r="AE326" s="28" t="str">
        <f t="shared" ca="1" si="54"/>
        <v>副本103</v>
      </c>
      <c r="AF326" s="28">
        <f t="shared" si="55"/>
        <v>103</v>
      </c>
      <c r="AG326" s="28">
        <f>COUNTIF(AF$3:AF326,AF326)-1</f>
        <v>2</v>
      </c>
    </row>
    <row r="327" spans="1:33" x14ac:dyDescent="0.25">
      <c r="A327" s="27"/>
      <c r="B327" s="27"/>
      <c r="C327" s="14"/>
      <c r="D327" s="14"/>
      <c r="E327" s="27"/>
      <c r="F327" s="27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28">
        <f t="shared" si="52"/>
        <v>325</v>
      </c>
      <c r="AB327" s="28">
        <f t="shared" ca="1" si="53"/>
        <v>20103</v>
      </c>
      <c r="AC327" s="28">
        <f t="shared" ca="1" si="56"/>
        <v>6</v>
      </c>
      <c r="AD327" s="29">
        <f t="shared" ca="1" si="57"/>
        <v>8000</v>
      </c>
      <c r="AE327" s="28" t="str">
        <f t="shared" ca="1" si="54"/>
        <v>副本103</v>
      </c>
      <c r="AF327" s="28">
        <f t="shared" si="55"/>
        <v>103</v>
      </c>
      <c r="AG327" s="28">
        <f>COUNTIF(AF$3:AF327,AF327)-1</f>
        <v>3</v>
      </c>
    </row>
    <row r="328" spans="1:33" x14ac:dyDescent="0.25">
      <c r="A328" s="27"/>
      <c r="B328" s="27"/>
      <c r="C328" s="14"/>
      <c r="D328" s="14"/>
      <c r="E328" s="27"/>
      <c r="F328" s="27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28">
        <f t="shared" si="52"/>
        <v>326</v>
      </c>
      <c r="AB328" s="28">
        <f t="shared" ca="1" si="53"/>
        <v>20104</v>
      </c>
      <c r="AC328" s="28">
        <f t="shared" ca="1" si="56"/>
        <v>1</v>
      </c>
      <c r="AD328" s="29">
        <f t="shared" ca="1" si="57"/>
        <v>10000</v>
      </c>
      <c r="AE328" s="28" t="str">
        <f t="shared" ca="1" si="54"/>
        <v>副本104</v>
      </c>
      <c r="AF328" s="28">
        <f t="shared" si="55"/>
        <v>104</v>
      </c>
      <c r="AG328" s="28">
        <f>COUNTIF(AF$3:AF328,AF328)-1</f>
        <v>0</v>
      </c>
    </row>
    <row r="329" spans="1:33" x14ac:dyDescent="0.25">
      <c r="A329" s="27"/>
      <c r="B329" s="27"/>
      <c r="C329" s="14"/>
      <c r="D329" s="14"/>
      <c r="E329" s="27"/>
      <c r="F329" s="27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28">
        <f t="shared" si="52"/>
        <v>327</v>
      </c>
      <c r="AB329" s="28">
        <f t="shared" ca="1" si="53"/>
        <v>20104</v>
      </c>
      <c r="AC329" s="28">
        <f t="shared" ca="1" si="56"/>
        <v>16</v>
      </c>
      <c r="AD329" s="29">
        <f t="shared" ca="1" si="57"/>
        <v>5000</v>
      </c>
      <c r="AE329" s="28" t="str">
        <f t="shared" ca="1" si="54"/>
        <v>副本104</v>
      </c>
      <c r="AF329" s="28">
        <f t="shared" si="55"/>
        <v>104</v>
      </c>
      <c r="AG329" s="28">
        <f>COUNTIF(AF$3:AF329,AF329)-1</f>
        <v>1</v>
      </c>
    </row>
    <row r="330" spans="1:33" x14ac:dyDescent="0.25">
      <c r="A330" s="27"/>
      <c r="B330" s="27"/>
      <c r="C330" s="14"/>
      <c r="D330" s="14"/>
      <c r="E330" s="27"/>
      <c r="F330" s="27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28">
        <f t="shared" si="52"/>
        <v>328</v>
      </c>
      <c r="AB330" s="28">
        <f t="shared" ca="1" si="53"/>
        <v>20104</v>
      </c>
      <c r="AC330" s="28">
        <f t="shared" ca="1" si="56"/>
        <v>10</v>
      </c>
      <c r="AD330" s="29">
        <f t="shared" ca="1" si="57"/>
        <v>7000</v>
      </c>
      <c r="AE330" s="28" t="str">
        <f t="shared" ca="1" si="54"/>
        <v>副本104</v>
      </c>
      <c r="AF330" s="28">
        <f t="shared" si="55"/>
        <v>104</v>
      </c>
      <c r="AG330" s="28">
        <f>COUNTIF(AF$3:AF330,AF330)-1</f>
        <v>2</v>
      </c>
    </row>
    <row r="331" spans="1:33" x14ac:dyDescent="0.25">
      <c r="A331" s="27"/>
      <c r="B331" s="27"/>
      <c r="C331" s="14"/>
      <c r="D331" s="14"/>
      <c r="E331" s="27"/>
      <c r="F331" s="27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28">
        <f t="shared" si="52"/>
        <v>329</v>
      </c>
      <c r="AB331" s="28">
        <f t="shared" ca="1" si="53"/>
        <v>20104</v>
      </c>
      <c r="AC331" s="28">
        <f t="shared" ca="1" si="56"/>
        <v>6</v>
      </c>
      <c r="AD331" s="29">
        <f t="shared" ca="1" si="57"/>
        <v>8000</v>
      </c>
      <c r="AE331" s="28" t="str">
        <f t="shared" ca="1" si="54"/>
        <v>副本104</v>
      </c>
      <c r="AF331" s="28">
        <f t="shared" si="55"/>
        <v>104</v>
      </c>
      <c r="AG331" s="28">
        <f>COUNTIF(AF$3:AF331,AF331)-1</f>
        <v>3</v>
      </c>
    </row>
    <row r="332" spans="1:33" x14ac:dyDescent="0.25">
      <c r="A332" s="27"/>
      <c r="B332" s="27"/>
      <c r="C332" s="14"/>
      <c r="D332" s="14"/>
      <c r="E332" s="27"/>
      <c r="F332" s="27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28">
        <f t="shared" si="52"/>
        <v>330</v>
      </c>
      <c r="AB332" s="28">
        <f t="shared" ca="1" si="53"/>
        <v>20105</v>
      </c>
      <c r="AC332" s="28">
        <f t="shared" ca="1" si="56"/>
        <v>1</v>
      </c>
      <c r="AD332" s="29">
        <f t="shared" ca="1" si="57"/>
        <v>10000</v>
      </c>
      <c r="AE332" s="28" t="str">
        <f t="shared" ca="1" si="54"/>
        <v>副本105</v>
      </c>
      <c r="AF332" s="28">
        <f t="shared" si="55"/>
        <v>105</v>
      </c>
      <c r="AG332" s="28">
        <f>COUNTIF(AF$3:AF332,AF332)-1</f>
        <v>0</v>
      </c>
    </row>
    <row r="333" spans="1:33" x14ac:dyDescent="0.25">
      <c r="A333" s="27"/>
      <c r="B333" s="27"/>
      <c r="C333" s="14"/>
      <c r="D333" s="14"/>
      <c r="E333" s="27"/>
      <c r="F333" s="27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28">
        <f t="shared" si="52"/>
        <v>331</v>
      </c>
      <c r="AB333" s="28">
        <f t="shared" ca="1" si="53"/>
        <v>20105</v>
      </c>
      <c r="AC333" s="28">
        <f t="shared" ca="1" si="56"/>
        <v>16</v>
      </c>
      <c r="AD333" s="29">
        <f t="shared" ca="1" si="57"/>
        <v>5000</v>
      </c>
      <c r="AE333" s="28" t="str">
        <f t="shared" ca="1" si="54"/>
        <v>副本105</v>
      </c>
      <c r="AF333" s="28">
        <f t="shared" si="55"/>
        <v>105</v>
      </c>
      <c r="AG333" s="28">
        <f>COUNTIF(AF$3:AF333,AF333)-1</f>
        <v>1</v>
      </c>
    </row>
    <row r="334" spans="1:33" x14ac:dyDescent="0.25">
      <c r="A334" s="27"/>
      <c r="B334" s="27"/>
      <c r="C334" s="14"/>
      <c r="D334" s="14"/>
      <c r="E334" s="27"/>
      <c r="F334" s="27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28">
        <f t="shared" si="52"/>
        <v>332</v>
      </c>
      <c r="AB334" s="28">
        <f t="shared" ca="1" si="53"/>
        <v>20105</v>
      </c>
      <c r="AC334" s="28">
        <f t="shared" ca="1" si="56"/>
        <v>10</v>
      </c>
      <c r="AD334" s="29">
        <f t="shared" ca="1" si="57"/>
        <v>7000</v>
      </c>
      <c r="AE334" s="28" t="str">
        <f t="shared" ca="1" si="54"/>
        <v>副本105</v>
      </c>
      <c r="AF334" s="28">
        <f t="shared" si="55"/>
        <v>105</v>
      </c>
      <c r="AG334" s="28">
        <f>COUNTIF(AF$3:AF334,AF334)-1</f>
        <v>2</v>
      </c>
    </row>
    <row r="335" spans="1:33" x14ac:dyDescent="0.25">
      <c r="A335" s="27"/>
      <c r="B335" s="27"/>
      <c r="C335" s="14"/>
      <c r="D335" s="14"/>
      <c r="E335" s="27"/>
      <c r="F335" s="27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28">
        <f t="shared" si="52"/>
        <v>333</v>
      </c>
      <c r="AB335" s="28">
        <f t="shared" ca="1" si="53"/>
        <v>20105</v>
      </c>
      <c r="AC335" s="28">
        <f t="shared" ca="1" si="56"/>
        <v>6</v>
      </c>
      <c r="AD335" s="29">
        <f t="shared" ca="1" si="57"/>
        <v>8000</v>
      </c>
      <c r="AE335" s="28" t="str">
        <f t="shared" ca="1" si="54"/>
        <v>副本105</v>
      </c>
      <c r="AF335" s="28">
        <f t="shared" si="55"/>
        <v>105</v>
      </c>
      <c r="AG335" s="28">
        <f>COUNTIF(AF$3:AF335,AF335)-1</f>
        <v>3</v>
      </c>
    </row>
    <row r="336" spans="1:33" x14ac:dyDescent="0.25">
      <c r="A336" s="27"/>
      <c r="B336" s="27"/>
      <c r="C336" s="14"/>
      <c r="D336" s="14"/>
      <c r="E336" s="27"/>
      <c r="F336" s="27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28">
        <f t="shared" si="52"/>
        <v>334</v>
      </c>
      <c r="AB336" s="28">
        <f t="shared" ca="1" si="53"/>
        <v>20106</v>
      </c>
      <c r="AC336" s="28">
        <f t="shared" ca="1" si="56"/>
        <v>1</v>
      </c>
      <c r="AD336" s="29">
        <f t="shared" ca="1" si="57"/>
        <v>10000</v>
      </c>
      <c r="AE336" s="28" t="str">
        <f t="shared" ca="1" si="54"/>
        <v>副本106</v>
      </c>
      <c r="AF336" s="28">
        <f t="shared" si="55"/>
        <v>106</v>
      </c>
      <c r="AG336" s="28">
        <f>COUNTIF(AF$3:AF336,AF336)-1</f>
        <v>0</v>
      </c>
    </row>
    <row r="337" spans="1:33" x14ac:dyDescent="0.25">
      <c r="A337" s="27"/>
      <c r="B337" s="27"/>
      <c r="C337" s="14"/>
      <c r="D337" s="14"/>
      <c r="E337" s="27"/>
      <c r="F337" s="27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28">
        <f t="shared" si="52"/>
        <v>335</v>
      </c>
      <c r="AB337" s="28">
        <f t="shared" ca="1" si="53"/>
        <v>20106</v>
      </c>
      <c r="AC337" s="28">
        <f t="shared" ca="1" si="56"/>
        <v>16</v>
      </c>
      <c r="AD337" s="29">
        <f t="shared" ca="1" si="57"/>
        <v>5000</v>
      </c>
      <c r="AE337" s="28" t="str">
        <f t="shared" ca="1" si="54"/>
        <v>副本106</v>
      </c>
      <c r="AF337" s="28">
        <f t="shared" si="55"/>
        <v>106</v>
      </c>
      <c r="AG337" s="28">
        <f>COUNTIF(AF$3:AF337,AF337)-1</f>
        <v>1</v>
      </c>
    </row>
    <row r="338" spans="1:33" x14ac:dyDescent="0.25">
      <c r="A338" s="27"/>
      <c r="B338" s="27"/>
      <c r="C338" s="14"/>
      <c r="D338" s="14"/>
      <c r="E338" s="27"/>
      <c r="F338" s="27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28">
        <f t="shared" si="52"/>
        <v>336</v>
      </c>
      <c r="AB338" s="28">
        <f t="shared" ca="1" si="53"/>
        <v>20106</v>
      </c>
      <c r="AC338" s="28">
        <f t="shared" ca="1" si="56"/>
        <v>10</v>
      </c>
      <c r="AD338" s="29">
        <f t="shared" ca="1" si="57"/>
        <v>7000</v>
      </c>
      <c r="AE338" s="28" t="str">
        <f t="shared" ca="1" si="54"/>
        <v>副本106</v>
      </c>
      <c r="AF338" s="28">
        <f t="shared" si="55"/>
        <v>106</v>
      </c>
      <c r="AG338" s="28">
        <f>COUNTIF(AF$3:AF338,AF338)-1</f>
        <v>2</v>
      </c>
    </row>
    <row r="339" spans="1:33" x14ac:dyDescent="0.25">
      <c r="A339" s="27"/>
      <c r="B339" s="27"/>
      <c r="C339" s="14"/>
      <c r="D339" s="14"/>
      <c r="E339" s="27"/>
      <c r="F339" s="27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28">
        <f t="shared" si="52"/>
        <v>337</v>
      </c>
      <c r="AB339" s="28">
        <f t="shared" ca="1" si="53"/>
        <v>20106</v>
      </c>
      <c r="AC339" s="28">
        <f t="shared" ca="1" si="56"/>
        <v>6</v>
      </c>
      <c r="AD339" s="29">
        <f t="shared" ca="1" si="57"/>
        <v>8000</v>
      </c>
      <c r="AE339" s="28" t="str">
        <f t="shared" ca="1" si="54"/>
        <v>副本106</v>
      </c>
      <c r="AF339" s="28">
        <f t="shared" si="55"/>
        <v>106</v>
      </c>
      <c r="AG339" s="28">
        <f>COUNTIF(AF$3:AF339,AF339)-1</f>
        <v>3</v>
      </c>
    </row>
    <row r="340" spans="1:33" x14ac:dyDescent="0.25">
      <c r="A340" s="27"/>
      <c r="B340" s="27"/>
      <c r="C340" s="14"/>
      <c r="D340" s="14"/>
      <c r="E340" s="27"/>
      <c r="F340" s="27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28">
        <f t="shared" si="52"/>
        <v>338</v>
      </c>
      <c r="AB340" s="28">
        <f t="shared" ca="1" si="53"/>
        <v>20107</v>
      </c>
      <c r="AC340" s="28">
        <f t="shared" ca="1" si="56"/>
        <v>1</v>
      </c>
      <c r="AD340" s="29">
        <f t="shared" ca="1" si="57"/>
        <v>10000</v>
      </c>
      <c r="AE340" s="28" t="str">
        <f t="shared" ca="1" si="54"/>
        <v>副本107</v>
      </c>
      <c r="AF340" s="28">
        <f t="shared" si="55"/>
        <v>107</v>
      </c>
      <c r="AG340" s="28">
        <f>COUNTIF(AF$3:AF340,AF340)-1</f>
        <v>0</v>
      </c>
    </row>
    <row r="341" spans="1:33" x14ac:dyDescent="0.25">
      <c r="A341" s="27"/>
      <c r="B341" s="27"/>
      <c r="C341" s="14"/>
      <c r="D341" s="14"/>
      <c r="E341" s="27"/>
      <c r="F341" s="27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28">
        <f t="shared" si="52"/>
        <v>339</v>
      </c>
      <c r="AB341" s="28">
        <f t="shared" ca="1" si="53"/>
        <v>20107</v>
      </c>
      <c r="AC341" s="28">
        <f t="shared" ca="1" si="56"/>
        <v>17</v>
      </c>
      <c r="AD341" s="29">
        <f t="shared" ca="1" si="57"/>
        <v>4500</v>
      </c>
      <c r="AE341" s="28" t="str">
        <f t="shared" ca="1" si="54"/>
        <v>副本107</v>
      </c>
      <c r="AF341" s="28">
        <f t="shared" si="55"/>
        <v>107</v>
      </c>
      <c r="AG341" s="28">
        <f>COUNTIF(AF$3:AF341,AF341)-1</f>
        <v>1</v>
      </c>
    </row>
    <row r="342" spans="1:33" x14ac:dyDescent="0.25">
      <c r="A342" s="27"/>
      <c r="B342" s="27"/>
      <c r="C342" s="14"/>
      <c r="D342" s="14"/>
      <c r="E342" s="27"/>
      <c r="F342" s="27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28">
        <f t="shared" si="52"/>
        <v>340</v>
      </c>
      <c r="AB342" s="28">
        <f t="shared" ca="1" si="53"/>
        <v>20107</v>
      </c>
      <c r="AC342" s="28">
        <f t="shared" ca="1" si="56"/>
        <v>13</v>
      </c>
      <c r="AD342" s="29">
        <f t="shared" ca="1" si="57"/>
        <v>6000</v>
      </c>
      <c r="AE342" s="28" t="str">
        <f t="shared" ca="1" si="54"/>
        <v>副本107</v>
      </c>
      <c r="AF342" s="28">
        <f t="shared" si="55"/>
        <v>107</v>
      </c>
      <c r="AG342" s="28">
        <f>COUNTIF(AF$3:AF342,AF342)-1</f>
        <v>2</v>
      </c>
    </row>
    <row r="343" spans="1:33" x14ac:dyDescent="0.25">
      <c r="A343" s="27"/>
      <c r="B343" s="27"/>
      <c r="C343" s="14"/>
      <c r="D343" s="14"/>
      <c r="E343" s="27"/>
      <c r="F343" s="27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28">
        <f t="shared" si="52"/>
        <v>341</v>
      </c>
      <c r="AB343" s="28">
        <f t="shared" ca="1" si="53"/>
        <v>20107</v>
      </c>
      <c r="AC343" s="28">
        <f t="shared" ca="1" si="56"/>
        <v>10</v>
      </c>
      <c r="AD343" s="29">
        <f t="shared" ca="1" si="57"/>
        <v>7000</v>
      </c>
      <c r="AE343" s="28" t="str">
        <f t="shared" ca="1" si="54"/>
        <v>副本107</v>
      </c>
      <c r="AF343" s="28">
        <f t="shared" si="55"/>
        <v>107</v>
      </c>
      <c r="AG343" s="28">
        <f>COUNTIF(AF$3:AF343,AF343)-1</f>
        <v>3</v>
      </c>
    </row>
    <row r="344" spans="1:33" x14ac:dyDescent="0.25">
      <c r="A344" s="27"/>
      <c r="B344" s="27"/>
      <c r="C344" s="14"/>
      <c r="D344" s="14"/>
      <c r="E344" s="27"/>
      <c r="F344" s="27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28">
        <f t="shared" si="52"/>
        <v>342</v>
      </c>
      <c r="AB344" s="28">
        <f t="shared" ca="1" si="53"/>
        <v>20108</v>
      </c>
      <c r="AC344" s="28">
        <f t="shared" ca="1" si="56"/>
        <v>1</v>
      </c>
      <c r="AD344" s="29">
        <f t="shared" ca="1" si="57"/>
        <v>10000</v>
      </c>
      <c r="AE344" s="28" t="str">
        <f t="shared" ca="1" si="54"/>
        <v>副本108</v>
      </c>
      <c r="AF344" s="28">
        <f t="shared" si="55"/>
        <v>108</v>
      </c>
      <c r="AG344" s="28">
        <f>COUNTIF(AF$3:AF344,AF344)-1</f>
        <v>0</v>
      </c>
    </row>
    <row r="345" spans="1:33" x14ac:dyDescent="0.25">
      <c r="A345" s="27"/>
      <c r="B345" s="27"/>
      <c r="C345" s="14"/>
      <c r="D345" s="14"/>
      <c r="E345" s="27"/>
      <c r="F345" s="27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28">
        <f t="shared" si="52"/>
        <v>343</v>
      </c>
      <c r="AB345" s="28">
        <f t="shared" ca="1" si="53"/>
        <v>20108</v>
      </c>
      <c r="AC345" s="28">
        <f t="shared" ca="1" si="56"/>
        <v>17</v>
      </c>
      <c r="AD345" s="29">
        <f t="shared" ca="1" si="57"/>
        <v>4500</v>
      </c>
      <c r="AE345" s="28" t="str">
        <f t="shared" ca="1" si="54"/>
        <v>副本108</v>
      </c>
      <c r="AF345" s="28">
        <f t="shared" si="55"/>
        <v>108</v>
      </c>
      <c r="AG345" s="28">
        <f>COUNTIF(AF$3:AF345,AF345)-1</f>
        <v>1</v>
      </c>
    </row>
    <row r="346" spans="1:33" x14ac:dyDescent="0.25">
      <c r="A346" s="27"/>
      <c r="B346" s="27"/>
      <c r="C346" s="14"/>
      <c r="D346" s="14"/>
      <c r="E346" s="27"/>
      <c r="F346" s="27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28">
        <f t="shared" si="52"/>
        <v>344</v>
      </c>
      <c r="AB346" s="28">
        <f t="shared" ca="1" si="53"/>
        <v>20108</v>
      </c>
      <c r="AC346" s="28">
        <f t="shared" ca="1" si="56"/>
        <v>13</v>
      </c>
      <c r="AD346" s="29">
        <f t="shared" ca="1" si="57"/>
        <v>6000</v>
      </c>
      <c r="AE346" s="28" t="str">
        <f t="shared" ca="1" si="54"/>
        <v>副本108</v>
      </c>
      <c r="AF346" s="28">
        <f t="shared" si="55"/>
        <v>108</v>
      </c>
      <c r="AG346" s="28">
        <f>COUNTIF(AF$3:AF346,AF346)-1</f>
        <v>2</v>
      </c>
    </row>
    <row r="347" spans="1:33" x14ac:dyDescent="0.25">
      <c r="A347" s="27"/>
      <c r="B347" s="27"/>
      <c r="C347" s="14"/>
      <c r="D347" s="14"/>
      <c r="E347" s="27"/>
      <c r="F347" s="27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28">
        <f t="shared" si="52"/>
        <v>345</v>
      </c>
      <c r="AB347" s="28">
        <f t="shared" ca="1" si="53"/>
        <v>20108</v>
      </c>
      <c r="AC347" s="28">
        <f t="shared" ca="1" si="56"/>
        <v>10</v>
      </c>
      <c r="AD347" s="29">
        <f t="shared" ca="1" si="57"/>
        <v>7000</v>
      </c>
      <c r="AE347" s="28" t="str">
        <f t="shared" ca="1" si="54"/>
        <v>副本108</v>
      </c>
      <c r="AF347" s="28">
        <f t="shared" si="55"/>
        <v>108</v>
      </c>
      <c r="AG347" s="28">
        <f>COUNTIF(AF$3:AF347,AF347)-1</f>
        <v>3</v>
      </c>
    </row>
    <row r="348" spans="1:33" x14ac:dyDescent="0.25">
      <c r="A348" s="27"/>
      <c r="B348" s="27"/>
      <c r="C348" s="14"/>
      <c r="D348" s="14"/>
      <c r="E348" s="27"/>
      <c r="F348" s="27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28">
        <f t="shared" si="52"/>
        <v>346</v>
      </c>
      <c r="AB348" s="28">
        <f t="shared" ca="1" si="53"/>
        <v>20109</v>
      </c>
      <c r="AC348" s="28">
        <f t="shared" ca="1" si="56"/>
        <v>1</v>
      </c>
      <c r="AD348" s="29">
        <f t="shared" ca="1" si="57"/>
        <v>10000</v>
      </c>
      <c r="AE348" s="28" t="str">
        <f t="shared" ca="1" si="54"/>
        <v>副本109</v>
      </c>
      <c r="AF348" s="28">
        <f t="shared" si="55"/>
        <v>109</v>
      </c>
      <c r="AG348" s="28">
        <f>COUNTIF(AF$3:AF348,AF348)-1</f>
        <v>0</v>
      </c>
    </row>
    <row r="349" spans="1:33" x14ac:dyDescent="0.25">
      <c r="A349" s="27"/>
      <c r="B349" s="27"/>
      <c r="C349" s="14"/>
      <c r="D349" s="14"/>
      <c r="E349" s="27"/>
      <c r="F349" s="27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28">
        <f t="shared" si="52"/>
        <v>347</v>
      </c>
      <c r="AB349" s="28">
        <f t="shared" ca="1" si="53"/>
        <v>20109</v>
      </c>
      <c r="AC349" s="28">
        <f t="shared" ca="1" si="56"/>
        <v>17</v>
      </c>
      <c r="AD349" s="29">
        <f t="shared" ca="1" si="57"/>
        <v>4500</v>
      </c>
      <c r="AE349" s="28" t="str">
        <f t="shared" ca="1" si="54"/>
        <v>副本109</v>
      </c>
      <c r="AF349" s="28">
        <f t="shared" si="55"/>
        <v>109</v>
      </c>
      <c r="AG349" s="28">
        <f>COUNTIF(AF$3:AF349,AF349)-1</f>
        <v>1</v>
      </c>
    </row>
    <row r="350" spans="1:33" x14ac:dyDescent="0.25">
      <c r="A350" s="27"/>
      <c r="B350" s="27"/>
      <c r="C350" s="14"/>
      <c r="D350" s="14"/>
      <c r="E350" s="27"/>
      <c r="F350" s="27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28">
        <f t="shared" si="52"/>
        <v>348</v>
      </c>
      <c r="AB350" s="28">
        <f t="shared" ca="1" si="53"/>
        <v>20109</v>
      </c>
      <c r="AC350" s="28">
        <f t="shared" ca="1" si="56"/>
        <v>13</v>
      </c>
      <c r="AD350" s="29">
        <f t="shared" ca="1" si="57"/>
        <v>6000</v>
      </c>
      <c r="AE350" s="28" t="str">
        <f t="shared" ca="1" si="54"/>
        <v>副本109</v>
      </c>
      <c r="AF350" s="28">
        <f t="shared" si="55"/>
        <v>109</v>
      </c>
      <c r="AG350" s="28">
        <f>COUNTIF(AF$3:AF350,AF350)-1</f>
        <v>2</v>
      </c>
    </row>
    <row r="351" spans="1:33" x14ac:dyDescent="0.25">
      <c r="A351" s="27"/>
      <c r="B351" s="27"/>
      <c r="C351" s="14"/>
      <c r="D351" s="14"/>
      <c r="E351" s="27"/>
      <c r="F351" s="27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28">
        <f t="shared" ref="AA351:AA414" si="58">IF(ROW(A349)&gt;MAX(D:D),"",ROW(A349))</f>
        <v>349</v>
      </c>
      <c r="AB351" s="28">
        <f t="shared" ref="AB351:AB414" ca="1" si="59">OFFSET(A$2,$AF351,)</f>
        <v>20109</v>
      </c>
      <c r="AC351" s="28">
        <f t="shared" ca="1" si="56"/>
        <v>10</v>
      </c>
      <c r="AD351" s="29">
        <f t="shared" ca="1" si="57"/>
        <v>7000</v>
      </c>
      <c r="AE351" s="28" t="str">
        <f t="shared" ref="AE351:AE414" ca="1" si="60">OFFSET(B$2,$AF351,)</f>
        <v>副本109</v>
      </c>
      <c r="AF351" s="28">
        <f t="shared" ref="AF351:AF414" si="61">FREQUENCY(D:D,AA351-0.1)+1</f>
        <v>109</v>
      </c>
      <c r="AG351" s="28">
        <f>COUNTIF(AF$3:AF351,AF351)-1</f>
        <v>3</v>
      </c>
    </row>
    <row r="352" spans="1:33" x14ac:dyDescent="0.25">
      <c r="A352" s="27"/>
      <c r="B352" s="27"/>
      <c r="C352" s="14"/>
      <c r="D352" s="14"/>
      <c r="E352" s="27"/>
      <c r="F352" s="27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28">
        <f t="shared" si="58"/>
        <v>350</v>
      </c>
      <c r="AB352" s="28">
        <f t="shared" ca="1" si="59"/>
        <v>20110</v>
      </c>
      <c r="AC352" s="28">
        <f t="shared" ca="1" si="56"/>
        <v>1</v>
      </c>
      <c r="AD352" s="29">
        <f t="shared" ca="1" si="57"/>
        <v>10000</v>
      </c>
      <c r="AE352" s="28" t="str">
        <f t="shared" ca="1" si="60"/>
        <v>副本110</v>
      </c>
      <c r="AF352" s="28">
        <f t="shared" si="61"/>
        <v>110</v>
      </c>
      <c r="AG352" s="28">
        <f>COUNTIF(AF$3:AF352,AF352)-1</f>
        <v>0</v>
      </c>
    </row>
    <row r="353" spans="1:33" x14ac:dyDescent="0.25">
      <c r="A353" s="27"/>
      <c r="B353" s="27"/>
      <c r="C353" s="14"/>
      <c r="D353" s="14"/>
      <c r="E353" s="27"/>
      <c r="F353" s="27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28">
        <f t="shared" si="58"/>
        <v>351</v>
      </c>
      <c r="AB353" s="28">
        <f t="shared" ca="1" si="59"/>
        <v>20110</v>
      </c>
      <c r="AC353" s="28">
        <f t="shared" ca="1" si="56"/>
        <v>17</v>
      </c>
      <c r="AD353" s="29">
        <f t="shared" ca="1" si="57"/>
        <v>4500</v>
      </c>
      <c r="AE353" s="28" t="str">
        <f t="shared" ca="1" si="60"/>
        <v>副本110</v>
      </c>
      <c r="AF353" s="28">
        <f t="shared" si="61"/>
        <v>110</v>
      </c>
      <c r="AG353" s="28">
        <f>COUNTIF(AF$3:AF353,AF353)-1</f>
        <v>1</v>
      </c>
    </row>
    <row r="354" spans="1:33" x14ac:dyDescent="0.25">
      <c r="A354" s="27"/>
      <c r="B354" s="27"/>
      <c r="C354" s="14"/>
      <c r="D354" s="14"/>
      <c r="E354" s="27"/>
      <c r="F354" s="27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28">
        <f t="shared" si="58"/>
        <v>352</v>
      </c>
      <c r="AB354" s="28">
        <f t="shared" ca="1" si="59"/>
        <v>20110</v>
      </c>
      <c r="AC354" s="28">
        <f t="shared" ca="1" si="56"/>
        <v>13</v>
      </c>
      <c r="AD354" s="29">
        <f t="shared" ca="1" si="57"/>
        <v>6000</v>
      </c>
      <c r="AE354" s="28" t="str">
        <f t="shared" ca="1" si="60"/>
        <v>副本110</v>
      </c>
      <c r="AF354" s="28">
        <f t="shared" si="61"/>
        <v>110</v>
      </c>
      <c r="AG354" s="28">
        <f>COUNTIF(AF$3:AF354,AF354)-1</f>
        <v>2</v>
      </c>
    </row>
    <row r="355" spans="1:33" x14ac:dyDescent="0.25">
      <c r="A355" s="27"/>
      <c r="B355" s="27"/>
      <c r="C355" s="14"/>
      <c r="D355" s="14"/>
      <c r="E355" s="27"/>
      <c r="F355" s="27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28">
        <f t="shared" si="58"/>
        <v>353</v>
      </c>
      <c r="AB355" s="28">
        <f t="shared" ca="1" si="59"/>
        <v>20110</v>
      </c>
      <c r="AC355" s="28">
        <f t="shared" ca="1" si="56"/>
        <v>10</v>
      </c>
      <c r="AD355" s="29">
        <f t="shared" ca="1" si="57"/>
        <v>7000</v>
      </c>
      <c r="AE355" s="28" t="str">
        <f t="shared" ca="1" si="60"/>
        <v>副本110</v>
      </c>
      <c r="AF355" s="28">
        <f t="shared" si="61"/>
        <v>110</v>
      </c>
      <c r="AG355" s="28">
        <f>COUNTIF(AF$3:AF355,AF355)-1</f>
        <v>3</v>
      </c>
    </row>
    <row r="356" spans="1:33" x14ac:dyDescent="0.25">
      <c r="A356" s="27"/>
      <c r="B356" s="27"/>
      <c r="C356" s="14"/>
      <c r="D356" s="14"/>
      <c r="E356" s="27"/>
      <c r="F356" s="27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28">
        <f t="shared" si="58"/>
        <v>354</v>
      </c>
      <c r="AB356" s="28">
        <f t="shared" ca="1" si="59"/>
        <v>20111</v>
      </c>
      <c r="AC356" s="28">
        <f t="shared" ca="1" si="56"/>
        <v>1</v>
      </c>
      <c r="AD356" s="29">
        <f t="shared" ca="1" si="57"/>
        <v>10000</v>
      </c>
      <c r="AE356" s="28" t="str">
        <f t="shared" ca="1" si="60"/>
        <v>副本111</v>
      </c>
      <c r="AF356" s="28">
        <f t="shared" si="61"/>
        <v>111</v>
      </c>
      <c r="AG356" s="28">
        <f>COUNTIF(AF$3:AF356,AF356)-1</f>
        <v>0</v>
      </c>
    </row>
    <row r="357" spans="1:33" x14ac:dyDescent="0.25">
      <c r="A357" s="27"/>
      <c r="B357" s="27"/>
      <c r="C357" s="14"/>
      <c r="D357" s="14"/>
      <c r="E357" s="27"/>
      <c r="F357" s="27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28">
        <f t="shared" si="58"/>
        <v>355</v>
      </c>
      <c r="AB357" s="28">
        <f t="shared" ca="1" si="59"/>
        <v>20111</v>
      </c>
      <c r="AC357" s="28">
        <f t="shared" ca="1" si="56"/>
        <v>18</v>
      </c>
      <c r="AD357" s="29">
        <f t="shared" ca="1" si="57"/>
        <v>4500</v>
      </c>
      <c r="AE357" s="28" t="str">
        <f t="shared" ca="1" si="60"/>
        <v>副本111</v>
      </c>
      <c r="AF357" s="28">
        <f t="shared" si="61"/>
        <v>111</v>
      </c>
      <c r="AG357" s="28">
        <f>COUNTIF(AF$3:AF357,AF357)-1</f>
        <v>1</v>
      </c>
    </row>
    <row r="358" spans="1:33" x14ac:dyDescent="0.25">
      <c r="A358" s="27"/>
      <c r="B358" s="27"/>
      <c r="C358" s="14"/>
      <c r="D358" s="14"/>
      <c r="E358" s="27"/>
      <c r="F358" s="27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28">
        <f t="shared" si="58"/>
        <v>356</v>
      </c>
      <c r="AB358" s="28">
        <f t="shared" ca="1" si="59"/>
        <v>20111</v>
      </c>
      <c r="AC358" s="28">
        <f t="shared" ca="1" si="56"/>
        <v>12</v>
      </c>
      <c r="AD358" s="29">
        <f t="shared" ca="1" si="57"/>
        <v>6000</v>
      </c>
      <c r="AE358" s="28" t="str">
        <f t="shared" ca="1" si="60"/>
        <v>副本111</v>
      </c>
      <c r="AF358" s="28">
        <f t="shared" si="61"/>
        <v>111</v>
      </c>
      <c r="AG358" s="28">
        <f>COUNTIF(AF$3:AF358,AF358)-1</f>
        <v>2</v>
      </c>
    </row>
    <row r="359" spans="1:33" x14ac:dyDescent="0.25">
      <c r="A359" s="27"/>
      <c r="B359" s="27"/>
      <c r="C359" s="14"/>
      <c r="D359" s="14"/>
      <c r="E359" s="27"/>
      <c r="F359" s="27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28">
        <f t="shared" si="58"/>
        <v>357</v>
      </c>
      <c r="AB359" s="28">
        <f t="shared" ca="1" si="59"/>
        <v>20111</v>
      </c>
      <c r="AC359" s="28">
        <f t="shared" ca="1" si="56"/>
        <v>8</v>
      </c>
      <c r="AD359" s="29">
        <f t="shared" ca="1" si="57"/>
        <v>7000</v>
      </c>
      <c r="AE359" s="28" t="str">
        <f t="shared" ca="1" si="60"/>
        <v>副本111</v>
      </c>
      <c r="AF359" s="28">
        <f t="shared" si="61"/>
        <v>111</v>
      </c>
      <c r="AG359" s="28">
        <f>COUNTIF(AF$3:AF359,AF359)-1</f>
        <v>3</v>
      </c>
    </row>
    <row r="360" spans="1:33" x14ac:dyDescent="0.25">
      <c r="A360" s="27"/>
      <c r="B360" s="27"/>
      <c r="C360" s="14"/>
      <c r="D360" s="14"/>
      <c r="E360" s="27"/>
      <c r="F360" s="27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28">
        <f t="shared" si="58"/>
        <v>358</v>
      </c>
      <c r="AB360" s="28">
        <f t="shared" ca="1" si="59"/>
        <v>20112</v>
      </c>
      <c r="AC360" s="28">
        <f t="shared" ca="1" si="56"/>
        <v>1</v>
      </c>
      <c r="AD360" s="29">
        <f t="shared" ca="1" si="57"/>
        <v>10000</v>
      </c>
      <c r="AE360" s="28" t="str">
        <f t="shared" ca="1" si="60"/>
        <v>副本112</v>
      </c>
      <c r="AF360" s="28">
        <f t="shared" si="61"/>
        <v>112</v>
      </c>
      <c r="AG360" s="28">
        <f>COUNTIF(AF$3:AF360,AF360)-1</f>
        <v>0</v>
      </c>
    </row>
    <row r="361" spans="1:33" x14ac:dyDescent="0.25">
      <c r="A361" s="27"/>
      <c r="B361" s="27"/>
      <c r="C361" s="14"/>
      <c r="D361" s="14"/>
      <c r="E361" s="27"/>
      <c r="F361" s="27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28">
        <f t="shared" si="58"/>
        <v>359</v>
      </c>
      <c r="AB361" s="28">
        <f t="shared" ca="1" si="59"/>
        <v>20112</v>
      </c>
      <c r="AC361" s="28">
        <f t="shared" ca="1" si="56"/>
        <v>18</v>
      </c>
      <c r="AD361" s="29">
        <f t="shared" ca="1" si="57"/>
        <v>4500</v>
      </c>
      <c r="AE361" s="28" t="str">
        <f t="shared" ca="1" si="60"/>
        <v>副本112</v>
      </c>
      <c r="AF361" s="28">
        <f t="shared" si="61"/>
        <v>112</v>
      </c>
      <c r="AG361" s="28">
        <f>COUNTIF(AF$3:AF361,AF361)-1</f>
        <v>1</v>
      </c>
    </row>
    <row r="362" spans="1:33" x14ac:dyDescent="0.25">
      <c r="A362" s="27"/>
      <c r="B362" s="27"/>
      <c r="C362" s="14"/>
      <c r="D362" s="14"/>
      <c r="E362" s="27"/>
      <c r="F362" s="27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28">
        <f t="shared" si="58"/>
        <v>360</v>
      </c>
      <c r="AB362" s="28">
        <f t="shared" ca="1" si="59"/>
        <v>20112</v>
      </c>
      <c r="AC362" s="28">
        <f t="shared" ca="1" si="56"/>
        <v>12</v>
      </c>
      <c r="AD362" s="29">
        <f t="shared" ca="1" si="57"/>
        <v>6000</v>
      </c>
      <c r="AE362" s="28" t="str">
        <f t="shared" ca="1" si="60"/>
        <v>副本112</v>
      </c>
      <c r="AF362" s="28">
        <f t="shared" si="61"/>
        <v>112</v>
      </c>
      <c r="AG362" s="28">
        <f>COUNTIF(AF$3:AF362,AF362)-1</f>
        <v>2</v>
      </c>
    </row>
    <row r="363" spans="1:33" x14ac:dyDescent="0.25">
      <c r="A363" s="27"/>
      <c r="B363" s="27"/>
      <c r="C363" s="14"/>
      <c r="D363" s="14"/>
      <c r="E363" s="27"/>
      <c r="F363" s="27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28">
        <f t="shared" si="58"/>
        <v>361</v>
      </c>
      <c r="AB363" s="28">
        <f t="shared" ca="1" si="59"/>
        <v>20112</v>
      </c>
      <c r="AC363" s="28">
        <f t="shared" ca="1" si="56"/>
        <v>8</v>
      </c>
      <c r="AD363" s="29">
        <f t="shared" ca="1" si="57"/>
        <v>7000</v>
      </c>
      <c r="AE363" s="28" t="str">
        <f t="shared" ca="1" si="60"/>
        <v>副本112</v>
      </c>
      <c r="AF363" s="28">
        <f t="shared" si="61"/>
        <v>112</v>
      </c>
      <c r="AG363" s="28">
        <f>COUNTIF(AF$3:AF363,AF363)-1</f>
        <v>3</v>
      </c>
    </row>
    <row r="364" spans="1:33" x14ac:dyDescent="0.25">
      <c r="A364" s="27"/>
      <c r="B364" s="27"/>
      <c r="C364" s="14"/>
      <c r="D364" s="14"/>
      <c r="E364" s="27"/>
      <c r="F364" s="27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28">
        <f t="shared" si="58"/>
        <v>362</v>
      </c>
      <c r="AB364" s="28">
        <f t="shared" ca="1" si="59"/>
        <v>20113</v>
      </c>
      <c r="AC364" s="28">
        <f t="shared" ca="1" si="56"/>
        <v>1</v>
      </c>
      <c r="AD364" s="29">
        <f t="shared" ca="1" si="57"/>
        <v>10000</v>
      </c>
      <c r="AE364" s="28" t="str">
        <f t="shared" ca="1" si="60"/>
        <v>副本113</v>
      </c>
      <c r="AF364" s="28">
        <f t="shared" si="61"/>
        <v>113</v>
      </c>
      <c r="AG364" s="28">
        <f>COUNTIF(AF$3:AF364,AF364)-1</f>
        <v>0</v>
      </c>
    </row>
    <row r="365" spans="1:33" x14ac:dyDescent="0.25">
      <c r="A365" s="27"/>
      <c r="B365" s="27"/>
      <c r="C365" s="14"/>
      <c r="D365" s="14"/>
      <c r="E365" s="27"/>
      <c r="F365" s="27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28">
        <f t="shared" si="58"/>
        <v>363</v>
      </c>
      <c r="AB365" s="28">
        <f t="shared" ca="1" si="59"/>
        <v>20113</v>
      </c>
      <c r="AC365" s="28">
        <f t="shared" ca="1" si="56"/>
        <v>18</v>
      </c>
      <c r="AD365" s="29">
        <f t="shared" ca="1" si="57"/>
        <v>4500</v>
      </c>
      <c r="AE365" s="28" t="str">
        <f t="shared" ca="1" si="60"/>
        <v>副本113</v>
      </c>
      <c r="AF365" s="28">
        <f t="shared" si="61"/>
        <v>113</v>
      </c>
      <c r="AG365" s="28">
        <f>COUNTIF(AF$3:AF365,AF365)-1</f>
        <v>1</v>
      </c>
    </row>
    <row r="366" spans="1:33" x14ac:dyDescent="0.25">
      <c r="A366" s="27"/>
      <c r="B366" s="27"/>
      <c r="C366" s="14"/>
      <c r="D366" s="14"/>
      <c r="E366" s="27"/>
      <c r="F366" s="27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28">
        <f t="shared" si="58"/>
        <v>364</v>
      </c>
      <c r="AB366" s="28">
        <f t="shared" ca="1" si="59"/>
        <v>20113</v>
      </c>
      <c r="AC366" s="28">
        <f t="shared" ca="1" si="56"/>
        <v>12</v>
      </c>
      <c r="AD366" s="29">
        <f t="shared" ca="1" si="57"/>
        <v>6000</v>
      </c>
      <c r="AE366" s="28" t="str">
        <f t="shared" ca="1" si="60"/>
        <v>副本113</v>
      </c>
      <c r="AF366" s="28">
        <f t="shared" si="61"/>
        <v>113</v>
      </c>
      <c r="AG366" s="28">
        <f>COUNTIF(AF$3:AF366,AF366)-1</f>
        <v>2</v>
      </c>
    </row>
    <row r="367" spans="1:33" x14ac:dyDescent="0.25">
      <c r="A367" s="27"/>
      <c r="B367" s="27"/>
      <c r="C367" s="14"/>
      <c r="D367" s="14"/>
      <c r="E367" s="27"/>
      <c r="F367" s="27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28">
        <f t="shared" si="58"/>
        <v>365</v>
      </c>
      <c r="AB367" s="28">
        <f t="shared" ca="1" si="59"/>
        <v>20113</v>
      </c>
      <c r="AC367" s="28">
        <f t="shared" ca="1" si="56"/>
        <v>8</v>
      </c>
      <c r="AD367" s="29">
        <f t="shared" ca="1" si="57"/>
        <v>7000</v>
      </c>
      <c r="AE367" s="28" t="str">
        <f t="shared" ca="1" si="60"/>
        <v>副本113</v>
      </c>
      <c r="AF367" s="28">
        <f t="shared" si="61"/>
        <v>113</v>
      </c>
      <c r="AG367" s="28">
        <f>COUNTIF(AF$3:AF367,AF367)-1</f>
        <v>3</v>
      </c>
    </row>
    <row r="368" spans="1:33" x14ac:dyDescent="0.25">
      <c r="A368" s="27"/>
      <c r="B368" s="27"/>
      <c r="C368" s="14"/>
      <c r="D368" s="14"/>
      <c r="E368" s="27"/>
      <c r="F368" s="27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28">
        <f t="shared" si="58"/>
        <v>366</v>
      </c>
      <c r="AB368" s="28">
        <f t="shared" ca="1" si="59"/>
        <v>20114</v>
      </c>
      <c r="AC368" s="28">
        <f t="shared" ca="1" si="56"/>
        <v>1</v>
      </c>
      <c r="AD368" s="29">
        <f t="shared" ca="1" si="57"/>
        <v>10000</v>
      </c>
      <c r="AE368" s="28" t="str">
        <f t="shared" ca="1" si="60"/>
        <v>副本114</v>
      </c>
      <c r="AF368" s="28">
        <f t="shared" si="61"/>
        <v>114</v>
      </c>
      <c r="AG368" s="28">
        <f>COUNTIF(AF$3:AF368,AF368)-1</f>
        <v>0</v>
      </c>
    </row>
    <row r="369" spans="1:33" x14ac:dyDescent="0.25">
      <c r="A369" s="27"/>
      <c r="B369" s="27"/>
      <c r="C369" s="14"/>
      <c r="D369" s="14"/>
      <c r="E369" s="27"/>
      <c r="F369" s="27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28">
        <f t="shared" si="58"/>
        <v>367</v>
      </c>
      <c r="AB369" s="28">
        <f t="shared" ca="1" si="59"/>
        <v>20114</v>
      </c>
      <c r="AC369" s="28">
        <f t="shared" ca="1" si="56"/>
        <v>18</v>
      </c>
      <c r="AD369" s="29">
        <f t="shared" ca="1" si="57"/>
        <v>4500</v>
      </c>
      <c r="AE369" s="28" t="str">
        <f t="shared" ca="1" si="60"/>
        <v>副本114</v>
      </c>
      <c r="AF369" s="28">
        <f t="shared" si="61"/>
        <v>114</v>
      </c>
      <c r="AG369" s="28">
        <f>COUNTIF(AF$3:AF369,AF369)-1</f>
        <v>1</v>
      </c>
    </row>
    <row r="370" spans="1:33" x14ac:dyDescent="0.25">
      <c r="A370" s="27"/>
      <c r="B370" s="27"/>
      <c r="C370" s="14"/>
      <c r="D370" s="14"/>
      <c r="E370" s="27"/>
      <c r="F370" s="27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28">
        <f t="shared" si="58"/>
        <v>368</v>
      </c>
      <c r="AB370" s="28">
        <f t="shared" ca="1" si="59"/>
        <v>20114</v>
      </c>
      <c r="AC370" s="28">
        <f t="shared" ca="1" si="56"/>
        <v>12</v>
      </c>
      <c r="AD370" s="29">
        <f t="shared" ca="1" si="57"/>
        <v>6000</v>
      </c>
      <c r="AE370" s="28" t="str">
        <f t="shared" ca="1" si="60"/>
        <v>副本114</v>
      </c>
      <c r="AF370" s="28">
        <f t="shared" si="61"/>
        <v>114</v>
      </c>
      <c r="AG370" s="28">
        <f>COUNTIF(AF$3:AF370,AF370)-1</f>
        <v>2</v>
      </c>
    </row>
    <row r="371" spans="1:33" x14ac:dyDescent="0.25">
      <c r="A371" s="27"/>
      <c r="B371" s="27"/>
      <c r="C371" s="14"/>
      <c r="D371" s="14"/>
      <c r="E371" s="27"/>
      <c r="F371" s="27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28">
        <f t="shared" si="58"/>
        <v>369</v>
      </c>
      <c r="AB371" s="28">
        <f t="shared" ca="1" si="59"/>
        <v>20114</v>
      </c>
      <c r="AC371" s="28">
        <f t="shared" ca="1" si="56"/>
        <v>8</v>
      </c>
      <c r="AD371" s="29">
        <f t="shared" ca="1" si="57"/>
        <v>7000</v>
      </c>
      <c r="AE371" s="28" t="str">
        <f t="shared" ca="1" si="60"/>
        <v>副本114</v>
      </c>
      <c r="AF371" s="28">
        <f t="shared" si="61"/>
        <v>114</v>
      </c>
      <c r="AG371" s="28">
        <f>COUNTIF(AF$3:AF371,AF371)-1</f>
        <v>3</v>
      </c>
    </row>
    <row r="372" spans="1:33" x14ac:dyDescent="0.25">
      <c r="A372" s="27"/>
      <c r="B372" s="27"/>
      <c r="C372" s="14"/>
      <c r="D372" s="14"/>
      <c r="E372" s="27"/>
      <c r="F372" s="27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28">
        <f t="shared" si="58"/>
        <v>370</v>
      </c>
      <c r="AB372" s="28">
        <f t="shared" ca="1" si="59"/>
        <v>20115</v>
      </c>
      <c r="AC372" s="28">
        <f t="shared" ca="1" si="56"/>
        <v>1</v>
      </c>
      <c r="AD372" s="29">
        <f t="shared" ca="1" si="57"/>
        <v>10000</v>
      </c>
      <c r="AE372" s="28" t="str">
        <f t="shared" ca="1" si="60"/>
        <v>副本115</v>
      </c>
      <c r="AF372" s="28">
        <f t="shared" si="61"/>
        <v>115</v>
      </c>
      <c r="AG372" s="28">
        <f>COUNTIF(AF$3:AF372,AF372)-1</f>
        <v>0</v>
      </c>
    </row>
    <row r="373" spans="1:33" x14ac:dyDescent="0.25">
      <c r="A373" s="27"/>
      <c r="B373" s="27"/>
      <c r="C373" s="14"/>
      <c r="D373" s="14"/>
      <c r="E373" s="27"/>
      <c r="F373" s="27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28">
        <f t="shared" si="58"/>
        <v>371</v>
      </c>
      <c r="AB373" s="28">
        <f t="shared" ca="1" si="59"/>
        <v>20115</v>
      </c>
      <c r="AC373" s="28">
        <f t="shared" ca="1" si="56"/>
        <v>19</v>
      </c>
      <c r="AD373" s="29">
        <f t="shared" ca="1" si="57"/>
        <v>4500</v>
      </c>
      <c r="AE373" s="28" t="str">
        <f t="shared" ca="1" si="60"/>
        <v>副本115</v>
      </c>
      <c r="AF373" s="28">
        <f t="shared" si="61"/>
        <v>115</v>
      </c>
      <c r="AG373" s="28">
        <f>COUNTIF(AF$3:AF373,AF373)-1</f>
        <v>1</v>
      </c>
    </row>
    <row r="374" spans="1:33" x14ac:dyDescent="0.25">
      <c r="A374" s="27"/>
      <c r="B374" s="27"/>
      <c r="C374" s="14"/>
      <c r="D374" s="14"/>
      <c r="E374" s="27"/>
      <c r="F374" s="27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28">
        <f t="shared" si="58"/>
        <v>372</v>
      </c>
      <c r="AB374" s="28">
        <f t="shared" ca="1" si="59"/>
        <v>20115</v>
      </c>
      <c r="AC374" s="28">
        <f t="shared" ca="1" si="56"/>
        <v>11</v>
      </c>
      <c r="AD374" s="29">
        <f t="shared" ca="1" si="57"/>
        <v>6000</v>
      </c>
      <c r="AE374" s="28" t="str">
        <f t="shared" ca="1" si="60"/>
        <v>副本115</v>
      </c>
      <c r="AF374" s="28">
        <f t="shared" si="61"/>
        <v>115</v>
      </c>
      <c r="AG374" s="28">
        <f>COUNTIF(AF$3:AF374,AF374)-1</f>
        <v>2</v>
      </c>
    </row>
    <row r="375" spans="1:33" x14ac:dyDescent="0.25">
      <c r="A375" s="27"/>
      <c r="B375" s="27"/>
      <c r="C375" s="14"/>
      <c r="D375" s="14"/>
      <c r="E375" s="27"/>
      <c r="F375" s="27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28">
        <f t="shared" si="58"/>
        <v>373</v>
      </c>
      <c r="AB375" s="28">
        <f t="shared" ca="1" si="59"/>
        <v>20115</v>
      </c>
      <c r="AC375" s="28">
        <f t="shared" ca="1" si="56"/>
        <v>9</v>
      </c>
      <c r="AD375" s="29">
        <f t="shared" ca="1" si="57"/>
        <v>7000</v>
      </c>
      <c r="AE375" s="28" t="str">
        <f t="shared" ca="1" si="60"/>
        <v>副本115</v>
      </c>
      <c r="AF375" s="28">
        <f t="shared" si="61"/>
        <v>115</v>
      </c>
      <c r="AG375" s="28">
        <f>COUNTIF(AF$3:AF375,AF375)-1</f>
        <v>3</v>
      </c>
    </row>
    <row r="376" spans="1:33" x14ac:dyDescent="0.25">
      <c r="A376" s="27"/>
      <c r="B376" s="27"/>
      <c r="C376" s="14"/>
      <c r="D376" s="14"/>
      <c r="E376" s="27"/>
      <c r="F376" s="27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28">
        <f t="shared" si="58"/>
        <v>374</v>
      </c>
      <c r="AB376" s="28">
        <f t="shared" ca="1" si="59"/>
        <v>20116</v>
      </c>
      <c r="AC376" s="28">
        <f t="shared" ca="1" si="56"/>
        <v>1</v>
      </c>
      <c r="AD376" s="29">
        <f t="shared" ca="1" si="57"/>
        <v>10000</v>
      </c>
      <c r="AE376" s="28" t="str">
        <f t="shared" ca="1" si="60"/>
        <v>副本116</v>
      </c>
      <c r="AF376" s="28">
        <f t="shared" si="61"/>
        <v>116</v>
      </c>
      <c r="AG376" s="28">
        <f>COUNTIF(AF$3:AF376,AF376)-1</f>
        <v>0</v>
      </c>
    </row>
    <row r="377" spans="1:33" x14ac:dyDescent="0.25">
      <c r="A377" s="27"/>
      <c r="B377" s="27"/>
      <c r="C377" s="14"/>
      <c r="D377" s="14"/>
      <c r="E377" s="27"/>
      <c r="F377" s="27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28">
        <f t="shared" si="58"/>
        <v>375</v>
      </c>
      <c r="AB377" s="28">
        <f t="shared" ca="1" si="59"/>
        <v>20116</v>
      </c>
      <c r="AC377" s="28">
        <f t="shared" ca="1" si="56"/>
        <v>19</v>
      </c>
      <c r="AD377" s="29">
        <f t="shared" ca="1" si="57"/>
        <v>4500</v>
      </c>
      <c r="AE377" s="28" t="str">
        <f t="shared" ca="1" si="60"/>
        <v>副本116</v>
      </c>
      <c r="AF377" s="28">
        <f t="shared" si="61"/>
        <v>116</v>
      </c>
      <c r="AG377" s="28">
        <f>COUNTIF(AF$3:AF377,AF377)-1</f>
        <v>1</v>
      </c>
    </row>
    <row r="378" spans="1:33" x14ac:dyDescent="0.25">
      <c r="A378" s="27"/>
      <c r="B378" s="27"/>
      <c r="C378" s="14"/>
      <c r="D378" s="14"/>
      <c r="E378" s="27"/>
      <c r="F378" s="27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28">
        <f t="shared" si="58"/>
        <v>376</v>
      </c>
      <c r="AB378" s="28">
        <f t="shared" ca="1" si="59"/>
        <v>20116</v>
      </c>
      <c r="AC378" s="28">
        <f t="shared" ca="1" si="56"/>
        <v>11</v>
      </c>
      <c r="AD378" s="29">
        <f t="shared" ca="1" si="57"/>
        <v>6000</v>
      </c>
      <c r="AE378" s="28" t="str">
        <f t="shared" ca="1" si="60"/>
        <v>副本116</v>
      </c>
      <c r="AF378" s="28">
        <f t="shared" si="61"/>
        <v>116</v>
      </c>
      <c r="AG378" s="28">
        <f>COUNTIF(AF$3:AF378,AF378)-1</f>
        <v>2</v>
      </c>
    </row>
    <row r="379" spans="1:33" x14ac:dyDescent="0.25">
      <c r="A379" s="27"/>
      <c r="B379" s="27"/>
      <c r="C379" s="14"/>
      <c r="D379" s="14"/>
      <c r="E379" s="27"/>
      <c r="F379" s="27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28">
        <f t="shared" si="58"/>
        <v>377</v>
      </c>
      <c r="AB379" s="28">
        <f t="shared" ca="1" si="59"/>
        <v>20116</v>
      </c>
      <c r="AC379" s="28">
        <f t="shared" ca="1" si="56"/>
        <v>9</v>
      </c>
      <c r="AD379" s="29">
        <f t="shared" ca="1" si="57"/>
        <v>7000</v>
      </c>
      <c r="AE379" s="28" t="str">
        <f t="shared" ca="1" si="60"/>
        <v>副本116</v>
      </c>
      <c r="AF379" s="28">
        <f t="shared" si="61"/>
        <v>116</v>
      </c>
      <c r="AG379" s="28">
        <f>COUNTIF(AF$3:AF379,AF379)-1</f>
        <v>3</v>
      </c>
    </row>
    <row r="380" spans="1:33" x14ac:dyDescent="0.25">
      <c r="A380" s="27"/>
      <c r="B380" s="27"/>
      <c r="C380" s="14"/>
      <c r="D380" s="14"/>
      <c r="E380" s="27"/>
      <c r="F380" s="27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28">
        <f t="shared" si="58"/>
        <v>378</v>
      </c>
      <c r="AB380" s="28">
        <f t="shared" ca="1" si="59"/>
        <v>20117</v>
      </c>
      <c r="AC380" s="28">
        <f t="shared" ca="1" si="56"/>
        <v>1</v>
      </c>
      <c r="AD380" s="29">
        <f t="shared" ca="1" si="57"/>
        <v>10000</v>
      </c>
      <c r="AE380" s="28" t="str">
        <f t="shared" ca="1" si="60"/>
        <v>副本117</v>
      </c>
      <c r="AF380" s="28">
        <f t="shared" si="61"/>
        <v>117</v>
      </c>
      <c r="AG380" s="28">
        <f>COUNTIF(AF$3:AF380,AF380)-1</f>
        <v>0</v>
      </c>
    </row>
    <row r="381" spans="1:33" x14ac:dyDescent="0.25">
      <c r="A381" s="27"/>
      <c r="B381" s="27"/>
      <c r="C381" s="14"/>
      <c r="D381" s="14"/>
      <c r="E381" s="27"/>
      <c r="F381" s="27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28">
        <f t="shared" si="58"/>
        <v>379</v>
      </c>
      <c r="AB381" s="28">
        <f t="shared" ca="1" si="59"/>
        <v>20117</v>
      </c>
      <c r="AC381" s="28">
        <f t="shared" ca="1" si="56"/>
        <v>19</v>
      </c>
      <c r="AD381" s="29">
        <f t="shared" ca="1" si="57"/>
        <v>4500</v>
      </c>
      <c r="AE381" s="28" t="str">
        <f t="shared" ca="1" si="60"/>
        <v>副本117</v>
      </c>
      <c r="AF381" s="28">
        <f t="shared" si="61"/>
        <v>117</v>
      </c>
      <c r="AG381" s="28">
        <f>COUNTIF(AF$3:AF381,AF381)-1</f>
        <v>1</v>
      </c>
    </row>
    <row r="382" spans="1:33" x14ac:dyDescent="0.25">
      <c r="A382" s="27"/>
      <c r="B382" s="27"/>
      <c r="C382" s="14"/>
      <c r="D382" s="14"/>
      <c r="E382" s="27"/>
      <c r="F382" s="27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28">
        <f t="shared" si="58"/>
        <v>380</v>
      </c>
      <c r="AB382" s="28">
        <f t="shared" ca="1" si="59"/>
        <v>20117</v>
      </c>
      <c r="AC382" s="28">
        <f t="shared" ca="1" si="56"/>
        <v>11</v>
      </c>
      <c r="AD382" s="29">
        <f t="shared" ca="1" si="57"/>
        <v>6000</v>
      </c>
      <c r="AE382" s="28" t="str">
        <f t="shared" ca="1" si="60"/>
        <v>副本117</v>
      </c>
      <c r="AF382" s="28">
        <f t="shared" si="61"/>
        <v>117</v>
      </c>
      <c r="AG382" s="28">
        <f>COUNTIF(AF$3:AF382,AF382)-1</f>
        <v>2</v>
      </c>
    </row>
    <row r="383" spans="1:33" x14ac:dyDescent="0.25">
      <c r="A383" s="27"/>
      <c r="B383" s="27"/>
      <c r="C383" s="14"/>
      <c r="D383" s="14"/>
      <c r="E383" s="27"/>
      <c r="F383" s="27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28">
        <f t="shared" si="58"/>
        <v>381</v>
      </c>
      <c r="AB383" s="28">
        <f t="shared" ca="1" si="59"/>
        <v>20117</v>
      </c>
      <c r="AC383" s="28">
        <f t="shared" ca="1" si="56"/>
        <v>9</v>
      </c>
      <c r="AD383" s="29">
        <f t="shared" ca="1" si="57"/>
        <v>7000</v>
      </c>
      <c r="AE383" s="28" t="str">
        <f t="shared" ca="1" si="60"/>
        <v>副本117</v>
      </c>
      <c r="AF383" s="28">
        <f t="shared" si="61"/>
        <v>117</v>
      </c>
      <c r="AG383" s="28">
        <f>COUNTIF(AF$3:AF383,AF383)-1</f>
        <v>3</v>
      </c>
    </row>
    <row r="384" spans="1:33" x14ac:dyDescent="0.25">
      <c r="A384" s="27"/>
      <c r="B384" s="27"/>
      <c r="C384" s="14"/>
      <c r="D384" s="14"/>
      <c r="E384" s="27"/>
      <c r="F384" s="27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28">
        <f t="shared" si="58"/>
        <v>382</v>
      </c>
      <c r="AB384" s="28">
        <f t="shared" ca="1" si="59"/>
        <v>20118</v>
      </c>
      <c r="AC384" s="28">
        <f t="shared" ca="1" si="56"/>
        <v>1</v>
      </c>
      <c r="AD384" s="29">
        <f t="shared" ca="1" si="57"/>
        <v>10000</v>
      </c>
      <c r="AE384" s="28" t="str">
        <f t="shared" ca="1" si="60"/>
        <v>副本118</v>
      </c>
      <c r="AF384" s="28">
        <f t="shared" si="61"/>
        <v>118</v>
      </c>
      <c r="AG384" s="28">
        <f>COUNTIF(AF$3:AF384,AF384)-1</f>
        <v>0</v>
      </c>
    </row>
    <row r="385" spans="1:33" x14ac:dyDescent="0.25">
      <c r="A385" s="27"/>
      <c r="B385" s="27"/>
      <c r="C385" s="14"/>
      <c r="D385" s="14"/>
      <c r="E385" s="27"/>
      <c r="F385" s="27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28">
        <f t="shared" si="58"/>
        <v>383</v>
      </c>
      <c r="AB385" s="28">
        <f t="shared" ca="1" si="59"/>
        <v>20118</v>
      </c>
      <c r="AC385" s="28">
        <f t="shared" ca="1" si="56"/>
        <v>19</v>
      </c>
      <c r="AD385" s="29">
        <f t="shared" ca="1" si="57"/>
        <v>4500</v>
      </c>
      <c r="AE385" s="28" t="str">
        <f t="shared" ca="1" si="60"/>
        <v>副本118</v>
      </c>
      <c r="AF385" s="28">
        <f t="shared" si="61"/>
        <v>118</v>
      </c>
      <c r="AG385" s="28">
        <f>COUNTIF(AF$3:AF385,AF385)-1</f>
        <v>1</v>
      </c>
    </row>
    <row r="386" spans="1:33" x14ac:dyDescent="0.25">
      <c r="A386" s="27"/>
      <c r="B386" s="27"/>
      <c r="C386" s="14"/>
      <c r="D386" s="14"/>
      <c r="E386" s="27"/>
      <c r="F386" s="27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28">
        <f t="shared" si="58"/>
        <v>384</v>
      </c>
      <c r="AB386" s="28">
        <f t="shared" ca="1" si="59"/>
        <v>20118</v>
      </c>
      <c r="AC386" s="28">
        <f t="shared" ca="1" si="56"/>
        <v>11</v>
      </c>
      <c r="AD386" s="29">
        <f t="shared" ca="1" si="57"/>
        <v>6000</v>
      </c>
      <c r="AE386" s="28" t="str">
        <f t="shared" ca="1" si="60"/>
        <v>副本118</v>
      </c>
      <c r="AF386" s="28">
        <f t="shared" si="61"/>
        <v>118</v>
      </c>
      <c r="AG386" s="28">
        <f>COUNTIF(AF$3:AF386,AF386)-1</f>
        <v>2</v>
      </c>
    </row>
    <row r="387" spans="1:33" x14ac:dyDescent="0.25">
      <c r="A387" s="27"/>
      <c r="B387" s="27"/>
      <c r="C387" s="14"/>
      <c r="D387" s="14"/>
      <c r="E387" s="27"/>
      <c r="F387" s="27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28">
        <f t="shared" si="58"/>
        <v>385</v>
      </c>
      <c r="AB387" s="28">
        <f t="shared" ca="1" si="59"/>
        <v>20118</v>
      </c>
      <c r="AC387" s="28">
        <f t="shared" ref="AC387:AC450" ca="1" si="62">OFFSET($G$2,$AF387,$AG387)</f>
        <v>9</v>
      </c>
      <c r="AD387" s="29">
        <f t="shared" ref="AD387:AD450" ca="1" si="63">OFFSET($Q$2,$AF387,$AG387)*$AD$1</f>
        <v>7000</v>
      </c>
      <c r="AE387" s="28" t="str">
        <f t="shared" ca="1" si="60"/>
        <v>副本118</v>
      </c>
      <c r="AF387" s="28">
        <f t="shared" si="61"/>
        <v>118</v>
      </c>
      <c r="AG387" s="28">
        <f>COUNTIF(AF$3:AF387,AF387)-1</f>
        <v>3</v>
      </c>
    </row>
    <row r="388" spans="1:33" x14ac:dyDescent="0.25">
      <c r="A388" s="27"/>
      <c r="B388" s="27"/>
      <c r="C388" s="14"/>
      <c r="D388" s="14"/>
      <c r="E388" s="27"/>
      <c r="F388" s="27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28">
        <f t="shared" si="58"/>
        <v>386</v>
      </c>
      <c r="AB388" s="28">
        <f t="shared" ca="1" si="59"/>
        <v>20119</v>
      </c>
      <c r="AC388" s="28">
        <f t="shared" ca="1" si="62"/>
        <v>1</v>
      </c>
      <c r="AD388" s="29">
        <f t="shared" ca="1" si="63"/>
        <v>10000</v>
      </c>
      <c r="AE388" s="28" t="str">
        <f t="shared" ca="1" si="60"/>
        <v>副本119</v>
      </c>
      <c r="AF388" s="28">
        <f t="shared" si="61"/>
        <v>119</v>
      </c>
      <c r="AG388" s="28">
        <f>COUNTIF(AF$3:AF388,AF388)-1</f>
        <v>0</v>
      </c>
    </row>
    <row r="389" spans="1:33" x14ac:dyDescent="0.25">
      <c r="A389" s="27"/>
      <c r="B389" s="27"/>
      <c r="C389" s="14"/>
      <c r="D389" s="14"/>
      <c r="E389" s="27"/>
      <c r="F389" s="27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28">
        <f t="shared" si="58"/>
        <v>387</v>
      </c>
      <c r="AB389" s="28">
        <f t="shared" ca="1" si="59"/>
        <v>20119</v>
      </c>
      <c r="AC389" s="28">
        <f t="shared" ca="1" si="62"/>
        <v>17</v>
      </c>
      <c r="AD389" s="29">
        <f t="shared" ca="1" si="63"/>
        <v>4500</v>
      </c>
      <c r="AE389" s="28" t="str">
        <f t="shared" ca="1" si="60"/>
        <v>副本119</v>
      </c>
      <c r="AF389" s="28">
        <f t="shared" si="61"/>
        <v>119</v>
      </c>
      <c r="AG389" s="28">
        <f>COUNTIF(AF$3:AF389,AF389)-1</f>
        <v>1</v>
      </c>
    </row>
    <row r="390" spans="1:33" x14ac:dyDescent="0.25">
      <c r="A390" s="27"/>
      <c r="B390" s="27"/>
      <c r="C390" s="14"/>
      <c r="D390" s="14"/>
      <c r="E390" s="27"/>
      <c r="F390" s="27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28">
        <f t="shared" si="58"/>
        <v>388</v>
      </c>
      <c r="AB390" s="28">
        <f t="shared" ca="1" si="59"/>
        <v>20119</v>
      </c>
      <c r="AC390" s="28">
        <f t="shared" ca="1" si="62"/>
        <v>11</v>
      </c>
      <c r="AD390" s="29">
        <f t="shared" ca="1" si="63"/>
        <v>6000</v>
      </c>
      <c r="AE390" s="28" t="str">
        <f t="shared" ca="1" si="60"/>
        <v>副本119</v>
      </c>
      <c r="AF390" s="28">
        <f t="shared" si="61"/>
        <v>119</v>
      </c>
      <c r="AG390" s="28">
        <f>COUNTIF(AF$3:AF390,AF390)-1</f>
        <v>2</v>
      </c>
    </row>
    <row r="391" spans="1:33" x14ac:dyDescent="0.25">
      <c r="A391" s="27"/>
      <c r="B391" s="27"/>
      <c r="C391" s="14"/>
      <c r="D391" s="14"/>
      <c r="E391" s="27"/>
      <c r="F391" s="27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28">
        <f t="shared" si="58"/>
        <v>389</v>
      </c>
      <c r="AB391" s="28">
        <f t="shared" ca="1" si="59"/>
        <v>20119</v>
      </c>
      <c r="AC391" s="28">
        <f t="shared" ca="1" si="62"/>
        <v>9</v>
      </c>
      <c r="AD391" s="29">
        <f t="shared" ca="1" si="63"/>
        <v>7000</v>
      </c>
      <c r="AE391" s="28" t="str">
        <f t="shared" ca="1" si="60"/>
        <v>副本119</v>
      </c>
      <c r="AF391" s="28">
        <f t="shared" si="61"/>
        <v>119</v>
      </c>
      <c r="AG391" s="28">
        <f>COUNTIF(AF$3:AF391,AF391)-1</f>
        <v>3</v>
      </c>
    </row>
    <row r="392" spans="1:33" x14ac:dyDescent="0.25">
      <c r="A392" s="27"/>
      <c r="B392" s="27"/>
      <c r="C392" s="14"/>
      <c r="D392" s="14"/>
      <c r="E392" s="27"/>
      <c r="F392" s="27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28">
        <f t="shared" si="58"/>
        <v>390</v>
      </c>
      <c r="AB392" s="28">
        <f t="shared" ca="1" si="59"/>
        <v>20120</v>
      </c>
      <c r="AC392" s="28">
        <f t="shared" ca="1" si="62"/>
        <v>1</v>
      </c>
      <c r="AD392" s="29">
        <f t="shared" ca="1" si="63"/>
        <v>10000</v>
      </c>
      <c r="AE392" s="28" t="str">
        <f t="shared" ca="1" si="60"/>
        <v>副本120</v>
      </c>
      <c r="AF392" s="28">
        <f t="shared" si="61"/>
        <v>120</v>
      </c>
      <c r="AG392" s="28">
        <f>COUNTIF(AF$3:AF392,AF392)-1</f>
        <v>0</v>
      </c>
    </row>
    <row r="393" spans="1:33" x14ac:dyDescent="0.25">
      <c r="A393" s="27"/>
      <c r="B393" s="27"/>
      <c r="C393" s="14"/>
      <c r="D393" s="14"/>
      <c r="E393" s="27"/>
      <c r="F393" s="27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28">
        <f t="shared" si="58"/>
        <v>391</v>
      </c>
      <c r="AB393" s="28">
        <f t="shared" ca="1" si="59"/>
        <v>20120</v>
      </c>
      <c r="AC393" s="28">
        <f t="shared" ca="1" si="62"/>
        <v>17</v>
      </c>
      <c r="AD393" s="29">
        <f t="shared" ca="1" si="63"/>
        <v>4500</v>
      </c>
      <c r="AE393" s="28" t="str">
        <f t="shared" ca="1" si="60"/>
        <v>副本120</v>
      </c>
      <c r="AF393" s="28">
        <f t="shared" si="61"/>
        <v>120</v>
      </c>
      <c r="AG393" s="28">
        <f>COUNTIF(AF$3:AF393,AF393)-1</f>
        <v>1</v>
      </c>
    </row>
    <row r="394" spans="1:33" x14ac:dyDescent="0.25">
      <c r="A394" s="27"/>
      <c r="B394" s="27"/>
      <c r="C394" s="14"/>
      <c r="D394" s="14"/>
      <c r="E394" s="27"/>
      <c r="F394" s="27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28">
        <f t="shared" si="58"/>
        <v>392</v>
      </c>
      <c r="AB394" s="28">
        <f t="shared" ca="1" si="59"/>
        <v>20120</v>
      </c>
      <c r="AC394" s="28">
        <f t="shared" ca="1" si="62"/>
        <v>11</v>
      </c>
      <c r="AD394" s="29">
        <f t="shared" ca="1" si="63"/>
        <v>6000</v>
      </c>
      <c r="AE394" s="28" t="str">
        <f t="shared" ca="1" si="60"/>
        <v>副本120</v>
      </c>
      <c r="AF394" s="28">
        <f t="shared" si="61"/>
        <v>120</v>
      </c>
      <c r="AG394" s="28">
        <f>COUNTIF(AF$3:AF394,AF394)-1</f>
        <v>2</v>
      </c>
    </row>
    <row r="395" spans="1:33" x14ac:dyDescent="0.25">
      <c r="A395" s="27"/>
      <c r="B395" s="27"/>
      <c r="C395" s="14"/>
      <c r="D395" s="14"/>
      <c r="E395" s="27"/>
      <c r="F395" s="27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28">
        <f t="shared" si="58"/>
        <v>393</v>
      </c>
      <c r="AB395" s="28">
        <f t="shared" ca="1" si="59"/>
        <v>20120</v>
      </c>
      <c r="AC395" s="28">
        <f t="shared" ca="1" si="62"/>
        <v>9</v>
      </c>
      <c r="AD395" s="29">
        <f t="shared" ca="1" si="63"/>
        <v>7000</v>
      </c>
      <c r="AE395" s="28" t="str">
        <f t="shared" ca="1" si="60"/>
        <v>副本120</v>
      </c>
      <c r="AF395" s="28">
        <f t="shared" si="61"/>
        <v>120</v>
      </c>
      <c r="AG395" s="28">
        <f>COUNTIF(AF$3:AF395,AF395)-1</f>
        <v>3</v>
      </c>
    </row>
    <row r="396" spans="1:33" x14ac:dyDescent="0.25">
      <c r="A396" s="27"/>
      <c r="B396" s="27"/>
      <c r="C396" s="14"/>
      <c r="D396" s="14"/>
      <c r="E396" s="27"/>
      <c r="F396" s="27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28">
        <f t="shared" si="58"/>
        <v>394</v>
      </c>
      <c r="AB396" s="28">
        <f t="shared" ca="1" si="59"/>
        <v>20121</v>
      </c>
      <c r="AC396" s="28">
        <f t="shared" ca="1" si="62"/>
        <v>1</v>
      </c>
      <c r="AD396" s="29">
        <f t="shared" ca="1" si="63"/>
        <v>10000</v>
      </c>
      <c r="AE396" s="28" t="str">
        <f t="shared" ca="1" si="60"/>
        <v>副本121</v>
      </c>
      <c r="AF396" s="28">
        <f t="shared" si="61"/>
        <v>121</v>
      </c>
      <c r="AG396" s="28">
        <f>COUNTIF(AF$3:AF396,AF396)-1</f>
        <v>0</v>
      </c>
    </row>
    <row r="397" spans="1:33" x14ac:dyDescent="0.25">
      <c r="A397" s="27"/>
      <c r="B397" s="27"/>
      <c r="C397" s="14"/>
      <c r="D397" s="14"/>
      <c r="E397" s="27"/>
      <c r="F397" s="27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28">
        <f t="shared" si="58"/>
        <v>395</v>
      </c>
      <c r="AB397" s="28">
        <f t="shared" ca="1" si="59"/>
        <v>20121</v>
      </c>
      <c r="AC397" s="28">
        <f t="shared" ca="1" si="62"/>
        <v>17</v>
      </c>
      <c r="AD397" s="29">
        <f t="shared" ca="1" si="63"/>
        <v>4500</v>
      </c>
      <c r="AE397" s="28" t="str">
        <f t="shared" ca="1" si="60"/>
        <v>副本121</v>
      </c>
      <c r="AF397" s="28">
        <f t="shared" si="61"/>
        <v>121</v>
      </c>
      <c r="AG397" s="28">
        <f>COUNTIF(AF$3:AF397,AF397)-1</f>
        <v>1</v>
      </c>
    </row>
    <row r="398" spans="1:33" x14ac:dyDescent="0.25">
      <c r="A398" s="27"/>
      <c r="B398" s="27"/>
      <c r="C398" s="14"/>
      <c r="D398" s="14"/>
      <c r="E398" s="27"/>
      <c r="F398" s="27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28">
        <f t="shared" si="58"/>
        <v>396</v>
      </c>
      <c r="AB398" s="28">
        <f t="shared" ca="1" si="59"/>
        <v>20121</v>
      </c>
      <c r="AC398" s="28">
        <f t="shared" ca="1" si="62"/>
        <v>11</v>
      </c>
      <c r="AD398" s="29">
        <f t="shared" ca="1" si="63"/>
        <v>6000</v>
      </c>
      <c r="AE398" s="28" t="str">
        <f t="shared" ca="1" si="60"/>
        <v>副本121</v>
      </c>
      <c r="AF398" s="28">
        <f t="shared" si="61"/>
        <v>121</v>
      </c>
      <c r="AG398" s="28">
        <f>COUNTIF(AF$3:AF398,AF398)-1</f>
        <v>2</v>
      </c>
    </row>
    <row r="399" spans="1:33" x14ac:dyDescent="0.25">
      <c r="A399" s="27"/>
      <c r="B399" s="27"/>
      <c r="C399" s="14"/>
      <c r="D399" s="14"/>
      <c r="E399" s="27"/>
      <c r="F399" s="27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28">
        <f t="shared" si="58"/>
        <v>397</v>
      </c>
      <c r="AB399" s="28">
        <f t="shared" ca="1" si="59"/>
        <v>20121</v>
      </c>
      <c r="AC399" s="28">
        <f t="shared" ca="1" si="62"/>
        <v>9</v>
      </c>
      <c r="AD399" s="29">
        <f t="shared" ca="1" si="63"/>
        <v>7000</v>
      </c>
      <c r="AE399" s="28" t="str">
        <f t="shared" ca="1" si="60"/>
        <v>副本121</v>
      </c>
      <c r="AF399" s="28">
        <f t="shared" si="61"/>
        <v>121</v>
      </c>
      <c r="AG399" s="28">
        <f>COUNTIF(AF$3:AF399,AF399)-1</f>
        <v>3</v>
      </c>
    </row>
    <row r="400" spans="1:33" x14ac:dyDescent="0.25">
      <c r="A400" s="27"/>
      <c r="B400" s="27"/>
      <c r="C400" s="14"/>
      <c r="D400" s="14"/>
      <c r="E400" s="27"/>
      <c r="F400" s="27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28">
        <f t="shared" si="58"/>
        <v>398</v>
      </c>
      <c r="AB400" s="28">
        <f t="shared" ca="1" si="59"/>
        <v>20122</v>
      </c>
      <c r="AC400" s="28">
        <f t="shared" ca="1" si="62"/>
        <v>1</v>
      </c>
      <c r="AD400" s="29">
        <f t="shared" ca="1" si="63"/>
        <v>10000</v>
      </c>
      <c r="AE400" s="28" t="str">
        <f t="shared" ca="1" si="60"/>
        <v>副本122</v>
      </c>
      <c r="AF400" s="28">
        <f t="shared" si="61"/>
        <v>122</v>
      </c>
      <c r="AG400" s="28">
        <f>COUNTIF(AF$3:AF400,AF400)-1</f>
        <v>0</v>
      </c>
    </row>
    <row r="401" spans="1:33" x14ac:dyDescent="0.25">
      <c r="A401" s="27"/>
      <c r="B401" s="27"/>
      <c r="C401" s="14"/>
      <c r="D401" s="14"/>
      <c r="E401" s="27"/>
      <c r="F401" s="27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28">
        <f t="shared" si="58"/>
        <v>399</v>
      </c>
      <c r="AB401" s="28">
        <f t="shared" ca="1" si="59"/>
        <v>20122</v>
      </c>
      <c r="AC401" s="28">
        <f t="shared" ca="1" si="62"/>
        <v>17</v>
      </c>
      <c r="AD401" s="29">
        <f t="shared" ca="1" si="63"/>
        <v>4500</v>
      </c>
      <c r="AE401" s="28" t="str">
        <f t="shared" ca="1" si="60"/>
        <v>副本122</v>
      </c>
      <c r="AF401" s="28">
        <f t="shared" si="61"/>
        <v>122</v>
      </c>
      <c r="AG401" s="28">
        <f>COUNTIF(AF$3:AF401,AF401)-1</f>
        <v>1</v>
      </c>
    </row>
    <row r="402" spans="1:33" x14ac:dyDescent="0.25">
      <c r="A402" s="27"/>
      <c r="B402" s="27"/>
      <c r="C402" s="14"/>
      <c r="D402" s="14"/>
      <c r="E402" s="27"/>
      <c r="F402" s="27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28">
        <f t="shared" si="58"/>
        <v>400</v>
      </c>
      <c r="AB402" s="28">
        <f t="shared" ca="1" si="59"/>
        <v>20122</v>
      </c>
      <c r="AC402" s="28">
        <f t="shared" ca="1" si="62"/>
        <v>11</v>
      </c>
      <c r="AD402" s="29">
        <f t="shared" ca="1" si="63"/>
        <v>6000</v>
      </c>
      <c r="AE402" s="28" t="str">
        <f t="shared" ca="1" si="60"/>
        <v>副本122</v>
      </c>
      <c r="AF402" s="28">
        <f t="shared" si="61"/>
        <v>122</v>
      </c>
      <c r="AG402" s="28">
        <f>COUNTIF(AF$3:AF402,AF402)-1</f>
        <v>2</v>
      </c>
    </row>
    <row r="403" spans="1:33" x14ac:dyDescent="0.25">
      <c r="A403" s="27"/>
      <c r="B403" s="27"/>
      <c r="C403" s="14"/>
      <c r="D403" s="14"/>
      <c r="E403" s="27"/>
      <c r="F403" s="27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28">
        <f t="shared" si="58"/>
        <v>401</v>
      </c>
      <c r="AB403" s="28">
        <f t="shared" ca="1" si="59"/>
        <v>20122</v>
      </c>
      <c r="AC403" s="28">
        <f t="shared" ca="1" si="62"/>
        <v>9</v>
      </c>
      <c r="AD403" s="29">
        <f t="shared" ca="1" si="63"/>
        <v>7000</v>
      </c>
      <c r="AE403" s="28" t="str">
        <f t="shared" ca="1" si="60"/>
        <v>副本122</v>
      </c>
      <c r="AF403" s="28">
        <f t="shared" si="61"/>
        <v>122</v>
      </c>
      <c r="AG403" s="28">
        <f>COUNTIF(AF$3:AF403,AF403)-1</f>
        <v>3</v>
      </c>
    </row>
    <row r="404" spans="1:33" x14ac:dyDescent="0.25">
      <c r="A404" s="27"/>
      <c r="B404" s="27"/>
      <c r="C404" s="14"/>
      <c r="D404" s="14"/>
      <c r="E404" s="27"/>
      <c r="F404" s="27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28">
        <f t="shared" si="58"/>
        <v>402</v>
      </c>
      <c r="AB404" s="28">
        <f t="shared" ca="1" si="59"/>
        <v>20123</v>
      </c>
      <c r="AC404" s="28">
        <f t="shared" ca="1" si="62"/>
        <v>1</v>
      </c>
      <c r="AD404" s="29">
        <f t="shared" ca="1" si="63"/>
        <v>10000</v>
      </c>
      <c r="AE404" s="28" t="str">
        <f t="shared" ca="1" si="60"/>
        <v>副本123</v>
      </c>
      <c r="AF404" s="28">
        <f t="shared" si="61"/>
        <v>123</v>
      </c>
      <c r="AG404" s="28">
        <f>COUNTIF(AF$3:AF404,AF404)-1</f>
        <v>0</v>
      </c>
    </row>
    <row r="405" spans="1:33" x14ac:dyDescent="0.25">
      <c r="A405" s="27"/>
      <c r="B405" s="27"/>
      <c r="C405" s="14"/>
      <c r="D405" s="14"/>
      <c r="E405" s="27"/>
      <c r="F405" s="27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28">
        <f t="shared" si="58"/>
        <v>403</v>
      </c>
      <c r="AB405" s="28">
        <f t="shared" ca="1" si="59"/>
        <v>20123</v>
      </c>
      <c r="AC405" s="28">
        <f t="shared" ca="1" si="62"/>
        <v>18</v>
      </c>
      <c r="AD405" s="29">
        <f t="shared" ca="1" si="63"/>
        <v>4500</v>
      </c>
      <c r="AE405" s="28" t="str">
        <f t="shared" ca="1" si="60"/>
        <v>副本123</v>
      </c>
      <c r="AF405" s="28">
        <f t="shared" si="61"/>
        <v>123</v>
      </c>
      <c r="AG405" s="28">
        <f>COUNTIF(AF$3:AF405,AF405)-1</f>
        <v>1</v>
      </c>
    </row>
    <row r="406" spans="1:33" x14ac:dyDescent="0.25">
      <c r="A406" s="27"/>
      <c r="B406" s="27"/>
      <c r="C406" s="14"/>
      <c r="D406" s="14"/>
      <c r="E406" s="27"/>
      <c r="F406" s="27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28">
        <f t="shared" si="58"/>
        <v>404</v>
      </c>
      <c r="AB406" s="28">
        <f t="shared" ca="1" si="59"/>
        <v>20123</v>
      </c>
      <c r="AC406" s="28">
        <f t="shared" ca="1" si="62"/>
        <v>12</v>
      </c>
      <c r="AD406" s="29">
        <f t="shared" ca="1" si="63"/>
        <v>6000</v>
      </c>
      <c r="AE406" s="28" t="str">
        <f t="shared" ca="1" si="60"/>
        <v>副本123</v>
      </c>
      <c r="AF406" s="28">
        <f t="shared" si="61"/>
        <v>123</v>
      </c>
      <c r="AG406" s="28">
        <f>COUNTIF(AF$3:AF406,AF406)-1</f>
        <v>2</v>
      </c>
    </row>
    <row r="407" spans="1:33" x14ac:dyDescent="0.25">
      <c r="A407" s="27"/>
      <c r="B407" s="27"/>
      <c r="C407" s="14"/>
      <c r="D407" s="14"/>
      <c r="E407" s="27"/>
      <c r="F407" s="27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28">
        <f t="shared" si="58"/>
        <v>405</v>
      </c>
      <c r="AB407" s="28">
        <f t="shared" ca="1" si="59"/>
        <v>20123</v>
      </c>
      <c r="AC407" s="28">
        <f t="shared" ca="1" si="62"/>
        <v>8</v>
      </c>
      <c r="AD407" s="29">
        <f t="shared" ca="1" si="63"/>
        <v>7000</v>
      </c>
      <c r="AE407" s="28" t="str">
        <f t="shared" ca="1" si="60"/>
        <v>副本123</v>
      </c>
      <c r="AF407" s="28">
        <f t="shared" si="61"/>
        <v>123</v>
      </c>
      <c r="AG407" s="28">
        <f>COUNTIF(AF$3:AF407,AF407)-1</f>
        <v>3</v>
      </c>
    </row>
    <row r="408" spans="1:33" x14ac:dyDescent="0.25">
      <c r="A408" s="27"/>
      <c r="B408" s="27"/>
      <c r="C408" s="14"/>
      <c r="D408" s="14"/>
      <c r="E408" s="27"/>
      <c r="F408" s="27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28">
        <f t="shared" si="58"/>
        <v>406</v>
      </c>
      <c r="AB408" s="28">
        <f t="shared" ca="1" si="59"/>
        <v>20124</v>
      </c>
      <c r="AC408" s="28">
        <f t="shared" ca="1" si="62"/>
        <v>1</v>
      </c>
      <c r="AD408" s="29">
        <f t="shared" ca="1" si="63"/>
        <v>10000</v>
      </c>
      <c r="AE408" s="28" t="str">
        <f t="shared" ca="1" si="60"/>
        <v>副本124</v>
      </c>
      <c r="AF408" s="28">
        <f t="shared" si="61"/>
        <v>124</v>
      </c>
      <c r="AG408" s="28">
        <f>COUNTIF(AF$3:AF408,AF408)-1</f>
        <v>0</v>
      </c>
    </row>
    <row r="409" spans="1:33" x14ac:dyDescent="0.25">
      <c r="A409" s="27"/>
      <c r="B409" s="27"/>
      <c r="C409" s="14"/>
      <c r="D409" s="14"/>
      <c r="E409" s="27"/>
      <c r="F409" s="27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28">
        <f t="shared" si="58"/>
        <v>407</v>
      </c>
      <c r="AB409" s="28">
        <f t="shared" ca="1" si="59"/>
        <v>20124</v>
      </c>
      <c r="AC409" s="28">
        <f t="shared" ca="1" si="62"/>
        <v>18</v>
      </c>
      <c r="AD409" s="29">
        <f t="shared" ca="1" si="63"/>
        <v>4500</v>
      </c>
      <c r="AE409" s="28" t="str">
        <f t="shared" ca="1" si="60"/>
        <v>副本124</v>
      </c>
      <c r="AF409" s="28">
        <f t="shared" si="61"/>
        <v>124</v>
      </c>
      <c r="AG409" s="28">
        <f>COUNTIF(AF$3:AF409,AF409)-1</f>
        <v>1</v>
      </c>
    </row>
    <row r="410" spans="1:33" x14ac:dyDescent="0.25">
      <c r="A410" s="27"/>
      <c r="B410" s="27"/>
      <c r="C410" s="14"/>
      <c r="D410" s="14"/>
      <c r="E410" s="27"/>
      <c r="F410" s="27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28">
        <f t="shared" si="58"/>
        <v>408</v>
      </c>
      <c r="AB410" s="28">
        <f t="shared" ca="1" si="59"/>
        <v>20124</v>
      </c>
      <c r="AC410" s="28">
        <f t="shared" ca="1" si="62"/>
        <v>12</v>
      </c>
      <c r="AD410" s="29">
        <f t="shared" ca="1" si="63"/>
        <v>6000</v>
      </c>
      <c r="AE410" s="28" t="str">
        <f t="shared" ca="1" si="60"/>
        <v>副本124</v>
      </c>
      <c r="AF410" s="28">
        <f t="shared" si="61"/>
        <v>124</v>
      </c>
      <c r="AG410" s="28">
        <f>COUNTIF(AF$3:AF410,AF410)-1</f>
        <v>2</v>
      </c>
    </row>
    <row r="411" spans="1:33" x14ac:dyDescent="0.25">
      <c r="A411" s="27"/>
      <c r="B411" s="27"/>
      <c r="C411" s="14"/>
      <c r="D411" s="14"/>
      <c r="E411" s="27"/>
      <c r="F411" s="27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28">
        <f t="shared" si="58"/>
        <v>409</v>
      </c>
      <c r="AB411" s="28">
        <f t="shared" ca="1" si="59"/>
        <v>20124</v>
      </c>
      <c r="AC411" s="28">
        <f t="shared" ca="1" si="62"/>
        <v>8</v>
      </c>
      <c r="AD411" s="29">
        <f t="shared" ca="1" si="63"/>
        <v>7000</v>
      </c>
      <c r="AE411" s="28" t="str">
        <f t="shared" ca="1" si="60"/>
        <v>副本124</v>
      </c>
      <c r="AF411" s="28">
        <f t="shared" si="61"/>
        <v>124</v>
      </c>
      <c r="AG411" s="28">
        <f>COUNTIF(AF$3:AF411,AF411)-1</f>
        <v>3</v>
      </c>
    </row>
    <row r="412" spans="1:33" x14ac:dyDescent="0.25">
      <c r="A412" s="27"/>
      <c r="B412" s="27"/>
      <c r="C412" s="14"/>
      <c r="D412" s="14"/>
      <c r="E412" s="27"/>
      <c r="F412" s="27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28">
        <f t="shared" si="58"/>
        <v>410</v>
      </c>
      <c r="AB412" s="28">
        <f t="shared" ca="1" si="59"/>
        <v>20125</v>
      </c>
      <c r="AC412" s="28">
        <f t="shared" ca="1" si="62"/>
        <v>1</v>
      </c>
      <c r="AD412" s="29">
        <f t="shared" ca="1" si="63"/>
        <v>10000</v>
      </c>
      <c r="AE412" s="28" t="str">
        <f t="shared" ca="1" si="60"/>
        <v>副本125</v>
      </c>
      <c r="AF412" s="28">
        <f t="shared" si="61"/>
        <v>125</v>
      </c>
      <c r="AG412" s="28">
        <f>COUNTIF(AF$3:AF412,AF412)-1</f>
        <v>0</v>
      </c>
    </row>
    <row r="413" spans="1:33" x14ac:dyDescent="0.25">
      <c r="A413" s="27"/>
      <c r="B413" s="27"/>
      <c r="C413" s="14"/>
      <c r="D413" s="14"/>
      <c r="E413" s="27"/>
      <c r="F413" s="27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28">
        <f t="shared" si="58"/>
        <v>411</v>
      </c>
      <c r="AB413" s="28">
        <f t="shared" ca="1" si="59"/>
        <v>20125</v>
      </c>
      <c r="AC413" s="28">
        <f t="shared" ca="1" si="62"/>
        <v>18</v>
      </c>
      <c r="AD413" s="29">
        <f t="shared" ca="1" si="63"/>
        <v>4500</v>
      </c>
      <c r="AE413" s="28" t="str">
        <f t="shared" ca="1" si="60"/>
        <v>副本125</v>
      </c>
      <c r="AF413" s="28">
        <f t="shared" si="61"/>
        <v>125</v>
      </c>
      <c r="AG413" s="28">
        <f>COUNTIF(AF$3:AF413,AF413)-1</f>
        <v>1</v>
      </c>
    </row>
    <row r="414" spans="1:33" x14ac:dyDescent="0.25">
      <c r="A414" s="27"/>
      <c r="B414" s="27"/>
      <c r="C414" s="14"/>
      <c r="D414" s="14"/>
      <c r="E414" s="27"/>
      <c r="F414" s="27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28">
        <f t="shared" si="58"/>
        <v>412</v>
      </c>
      <c r="AB414" s="28">
        <f t="shared" ca="1" si="59"/>
        <v>20125</v>
      </c>
      <c r="AC414" s="28">
        <f t="shared" ca="1" si="62"/>
        <v>12</v>
      </c>
      <c r="AD414" s="29">
        <f t="shared" ca="1" si="63"/>
        <v>6000</v>
      </c>
      <c r="AE414" s="28" t="str">
        <f t="shared" ca="1" si="60"/>
        <v>副本125</v>
      </c>
      <c r="AF414" s="28">
        <f t="shared" si="61"/>
        <v>125</v>
      </c>
      <c r="AG414" s="28">
        <f>COUNTIF(AF$3:AF414,AF414)-1</f>
        <v>2</v>
      </c>
    </row>
    <row r="415" spans="1:33" x14ac:dyDescent="0.25">
      <c r="A415" s="27"/>
      <c r="B415" s="27"/>
      <c r="C415" s="14"/>
      <c r="D415" s="14"/>
      <c r="E415" s="27"/>
      <c r="F415" s="27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28">
        <f t="shared" ref="AA415:AA478" si="64">IF(ROW(A413)&gt;MAX(D:D),"",ROW(A413))</f>
        <v>413</v>
      </c>
      <c r="AB415" s="28">
        <f t="shared" ref="AB415:AB478" ca="1" si="65">OFFSET(A$2,$AF415,)</f>
        <v>20125</v>
      </c>
      <c r="AC415" s="28">
        <f t="shared" ca="1" si="62"/>
        <v>8</v>
      </c>
      <c r="AD415" s="29">
        <f t="shared" ca="1" si="63"/>
        <v>7000</v>
      </c>
      <c r="AE415" s="28" t="str">
        <f t="shared" ref="AE415:AE478" ca="1" si="66">OFFSET(B$2,$AF415,)</f>
        <v>副本125</v>
      </c>
      <c r="AF415" s="28">
        <f t="shared" ref="AF415:AF478" si="67">FREQUENCY(D:D,AA415-0.1)+1</f>
        <v>125</v>
      </c>
      <c r="AG415" s="28">
        <f>COUNTIF(AF$3:AF415,AF415)-1</f>
        <v>3</v>
      </c>
    </row>
    <row r="416" spans="1:33" x14ac:dyDescent="0.25">
      <c r="A416" s="27"/>
      <c r="B416" s="27"/>
      <c r="C416" s="14"/>
      <c r="D416" s="14"/>
      <c r="E416" s="27"/>
      <c r="F416" s="27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28">
        <f t="shared" si="64"/>
        <v>414</v>
      </c>
      <c r="AB416" s="28">
        <f t="shared" ca="1" si="65"/>
        <v>20126</v>
      </c>
      <c r="AC416" s="28">
        <f t="shared" ca="1" si="62"/>
        <v>1</v>
      </c>
      <c r="AD416" s="29">
        <f t="shared" ca="1" si="63"/>
        <v>10000</v>
      </c>
      <c r="AE416" s="28" t="str">
        <f t="shared" ca="1" si="66"/>
        <v>副本126</v>
      </c>
      <c r="AF416" s="28">
        <f t="shared" si="67"/>
        <v>126</v>
      </c>
      <c r="AG416" s="28">
        <f>COUNTIF(AF$3:AF416,AF416)-1</f>
        <v>0</v>
      </c>
    </row>
    <row r="417" spans="1:33" x14ac:dyDescent="0.25">
      <c r="A417" s="27"/>
      <c r="B417" s="27"/>
      <c r="C417" s="14"/>
      <c r="D417" s="14"/>
      <c r="E417" s="27"/>
      <c r="F417" s="27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28">
        <f t="shared" si="64"/>
        <v>415</v>
      </c>
      <c r="AB417" s="28">
        <f t="shared" ca="1" si="65"/>
        <v>20126</v>
      </c>
      <c r="AC417" s="28">
        <f t="shared" ca="1" si="62"/>
        <v>18</v>
      </c>
      <c r="AD417" s="29">
        <f t="shared" ca="1" si="63"/>
        <v>4500</v>
      </c>
      <c r="AE417" s="28" t="str">
        <f t="shared" ca="1" si="66"/>
        <v>副本126</v>
      </c>
      <c r="AF417" s="28">
        <f t="shared" si="67"/>
        <v>126</v>
      </c>
      <c r="AG417" s="28">
        <f>COUNTIF(AF$3:AF417,AF417)-1</f>
        <v>1</v>
      </c>
    </row>
    <row r="418" spans="1:33" x14ac:dyDescent="0.25">
      <c r="A418" s="27"/>
      <c r="B418" s="27"/>
      <c r="C418" s="14"/>
      <c r="D418" s="14"/>
      <c r="E418" s="27"/>
      <c r="F418" s="27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28">
        <f t="shared" si="64"/>
        <v>416</v>
      </c>
      <c r="AB418" s="28">
        <f t="shared" ca="1" si="65"/>
        <v>20126</v>
      </c>
      <c r="AC418" s="28">
        <f t="shared" ca="1" si="62"/>
        <v>12</v>
      </c>
      <c r="AD418" s="29">
        <f t="shared" ca="1" si="63"/>
        <v>6000</v>
      </c>
      <c r="AE418" s="28" t="str">
        <f t="shared" ca="1" si="66"/>
        <v>副本126</v>
      </c>
      <c r="AF418" s="28">
        <f t="shared" si="67"/>
        <v>126</v>
      </c>
      <c r="AG418" s="28">
        <f>COUNTIF(AF$3:AF418,AF418)-1</f>
        <v>2</v>
      </c>
    </row>
    <row r="419" spans="1:33" x14ac:dyDescent="0.25">
      <c r="AA419" s="28">
        <f t="shared" si="64"/>
        <v>417</v>
      </c>
      <c r="AB419" s="28">
        <f t="shared" ca="1" si="65"/>
        <v>20126</v>
      </c>
      <c r="AC419" s="28">
        <f t="shared" ca="1" si="62"/>
        <v>8</v>
      </c>
      <c r="AD419" s="29">
        <f t="shared" ca="1" si="63"/>
        <v>7000</v>
      </c>
      <c r="AE419" s="28" t="str">
        <f t="shared" ca="1" si="66"/>
        <v>副本126</v>
      </c>
      <c r="AF419" s="28">
        <f t="shared" si="67"/>
        <v>126</v>
      </c>
      <c r="AG419" s="28">
        <f>COUNTIF(AF$3:AF419,AF419)-1</f>
        <v>3</v>
      </c>
    </row>
    <row r="420" spans="1:33" x14ac:dyDescent="0.25">
      <c r="AA420" s="28">
        <f t="shared" si="64"/>
        <v>418</v>
      </c>
      <c r="AB420" s="28">
        <f t="shared" ca="1" si="65"/>
        <v>20127</v>
      </c>
      <c r="AC420" s="28">
        <f t="shared" ca="1" si="62"/>
        <v>1</v>
      </c>
      <c r="AD420" s="29">
        <f t="shared" ca="1" si="63"/>
        <v>10000</v>
      </c>
      <c r="AE420" s="28" t="str">
        <f t="shared" ca="1" si="66"/>
        <v>副本127</v>
      </c>
      <c r="AF420" s="28">
        <f t="shared" si="67"/>
        <v>127</v>
      </c>
      <c r="AG420" s="28">
        <f>COUNTIF(AF$3:AF420,AF420)-1</f>
        <v>0</v>
      </c>
    </row>
    <row r="421" spans="1:33" x14ac:dyDescent="0.25">
      <c r="AA421" s="28">
        <f t="shared" si="64"/>
        <v>419</v>
      </c>
      <c r="AB421" s="28">
        <f t="shared" ca="1" si="65"/>
        <v>20127</v>
      </c>
      <c r="AC421" s="28">
        <f t="shared" ca="1" si="62"/>
        <v>19</v>
      </c>
      <c r="AD421" s="29">
        <f t="shared" ca="1" si="63"/>
        <v>4500</v>
      </c>
      <c r="AE421" s="28" t="str">
        <f t="shared" ca="1" si="66"/>
        <v>副本127</v>
      </c>
      <c r="AF421" s="28">
        <f t="shared" si="67"/>
        <v>127</v>
      </c>
      <c r="AG421" s="28">
        <f>COUNTIF(AF$3:AF421,AF421)-1</f>
        <v>1</v>
      </c>
    </row>
    <row r="422" spans="1:33" x14ac:dyDescent="0.25">
      <c r="AA422" s="28">
        <f t="shared" si="64"/>
        <v>420</v>
      </c>
      <c r="AB422" s="28">
        <f t="shared" ca="1" si="65"/>
        <v>20127</v>
      </c>
      <c r="AC422" s="28">
        <f t="shared" ca="1" si="62"/>
        <v>13</v>
      </c>
      <c r="AD422" s="29">
        <f t="shared" ca="1" si="63"/>
        <v>6000</v>
      </c>
      <c r="AE422" s="28" t="str">
        <f t="shared" ca="1" si="66"/>
        <v>副本127</v>
      </c>
      <c r="AF422" s="28">
        <f t="shared" si="67"/>
        <v>127</v>
      </c>
      <c r="AG422" s="28">
        <f>COUNTIF(AF$3:AF422,AF422)-1</f>
        <v>2</v>
      </c>
    </row>
    <row r="423" spans="1:33" x14ac:dyDescent="0.25">
      <c r="AA423" s="28">
        <f t="shared" si="64"/>
        <v>421</v>
      </c>
      <c r="AB423" s="28">
        <f t="shared" ca="1" si="65"/>
        <v>20127</v>
      </c>
      <c r="AC423" s="28">
        <f t="shared" ca="1" si="62"/>
        <v>10</v>
      </c>
      <c r="AD423" s="29">
        <f t="shared" ca="1" si="63"/>
        <v>7000</v>
      </c>
      <c r="AE423" s="28" t="str">
        <f t="shared" ca="1" si="66"/>
        <v>副本127</v>
      </c>
      <c r="AF423" s="28">
        <f t="shared" si="67"/>
        <v>127</v>
      </c>
      <c r="AG423" s="28">
        <f>COUNTIF(AF$3:AF423,AF423)-1</f>
        <v>3</v>
      </c>
    </row>
    <row r="424" spans="1:33" x14ac:dyDescent="0.25">
      <c r="AA424" s="28">
        <f t="shared" si="64"/>
        <v>422</v>
      </c>
      <c r="AB424" s="28">
        <f t="shared" ca="1" si="65"/>
        <v>20128</v>
      </c>
      <c r="AC424" s="28">
        <f t="shared" ca="1" si="62"/>
        <v>1</v>
      </c>
      <c r="AD424" s="29">
        <f t="shared" ca="1" si="63"/>
        <v>10000</v>
      </c>
      <c r="AE424" s="28" t="str">
        <f t="shared" ca="1" si="66"/>
        <v>副本128</v>
      </c>
      <c r="AF424" s="28">
        <f t="shared" si="67"/>
        <v>128</v>
      </c>
      <c r="AG424" s="28">
        <f>COUNTIF(AF$3:AF424,AF424)-1</f>
        <v>0</v>
      </c>
    </row>
    <row r="425" spans="1:33" x14ac:dyDescent="0.25">
      <c r="AA425" s="28">
        <f t="shared" si="64"/>
        <v>423</v>
      </c>
      <c r="AB425" s="28">
        <f t="shared" ca="1" si="65"/>
        <v>20128</v>
      </c>
      <c r="AC425" s="28">
        <f t="shared" ca="1" si="62"/>
        <v>19</v>
      </c>
      <c r="AD425" s="29">
        <f t="shared" ca="1" si="63"/>
        <v>4500</v>
      </c>
      <c r="AE425" s="28" t="str">
        <f t="shared" ca="1" si="66"/>
        <v>副本128</v>
      </c>
      <c r="AF425" s="28">
        <f t="shared" si="67"/>
        <v>128</v>
      </c>
      <c r="AG425" s="28">
        <f>COUNTIF(AF$3:AF425,AF425)-1</f>
        <v>1</v>
      </c>
    </row>
    <row r="426" spans="1:33" x14ac:dyDescent="0.25">
      <c r="AA426" s="28">
        <f t="shared" si="64"/>
        <v>424</v>
      </c>
      <c r="AB426" s="28">
        <f t="shared" ca="1" si="65"/>
        <v>20128</v>
      </c>
      <c r="AC426" s="28">
        <f t="shared" ca="1" si="62"/>
        <v>13</v>
      </c>
      <c r="AD426" s="29">
        <f t="shared" ca="1" si="63"/>
        <v>6000</v>
      </c>
      <c r="AE426" s="28" t="str">
        <f t="shared" ca="1" si="66"/>
        <v>副本128</v>
      </c>
      <c r="AF426" s="28">
        <f t="shared" si="67"/>
        <v>128</v>
      </c>
      <c r="AG426" s="28">
        <f>COUNTIF(AF$3:AF426,AF426)-1</f>
        <v>2</v>
      </c>
    </row>
    <row r="427" spans="1:33" x14ac:dyDescent="0.25">
      <c r="AA427" s="28">
        <f t="shared" si="64"/>
        <v>425</v>
      </c>
      <c r="AB427" s="28">
        <f t="shared" ca="1" si="65"/>
        <v>20128</v>
      </c>
      <c r="AC427" s="28">
        <f t="shared" ca="1" si="62"/>
        <v>10</v>
      </c>
      <c r="AD427" s="29">
        <f t="shared" ca="1" si="63"/>
        <v>7000</v>
      </c>
      <c r="AE427" s="28" t="str">
        <f t="shared" ca="1" si="66"/>
        <v>副本128</v>
      </c>
      <c r="AF427" s="28">
        <f t="shared" si="67"/>
        <v>128</v>
      </c>
      <c r="AG427" s="28">
        <f>COUNTIF(AF$3:AF427,AF427)-1</f>
        <v>3</v>
      </c>
    </row>
    <row r="428" spans="1:33" x14ac:dyDescent="0.25">
      <c r="AA428" s="28">
        <f t="shared" si="64"/>
        <v>426</v>
      </c>
      <c r="AB428" s="28">
        <f t="shared" ca="1" si="65"/>
        <v>20129</v>
      </c>
      <c r="AC428" s="28">
        <f t="shared" ca="1" si="62"/>
        <v>1</v>
      </c>
      <c r="AD428" s="29">
        <f t="shared" ca="1" si="63"/>
        <v>10000</v>
      </c>
      <c r="AE428" s="28" t="str">
        <f t="shared" ca="1" si="66"/>
        <v>副本129</v>
      </c>
      <c r="AF428" s="28">
        <f t="shared" si="67"/>
        <v>129</v>
      </c>
      <c r="AG428" s="28">
        <f>COUNTIF(AF$3:AF428,AF428)-1</f>
        <v>0</v>
      </c>
    </row>
    <row r="429" spans="1:33" x14ac:dyDescent="0.25">
      <c r="AA429" s="28">
        <f t="shared" si="64"/>
        <v>427</v>
      </c>
      <c r="AB429" s="28">
        <f t="shared" ca="1" si="65"/>
        <v>20129</v>
      </c>
      <c r="AC429" s="28">
        <f t="shared" ca="1" si="62"/>
        <v>19</v>
      </c>
      <c r="AD429" s="29">
        <f t="shared" ca="1" si="63"/>
        <v>4500</v>
      </c>
      <c r="AE429" s="28" t="str">
        <f t="shared" ca="1" si="66"/>
        <v>副本129</v>
      </c>
      <c r="AF429" s="28">
        <f t="shared" si="67"/>
        <v>129</v>
      </c>
      <c r="AG429" s="28">
        <f>COUNTIF(AF$3:AF429,AF429)-1</f>
        <v>1</v>
      </c>
    </row>
    <row r="430" spans="1:33" x14ac:dyDescent="0.25">
      <c r="AA430" s="28">
        <f t="shared" si="64"/>
        <v>428</v>
      </c>
      <c r="AB430" s="28">
        <f t="shared" ca="1" si="65"/>
        <v>20129</v>
      </c>
      <c r="AC430" s="28">
        <f t="shared" ca="1" si="62"/>
        <v>13</v>
      </c>
      <c r="AD430" s="29">
        <f t="shared" ca="1" si="63"/>
        <v>6000</v>
      </c>
      <c r="AE430" s="28" t="str">
        <f t="shared" ca="1" si="66"/>
        <v>副本129</v>
      </c>
      <c r="AF430" s="28">
        <f t="shared" si="67"/>
        <v>129</v>
      </c>
      <c r="AG430" s="28">
        <f>COUNTIF(AF$3:AF430,AF430)-1</f>
        <v>2</v>
      </c>
    </row>
    <row r="431" spans="1:33" x14ac:dyDescent="0.25">
      <c r="AA431" s="28">
        <f t="shared" si="64"/>
        <v>429</v>
      </c>
      <c r="AB431" s="28">
        <f t="shared" ca="1" si="65"/>
        <v>20129</v>
      </c>
      <c r="AC431" s="28">
        <f t="shared" ca="1" si="62"/>
        <v>10</v>
      </c>
      <c r="AD431" s="29">
        <f t="shared" ca="1" si="63"/>
        <v>7000</v>
      </c>
      <c r="AE431" s="28" t="str">
        <f t="shared" ca="1" si="66"/>
        <v>副本129</v>
      </c>
      <c r="AF431" s="28">
        <f t="shared" si="67"/>
        <v>129</v>
      </c>
      <c r="AG431" s="28">
        <f>COUNTIF(AF$3:AF431,AF431)-1</f>
        <v>3</v>
      </c>
    </row>
    <row r="432" spans="1:33" x14ac:dyDescent="0.25">
      <c r="AA432" s="28">
        <f t="shared" si="64"/>
        <v>430</v>
      </c>
      <c r="AB432" s="28">
        <f t="shared" ca="1" si="65"/>
        <v>20130</v>
      </c>
      <c r="AC432" s="28">
        <f t="shared" ca="1" si="62"/>
        <v>1</v>
      </c>
      <c r="AD432" s="29">
        <f t="shared" ca="1" si="63"/>
        <v>10000</v>
      </c>
      <c r="AE432" s="28" t="str">
        <f t="shared" ca="1" si="66"/>
        <v>副本130</v>
      </c>
      <c r="AF432" s="28">
        <f t="shared" si="67"/>
        <v>130</v>
      </c>
      <c r="AG432" s="28">
        <f>COUNTIF(AF$3:AF432,AF432)-1</f>
        <v>0</v>
      </c>
    </row>
    <row r="433" spans="27:33" x14ac:dyDescent="0.25">
      <c r="AA433" s="28">
        <f t="shared" si="64"/>
        <v>431</v>
      </c>
      <c r="AB433" s="28">
        <f t="shared" ca="1" si="65"/>
        <v>20130</v>
      </c>
      <c r="AC433" s="28">
        <f t="shared" ca="1" si="62"/>
        <v>19</v>
      </c>
      <c r="AD433" s="29">
        <f t="shared" ca="1" si="63"/>
        <v>4500</v>
      </c>
      <c r="AE433" s="28" t="str">
        <f t="shared" ca="1" si="66"/>
        <v>副本130</v>
      </c>
      <c r="AF433" s="28">
        <f t="shared" si="67"/>
        <v>130</v>
      </c>
      <c r="AG433" s="28">
        <f>COUNTIF(AF$3:AF433,AF433)-1</f>
        <v>1</v>
      </c>
    </row>
    <row r="434" spans="27:33" x14ac:dyDescent="0.25">
      <c r="AA434" s="28">
        <f t="shared" si="64"/>
        <v>432</v>
      </c>
      <c r="AB434" s="28">
        <f t="shared" ca="1" si="65"/>
        <v>20130</v>
      </c>
      <c r="AC434" s="28">
        <f t="shared" ca="1" si="62"/>
        <v>13</v>
      </c>
      <c r="AD434" s="29">
        <f t="shared" ca="1" si="63"/>
        <v>6000</v>
      </c>
      <c r="AE434" s="28" t="str">
        <f t="shared" ca="1" si="66"/>
        <v>副本130</v>
      </c>
      <c r="AF434" s="28">
        <f t="shared" si="67"/>
        <v>130</v>
      </c>
      <c r="AG434" s="28">
        <f>COUNTIF(AF$3:AF434,AF434)-1</f>
        <v>2</v>
      </c>
    </row>
    <row r="435" spans="27:33" x14ac:dyDescent="0.25">
      <c r="AA435" s="28">
        <f t="shared" si="64"/>
        <v>433</v>
      </c>
      <c r="AB435" s="28">
        <f t="shared" ca="1" si="65"/>
        <v>20130</v>
      </c>
      <c r="AC435" s="28">
        <f t="shared" ca="1" si="62"/>
        <v>10</v>
      </c>
      <c r="AD435" s="29">
        <f t="shared" ca="1" si="63"/>
        <v>7000</v>
      </c>
      <c r="AE435" s="28" t="str">
        <f t="shared" ca="1" si="66"/>
        <v>副本130</v>
      </c>
      <c r="AF435" s="28">
        <f t="shared" si="67"/>
        <v>130</v>
      </c>
      <c r="AG435" s="28">
        <f>COUNTIF(AF$3:AF435,AF435)-1</f>
        <v>3</v>
      </c>
    </row>
    <row r="436" spans="27:33" x14ac:dyDescent="0.25">
      <c r="AA436" s="28">
        <f t="shared" si="64"/>
        <v>434</v>
      </c>
      <c r="AB436" s="28">
        <f t="shared" ca="1" si="65"/>
        <v>20131</v>
      </c>
      <c r="AC436" s="28">
        <f t="shared" ca="1" si="62"/>
        <v>1</v>
      </c>
      <c r="AD436" s="29">
        <f t="shared" ca="1" si="63"/>
        <v>10000</v>
      </c>
      <c r="AE436" s="28" t="str">
        <f t="shared" ca="1" si="66"/>
        <v>副本131</v>
      </c>
      <c r="AF436" s="28">
        <f t="shared" si="67"/>
        <v>131</v>
      </c>
      <c r="AG436" s="28">
        <f>COUNTIF(AF$3:AF436,AF436)-1</f>
        <v>0</v>
      </c>
    </row>
    <row r="437" spans="27:33" x14ac:dyDescent="0.25">
      <c r="AA437" s="28">
        <f t="shared" si="64"/>
        <v>435</v>
      </c>
      <c r="AB437" s="28">
        <f t="shared" ca="1" si="65"/>
        <v>20131</v>
      </c>
      <c r="AC437" s="28">
        <f t="shared" ca="1" si="62"/>
        <v>20</v>
      </c>
      <c r="AD437" s="29">
        <f t="shared" ca="1" si="63"/>
        <v>4000</v>
      </c>
      <c r="AE437" s="28" t="str">
        <f t="shared" ca="1" si="66"/>
        <v>副本131</v>
      </c>
      <c r="AF437" s="28">
        <f t="shared" si="67"/>
        <v>131</v>
      </c>
      <c r="AG437" s="28">
        <f>COUNTIF(AF$3:AF437,AF437)-1</f>
        <v>1</v>
      </c>
    </row>
    <row r="438" spans="27:33" x14ac:dyDescent="0.25">
      <c r="AA438" s="28">
        <f t="shared" si="64"/>
        <v>436</v>
      </c>
      <c r="AB438" s="28">
        <f t="shared" ca="1" si="65"/>
        <v>20131</v>
      </c>
      <c r="AC438" s="28">
        <f t="shared" ca="1" si="62"/>
        <v>16</v>
      </c>
      <c r="AD438" s="29">
        <f t="shared" ca="1" si="63"/>
        <v>5000</v>
      </c>
      <c r="AE438" s="28" t="str">
        <f t="shared" ca="1" si="66"/>
        <v>副本131</v>
      </c>
      <c r="AF438" s="28">
        <f t="shared" si="67"/>
        <v>131</v>
      </c>
      <c r="AG438" s="28">
        <f>COUNTIF(AF$3:AF438,AF438)-1</f>
        <v>2</v>
      </c>
    </row>
    <row r="439" spans="27:33" x14ac:dyDescent="0.25">
      <c r="AA439" s="28">
        <f t="shared" si="64"/>
        <v>437</v>
      </c>
      <c r="AB439" s="28">
        <f t="shared" ca="1" si="65"/>
        <v>20131</v>
      </c>
      <c r="AC439" s="28">
        <f t="shared" ca="1" si="62"/>
        <v>13</v>
      </c>
      <c r="AD439" s="29">
        <f t="shared" ca="1" si="63"/>
        <v>6000</v>
      </c>
      <c r="AE439" s="28" t="str">
        <f t="shared" ca="1" si="66"/>
        <v>副本131</v>
      </c>
      <c r="AF439" s="28">
        <f t="shared" si="67"/>
        <v>131</v>
      </c>
      <c r="AG439" s="28">
        <f>COUNTIF(AF$3:AF439,AF439)-1</f>
        <v>3</v>
      </c>
    </row>
    <row r="440" spans="27:33" x14ac:dyDescent="0.25">
      <c r="AA440" s="28">
        <f t="shared" si="64"/>
        <v>438</v>
      </c>
      <c r="AB440" s="28">
        <f t="shared" ca="1" si="65"/>
        <v>20132</v>
      </c>
      <c r="AC440" s="28">
        <f t="shared" ca="1" si="62"/>
        <v>1</v>
      </c>
      <c r="AD440" s="29">
        <f t="shared" ca="1" si="63"/>
        <v>10000</v>
      </c>
      <c r="AE440" s="28" t="str">
        <f t="shared" ca="1" si="66"/>
        <v>副本132</v>
      </c>
      <c r="AF440" s="28">
        <f t="shared" si="67"/>
        <v>132</v>
      </c>
      <c r="AG440" s="28">
        <f>COUNTIF(AF$3:AF440,AF440)-1</f>
        <v>0</v>
      </c>
    </row>
    <row r="441" spans="27:33" x14ac:dyDescent="0.25">
      <c r="AA441" s="28">
        <f t="shared" si="64"/>
        <v>439</v>
      </c>
      <c r="AB441" s="28">
        <f t="shared" ca="1" si="65"/>
        <v>20132</v>
      </c>
      <c r="AC441" s="28">
        <f t="shared" ca="1" si="62"/>
        <v>20</v>
      </c>
      <c r="AD441" s="29">
        <f t="shared" ca="1" si="63"/>
        <v>4000</v>
      </c>
      <c r="AE441" s="28" t="str">
        <f t="shared" ca="1" si="66"/>
        <v>副本132</v>
      </c>
      <c r="AF441" s="28">
        <f t="shared" si="67"/>
        <v>132</v>
      </c>
      <c r="AG441" s="28">
        <f>COUNTIF(AF$3:AF441,AF441)-1</f>
        <v>1</v>
      </c>
    </row>
    <row r="442" spans="27:33" x14ac:dyDescent="0.25">
      <c r="AA442" s="28">
        <f t="shared" si="64"/>
        <v>440</v>
      </c>
      <c r="AB442" s="28">
        <f t="shared" ca="1" si="65"/>
        <v>20132</v>
      </c>
      <c r="AC442" s="28">
        <f t="shared" ca="1" si="62"/>
        <v>16</v>
      </c>
      <c r="AD442" s="29">
        <f t="shared" ca="1" si="63"/>
        <v>5000</v>
      </c>
      <c r="AE442" s="28" t="str">
        <f t="shared" ca="1" si="66"/>
        <v>副本132</v>
      </c>
      <c r="AF442" s="28">
        <f t="shared" si="67"/>
        <v>132</v>
      </c>
      <c r="AG442" s="28">
        <f>COUNTIF(AF$3:AF442,AF442)-1</f>
        <v>2</v>
      </c>
    </row>
    <row r="443" spans="27:33" x14ac:dyDescent="0.25">
      <c r="AA443" s="28">
        <f t="shared" si="64"/>
        <v>441</v>
      </c>
      <c r="AB443" s="28">
        <f t="shared" ca="1" si="65"/>
        <v>20132</v>
      </c>
      <c r="AC443" s="28">
        <f t="shared" ca="1" si="62"/>
        <v>13</v>
      </c>
      <c r="AD443" s="29">
        <f t="shared" ca="1" si="63"/>
        <v>6000</v>
      </c>
      <c r="AE443" s="28" t="str">
        <f t="shared" ca="1" si="66"/>
        <v>副本132</v>
      </c>
      <c r="AF443" s="28">
        <f t="shared" si="67"/>
        <v>132</v>
      </c>
      <c r="AG443" s="28">
        <f>COUNTIF(AF$3:AF443,AF443)-1</f>
        <v>3</v>
      </c>
    </row>
    <row r="444" spans="27:33" x14ac:dyDescent="0.25">
      <c r="AA444" s="28">
        <f t="shared" si="64"/>
        <v>442</v>
      </c>
      <c r="AB444" s="28">
        <f t="shared" ca="1" si="65"/>
        <v>20133</v>
      </c>
      <c r="AC444" s="28">
        <f t="shared" ca="1" si="62"/>
        <v>1</v>
      </c>
      <c r="AD444" s="29">
        <f t="shared" ca="1" si="63"/>
        <v>10000</v>
      </c>
      <c r="AE444" s="28" t="str">
        <f t="shared" ca="1" si="66"/>
        <v>副本133</v>
      </c>
      <c r="AF444" s="28">
        <f t="shared" si="67"/>
        <v>133</v>
      </c>
      <c r="AG444" s="28">
        <f>COUNTIF(AF$3:AF444,AF444)-1</f>
        <v>0</v>
      </c>
    </row>
    <row r="445" spans="27:33" x14ac:dyDescent="0.25">
      <c r="AA445" s="28">
        <f t="shared" si="64"/>
        <v>443</v>
      </c>
      <c r="AB445" s="28">
        <f t="shared" ca="1" si="65"/>
        <v>20133</v>
      </c>
      <c r="AC445" s="28">
        <f t="shared" ca="1" si="62"/>
        <v>20</v>
      </c>
      <c r="AD445" s="29">
        <f t="shared" ca="1" si="63"/>
        <v>4000</v>
      </c>
      <c r="AE445" s="28" t="str">
        <f t="shared" ca="1" si="66"/>
        <v>副本133</v>
      </c>
      <c r="AF445" s="28">
        <f t="shared" si="67"/>
        <v>133</v>
      </c>
      <c r="AG445" s="28">
        <f>COUNTIF(AF$3:AF445,AF445)-1</f>
        <v>1</v>
      </c>
    </row>
    <row r="446" spans="27:33" x14ac:dyDescent="0.25">
      <c r="AA446" s="28">
        <f t="shared" si="64"/>
        <v>444</v>
      </c>
      <c r="AB446" s="28">
        <f t="shared" ca="1" si="65"/>
        <v>20133</v>
      </c>
      <c r="AC446" s="28">
        <f t="shared" ca="1" si="62"/>
        <v>16</v>
      </c>
      <c r="AD446" s="29">
        <f t="shared" ca="1" si="63"/>
        <v>5000</v>
      </c>
      <c r="AE446" s="28" t="str">
        <f t="shared" ca="1" si="66"/>
        <v>副本133</v>
      </c>
      <c r="AF446" s="28">
        <f t="shared" si="67"/>
        <v>133</v>
      </c>
      <c r="AG446" s="28">
        <f>COUNTIF(AF$3:AF446,AF446)-1</f>
        <v>2</v>
      </c>
    </row>
    <row r="447" spans="27:33" x14ac:dyDescent="0.25">
      <c r="AA447" s="28">
        <f t="shared" si="64"/>
        <v>445</v>
      </c>
      <c r="AB447" s="28">
        <f t="shared" ca="1" si="65"/>
        <v>20133</v>
      </c>
      <c r="AC447" s="28">
        <f t="shared" ca="1" si="62"/>
        <v>13</v>
      </c>
      <c r="AD447" s="29">
        <f t="shared" ca="1" si="63"/>
        <v>6000</v>
      </c>
      <c r="AE447" s="28" t="str">
        <f t="shared" ca="1" si="66"/>
        <v>副本133</v>
      </c>
      <c r="AF447" s="28">
        <f t="shared" si="67"/>
        <v>133</v>
      </c>
      <c r="AG447" s="28">
        <f>COUNTIF(AF$3:AF447,AF447)-1</f>
        <v>3</v>
      </c>
    </row>
    <row r="448" spans="27:33" x14ac:dyDescent="0.25">
      <c r="AA448" s="28">
        <f t="shared" si="64"/>
        <v>446</v>
      </c>
      <c r="AB448" s="28">
        <f t="shared" ca="1" si="65"/>
        <v>20134</v>
      </c>
      <c r="AC448" s="28">
        <f t="shared" ca="1" si="62"/>
        <v>1</v>
      </c>
      <c r="AD448" s="29">
        <f t="shared" ca="1" si="63"/>
        <v>10000</v>
      </c>
      <c r="AE448" s="28" t="str">
        <f t="shared" ca="1" si="66"/>
        <v>副本134</v>
      </c>
      <c r="AF448" s="28">
        <f t="shared" si="67"/>
        <v>134</v>
      </c>
      <c r="AG448" s="28">
        <f>COUNTIF(AF$3:AF448,AF448)-1</f>
        <v>0</v>
      </c>
    </row>
    <row r="449" spans="27:33" x14ac:dyDescent="0.25">
      <c r="AA449" s="28">
        <f t="shared" si="64"/>
        <v>447</v>
      </c>
      <c r="AB449" s="28">
        <f t="shared" ca="1" si="65"/>
        <v>20134</v>
      </c>
      <c r="AC449" s="28">
        <f t="shared" ca="1" si="62"/>
        <v>20</v>
      </c>
      <c r="AD449" s="29">
        <f t="shared" ca="1" si="63"/>
        <v>4000</v>
      </c>
      <c r="AE449" s="28" t="str">
        <f t="shared" ca="1" si="66"/>
        <v>副本134</v>
      </c>
      <c r="AF449" s="28">
        <f t="shared" si="67"/>
        <v>134</v>
      </c>
      <c r="AG449" s="28">
        <f>COUNTIF(AF$3:AF449,AF449)-1</f>
        <v>1</v>
      </c>
    </row>
    <row r="450" spans="27:33" x14ac:dyDescent="0.25">
      <c r="AA450" s="28">
        <f t="shared" si="64"/>
        <v>448</v>
      </c>
      <c r="AB450" s="28">
        <f t="shared" ca="1" si="65"/>
        <v>20134</v>
      </c>
      <c r="AC450" s="28">
        <f t="shared" ca="1" si="62"/>
        <v>16</v>
      </c>
      <c r="AD450" s="29">
        <f t="shared" ca="1" si="63"/>
        <v>5000</v>
      </c>
      <c r="AE450" s="28" t="str">
        <f t="shared" ca="1" si="66"/>
        <v>副本134</v>
      </c>
      <c r="AF450" s="28">
        <f t="shared" si="67"/>
        <v>134</v>
      </c>
      <c r="AG450" s="28">
        <f>COUNTIF(AF$3:AF450,AF450)-1</f>
        <v>2</v>
      </c>
    </row>
    <row r="451" spans="27:33" x14ac:dyDescent="0.25">
      <c r="AA451" s="28">
        <f t="shared" si="64"/>
        <v>449</v>
      </c>
      <c r="AB451" s="28">
        <f t="shared" ca="1" si="65"/>
        <v>20134</v>
      </c>
      <c r="AC451" s="28">
        <f t="shared" ref="AC451:AC514" ca="1" si="68">OFFSET($G$2,$AF451,$AG451)</f>
        <v>13</v>
      </c>
      <c r="AD451" s="29">
        <f t="shared" ref="AD451:AD514" ca="1" si="69">OFFSET($Q$2,$AF451,$AG451)*$AD$1</f>
        <v>6000</v>
      </c>
      <c r="AE451" s="28" t="str">
        <f t="shared" ca="1" si="66"/>
        <v>副本134</v>
      </c>
      <c r="AF451" s="28">
        <f t="shared" si="67"/>
        <v>134</v>
      </c>
      <c r="AG451" s="28">
        <f>COUNTIF(AF$3:AF451,AF451)-1</f>
        <v>3</v>
      </c>
    </row>
    <row r="452" spans="27:33" x14ac:dyDescent="0.25">
      <c r="AA452" s="28">
        <f t="shared" si="64"/>
        <v>450</v>
      </c>
      <c r="AB452" s="28">
        <f t="shared" ca="1" si="65"/>
        <v>20135</v>
      </c>
      <c r="AC452" s="28">
        <f t="shared" ca="1" si="68"/>
        <v>1</v>
      </c>
      <c r="AD452" s="29">
        <f t="shared" ca="1" si="69"/>
        <v>10000</v>
      </c>
      <c r="AE452" s="28" t="str">
        <f t="shared" ca="1" si="66"/>
        <v>副本135</v>
      </c>
      <c r="AF452" s="28">
        <f t="shared" si="67"/>
        <v>135</v>
      </c>
      <c r="AG452" s="28">
        <f>COUNTIF(AF$3:AF452,AF452)-1</f>
        <v>0</v>
      </c>
    </row>
    <row r="453" spans="27:33" x14ac:dyDescent="0.25">
      <c r="AA453" s="28">
        <f t="shared" si="64"/>
        <v>451</v>
      </c>
      <c r="AB453" s="28">
        <f t="shared" ca="1" si="65"/>
        <v>20135</v>
      </c>
      <c r="AC453" s="28">
        <f t="shared" ca="1" si="68"/>
        <v>21</v>
      </c>
      <c r="AD453" s="29">
        <f t="shared" ca="1" si="69"/>
        <v>4000</v>
      </c>
      <c r="AE453" s="28" t="str">
        <f t="shared" ca="1" si="66"/>
        <v>副本135</v>
      </c>
      <c r="AF453" s="28">
        <f t="shared" si="67"/>
        <v>135</v>
      </c>
      <c r="AG453" s="28">
        <f>COUNTIF(AF$3:AF453,AF453)-1</f>
        <v>1</v>
      </c>
    </row>
    <row r="454" spans="27:33" x14ac:dyDescent="0.25">
      <c r="AA454" s="28">
        <f t="shared" si="64"/>
        <v>452</v>
      </c>
      <c r="AB454" s="28">
        <f t="shared" ca="1" si="65"/>
        <v>20135</v>
      </c>
      <c r="AC454" s="28">
        <f t="shared" ca="1" si="68"/>
        <v>15</v>
      </c>
      <c r="AD454" s="29">
        <f t="shared" ca="1" si="69"/>
        <v>5000</v>
      </c>
      <c r="AE454" s="28" t="str">
        <f t="shared" ca="1" si="66"/>
        <v>副本135</v>
      </c>
      <c r="AF454" s="28">
        <f t="shared" si="67"/>
        <v>135</v>
      </c>
      <c r="AG454" s="28">
        <f>COUNTIF(AF$3:AF454,AF454)-1</f>
        <v>2</v>
      </c>
    </row>
    <row r="455" spans="27:33" x14ac:dyDescent="0.25">
      <c r="AA455" s="28">
        <f t="shared" si="64"/>
        <v>453</v>
      </c>
      <c r="AB455" s="28">
        <f t="shared" ca="1" si="65"/>
        <v>20135</v>
      </c>
      <c r="AC455" s="28">
        <f t="shared" ca="1" si="68"/>
        <v>12</v>
      </c>
      <c r="AD455" s="29">
        <f t="shared" ca="1" si="69"/>
        <v>6000</v>
      </c>
      <c r="AE455" s="28" t="str">
        <f t="shared" ca="1" si="66"/>
        <v>副本135</v>
      </c>
      <c r="AF455" s="28">
        <f t="shared" si="67"/>
        <v>135</v>
      </c>
      <c r="AG455" s="28">
        <f>COUNTIF(AF$3:AF455,AF455)-1</f>
        <v>3</v>
      </c>
    </row>
    <row r="456" spans="27:33" x14ac:dyDescent="0.25">
      <c r="AA456" s="28">
        <f t="shared" si="64"/>
        <v>454</v>
      </c>
      <c r="AB456" s="28">
        <f t="shared" ca="1" si="65"/>
        <v>20136</v>
      </c>
      <c r="AC456" s="28">
        <f t="shared" ca="1" si="68"/>
        <v>1</v>
      </c>
      <c r="AD456" s="29">
        <f t="shared" ca="1" si="69"/>
        <v>10000</v>
      </c>
      <c r="AE456" s="28" t="str">
        <f t="shared" ca="1" si="66"/>
        <v>副本136</v>
      </c>
      <c r="AF456" s="28">
        <f t="shared" si="67"/>
        <v>136</v>
      </c>
      <c r="AG456" s="28">
        <f>COUNTIF(AF$3:AF456,AF456)-1</f>
        <v>0</v>
      </c>
    </row>
    <row r="457" spans="27:33" x14ac:dyDescent="0.25">
      <c r="AA457" s="28">
        <f t="shared" si="64"/>
        <v>455</v>
      </c>
      <c r="AB457" s="28">
        <f t="shared" ca="1" si="65"/>
        <v>20136</v>
      </c>
      <c r="AC457" s="28">
        <f t="shared" ca="1" si="68"/>
        <v>21</v>
      </c>
      <c r="AD457" s="29">
        <f t="shared" ca="1" si="69"/>
        <v>4000</v>
      </c>
      <c r="AE457" s="28" t="str">
        <f t="shared" ca="1" si="66"/>
        <v>副本136</v>
      </c>
      <c r="AF457" s="28">
        <f t="shared" si="67"/>
        <v>136</v>
      </c>
      <c r="AG457" s="28">
        <f>COUNTIF(AF$3:AF457,AF457)-1</f>
        <v>1</v>
      </c>
    </row>
    <row r="458" spans="27:33" x14ac:dyDescent="0.25">
      <c r="AA458" s="28">
        <f t="shared" si="64"/>
        <v>456</v>
      </c>
      <c r="AB458" s="28">
        <f t="shared" ca="1" si="65"/>
        <v>20136</v>
      </c>
      <c r="AC458" s="28">
        <f t="shared" ca="1" si="68"/>
        <v>15</v>
      </c>
      <c r="AD458" s="29">
        <f t="shared" ca="1" si="69"/>
        <v>5000</v>
      </c>
      <c r="AE458" s="28" t="str">
        <f t="shared" ca="1" si="66"/>
        <v>副本136</v>
      </c>
      <c r="AF458" s="28">
        <f t="shared" si="67"/>
        <v>136</v>
      </c>
      <c r="AG458" s="28">
        <f>COUNTIF(AF$3:AF458,AF458)-1</f>
        <v>2</v>
      </c>
    </row>
    <row r="459" spans="27:33" x14ac:dyDescent="0.25">
      <c r="AA459" s="28">
        <f t="shared" si="64"/>
        <v>457</v>
      </c>
      <c r="AB459" s="28">
        <f t="shared" ca="1" si="65"/>
        <v>20136</v>
      </c>
      <c r="AC459" s="28">
        <f t="shared" ca="1" si="68"/>
        <v>12</v>
      </c>
      <c r="AD459" s="29">
        <f t="shared" ca="1" si="69"/>
        <v>6000</v>
      </c>
      <c r="AE459" s="28" t="str">
        <f t="shared" ca="1" si="66"/>
        <v>副本136</v>
      </c>
      <c r="AF459" s="28">
        <f t="shared" si="67"/>
        <v>136</v>
      </c>
      <c r="AG459" s="28">
        <f>COUNTIF(AF$3:AF459,AF459)-1</f>
        <v>3</v>
      </c>
    </row>
    <row r="460" spans="27:33" x14ac:dyDescent="0.25">
      <c r="AA460" s="28">
        <f t="shared" si="64"/>
        <v>458</v>
      </c>
      <c r="AB460" s="28">
        <f t="shared" ca="1" si="65"/>
        <v>20137</v>
      </c>
      <c r="AC460" s="28">
        <f t="shared" ca="1" si="68"/>
        <v>1</v>
      </c>
      <c r="AD460" s="29">
        <f t="shared" ca="1" si="69"/>
        <v>10000</v>
      </c>
      <c r="AE460" s="28" t="str">
        <f t="shared" ca="1" si="66"/>
        <v>副本137</v>
      </c>
      <c r="AF460" s="28">
        <f t="shared" si="67"/>
        <v>137</v>
      </c>
      <c r="AG460" s="28">
        <f>COUNTIF(AF$3:AF460,AF460)-1</f>
        <v>0</v>
      </c>
    </row>
    <row r="461" spans="27:33" x14ac:dyDescent="0.25">
      <c r="AA461" s="28">
        <f t="shared" si="64"/>
        <v>459</v>
      </c>
      <c r="AB461" s="28">
        <f t="shared" ca="1" si="65"/>
        <v>20137</v>
      </c>
      <c r="AC461" s="28">
        <f t="shared" ca="1" si="68"/>
        <v>21</v>
      </c>
      <c r="AD461" s="29">
        <f t="shared" ca="1" si="69"/>
        <v>4000</v>
      </c>
      <c r="AE461" s="28" t="str">
        <f t="shared" ca="1" si="66"/>
        <v>副本137</v>
      </c>
      <c r="AF461" s="28">
        <f t="shared" si="67"/>
        <v>137</v>
      </c>
      <c r="AG461" s="28">
        <f>COUNTIF(AF$3:AF461,AF461)-1</f>
        <v>1</v>
      </c>
    </row>
    <row r="462" spans="27:33" x14ac:dyDescent="0.25">
      <c r="AA462" s="28">
        <f t="shared" si="64"/>
        <v>460</v>
      </c>
      <c r="AB462" s="28">
        <f t="shared" ca="1" si="65"/>
        <v>20137</v>
      </c>
      <c r="AC462" s="28">
        <f t="shared" ca="1" si="68"/>
        <v>15</v>
      </c>
      <c r="AD462" s="29">
        <f t="shared" ca="1" si="69"/>
        <v>5000</v>
      </c>
      <c r="AE462" s="28" t="str">
        <f t="shared" ca="1" si="66"/>
        <v>副本137</v>
      </c>
      <c r="AF462" s="28">
        <f t="shared" si="67"/>
        <v>137</v>
      </c>
      <c r="AG462" s="28">
        <f>COUNTIF(AF$3:AF462,AF462)-1</f>
        <v>2</v>
      </c>
    </row>
    <row r="463" spans="27:33" x14ac:dyDescent="0.25">
      <c r="AA463" s="28">
        <f t="shared" si="64"/>
        <v>461</v>
      </c>
      <c r="AB463" s="28">
        <f t="shared" ca="1" si="65"/>
        <v>20137</v>
      </c>
      <c r="AC463" s="28">
        <f t="shared" ca="1" si="68"/>
        <v>12</v>
      </c>
      <c r="AD463" s="29">
        <f t="shared" ca="1" si="69"/>
        <v>6000</v>
      </c>
      <c r="AE463" s="28" t="str">
        <f t="shared" ca="1" si="66"/>
        <v>副本137</v>
      </c>
      <c r="AF463" s="28">
        <f t="shared" si="67"/>
        <v>137</v>
      </c>
      <c r="AG463" s="28">
        <f>COUNTIF(AF$3:AF463,AF463)-1</f>
        <v>3</v>
      </c>
    </row>
    <row r="464" spans="27:33" x14ac:dyDescent="0.25">
      <c r="AA464" s="28">
        <f t="shared" si="64"/>
        <v>462</v>
      </c>
      <c r="AB464" s="28">
        <f t="shared" ca="1" si="65"/>
        <v>20138</v>
      </c>
      <c r="AC464" s="28">
        <f t="shared" ca="1" si="68"/>
        <v>1</v>
      </c>
      <c r="AD464" s="29">
        <f t="shared" ca="1" si="69"/>
        <v>10000</v>
      </c>
      <c r="AE464" s="28" t="str">
        <f t="shared" ca="1" si="66"/>
        <v>副本138</v>
      </c>
      <c r="AF464" s="28">
        <f t="shared" si="67"/>
        <v>138</v>
      </c>
      <c r="AG464" s="28">
        <f>COUNTIF(AF$3:AF464,AF464)-1</f>
        <v>0</v>
      </c>
    </row>
    <row r="465" spans="27:33" x14ac:dyDescent="0.25">
      <c r="AA465" s="28">
        <f t="shared" si="64"/>
        <v>463</v>
      </c>
      <c r="AB465" s="28">
        <f t="shared" ca="1" si="65"/>
        <v>20138</v>
      </c>
      <c r="AC465" s="28">
        <f t="shared" ca="1" si="68"/>
        <v>21</v>
      </c>
      <c r="AD465" s="29">
        <f t="shared" ca="1" si="69"/>
        <v>4000</v>
      </c>
      <c r="AE465" s="28" t="str">
        <f t="shared" ca="1" si="66"/>
        <v>副本138</v>
      </c>
      <c r="AF465" s="28">
        <f t="shared" si="67"/>
        <v>138</v>
      </c>
      <c r="AG465" s="28">
        <f>COUNTIF(AF$3:AF465,AF465)-1</f>
        <v>1</v>
      </c>
    </row>
    <row r="466" spans="27:33" x14ac:dyDescent="0.25">
      <c r="AA466" s="28">
        <f t="shared" si="64"/>
        <v>464</v>
      </c>
      <c r="AB466" s="28">
        <f t="shared" ca="1" si="65"/>
        <v>20138</v>
      </c>
      <c r="AC466" s="28">
        <f t="shared" ca="1" si="68"/>
        <v>15</v>
      </c>
      <c r="AD466" s="29">
        <f t="shared" ca="1" si="69"/>
        <v>5000</v>
      </c>
      <c r="AE466" s="28" t="str">
        <f t="shared" ca="1" si="66"/>
        <v>副本138</v>
      </c>
      <c r="AF466" s="28">
        <f t="shared" si="67"/>
        <v>138</v>
      </c>
      <c r="AG466" s="28">
        <f>COUNTIF(AF$3:AF466,AF466)-1</f>
        <v>2</v>
      </c>
    </row>
    <row r="467" spans="27:33" x14ac:dyDescent="0.25">
      <c r="AA467" s="28">
        <f t="shared" si="64"/>
        <v>465</v>
      </c>
      <c r="AB467" s="28">
        <f t="shared" ca="1" si="65"/>
        <v>20138</v>
      </c>
      <c r="AC467" s="28">
        <f t="shared" ca="1" si="68"/>
        <v>12</v>
      </c>
      <c r="AD467" s="29">
        <f t="shared" ca="1" si="69"/>
        <v>6000</v>
      </c>
      <c r="AE467" s="28" t="str">
        <f t="shared" ca="1" si="66"/>
        <v>副本138</v>
      </c>
      <c r="AF467" s="28">
        <f t="shared" si="67"/>
        <v>138</v>
      </c>
      <c r="AG467" s="28">
        <f>COUNTIF(AF$3:AF467,AF467)-1</f>
        <v>3</v>
      </c>
    </row>
    <row r="468" spans="27:33" x14ac:dyDescent="0.25">
      <c r="AA468" s="28">
        <f t="shared" si="64"/>
        <v>466</v>
      </c>
      <c r="AB468" s="28">
        <f t="shared" ca="1" si="65"/>
        <v>20139</v>
      </c>
      <c r="AC468" s="28">
        <f t="shared" ca="1" si="68"/>
        <v>1</v>
      </c>
      <c r="AD468" s="29">
        <f t="shared" ca="1" si="69"/>
        <v>10000</v>
      </c>
      <c r="AE468" s="28" t="str">
        <f t="shared" ca="1" si="66"/>
        <v>副本139</v>
      </c>
      <c r="AF468" s="28">
        <f t="shared" si="67"/>
        <v>139</v>
      </c>
      <c r="AG468" s="28">
        <f>COUNTIF(AF$3:AF468,AF468)-1</f>
        <v>0</v>
      </c>
    </row>
    <row r="469" spans="27:33" x14ac:dyDescent="0.25">
      <c r="AA469" s="28">
        <f t="shared" si="64"/>
        <v>467</v>
      </c>
      <c r="AB469" s="28">
        <f t="shared" ca="1" si="65"/>
        <v>20139</v>
      </c>
      <c r="AC469" s="28">
        <f t="shared" ca="1" si="68"/>
        <v>22</v>
      </c>
      <c r="AD469" s="29">
        <f t="shared" ca="1" si="69"/>
        <v>4000</v>
      </c>
      <c r="AE469" s="28" t="str">
        <f t="shared" ca="1" si="66"/>
        <v>副本139</v>
      </c>
      <c r="AF469" s="28">
        <f t="shared" si="67"/>
        <v>139</v>
      </c>
      <c r="AG469" s="28">
        <f>COUNTIF(AF$3:AF469,AF469)-1</f>
        <v>1</v>
      </c>
    </row>
    <row r="470" spans="27:33" x14ac:dyDescent="0.25">
      <c r="AA470" s="28">
        <f t="shared" si="64"/>
        <v>468</v>
      </c>
      <c r="AB470" s="28">
        <f t="shared" ca="1" si="65"/>
        <v>20139</v>
      </c>
      <c r="AC470" s="28">
        <f t="shared" ca="1" si="68"/>
        <v>14</v>
      </c>
      <c r="AD470" s="29">
        <f t="shared" ca="1" si="69"/>
        <v>5000</v>
      </c>
      <c r="AE470" s="28" t="str">
        <f t="shared" ca="1" si="66"/>
        <v>副本139</v>
      </c>
      <c r="AF470" s="28">
        <f t="shared" si="67"/>
        <v>139</v>
      </c>
      <c r="AG470" s="28">
        <f>COUNTIF(AF$3:AF470,AF470)-1</f>
        <v>2</v>
      </c>
    </row>
    <row r="471" spans="27:33" x14ac:dyDescent="0.25">
      <c r="AA471" s="28">
        <f t="shared" si="64"/>
        <v>469</v>
      </c>
      <c r="AB471" s="28">
        <f t="shared" ca="1" si="65"/>
        <v>20139</v>
      </c>
      <c r="AC471" s="28">
        <f t="shared" ca="1" si="68"/>
        <v>11</v>
      </c>
      <c r="AD471" s="29">
        <f t="shared" ca="1" si="69"/>
        <v>6000</v>
      </c>
      <c r="AE471" s="28" t="str">
        <f t="shared" ca="1" si="66"/>
        <v>副本139</v>
      </c>
      <c r="AF471" s="28">
        <f t="shared" si="67"/>
        <v>139</v>
      </c>
      <c r="AG471" s="28">
        <f>COUNTIF(AF$3:AF471,AF471)-1</f>
        <v>3</v>
      </c>
    </row>
    <row r="472" spans="27:33" x14ac:dyDescent="0.25">
      <c r="AA472" s="28">
        <f t="shared" si="64"/>
        <v>470</v>
      </c>
      <c r="AB472" s="28">
        <f t="shared" ca="1" si="65"/>
        <v>20140</v>
      </c>
      <c r="AC472" s="28">
        <f t="shared" ca="1" si="68"/>
        <v>1</v>
      </c>
      <c r="AD472" s="29">
        <f t="shared" ca="1" si="69"/>
        <v>10000</v>
      </c>
      <c r="AE472" s="28" t="str">
        <f t="shared" ca="1" si="66"/>
        <v>副本140</v>
      </c>
      <c r="AF472" s="28">
        <f t="shared" si="67"/>
        <v>140</v>
      </c>
      <c r="AG472" s="28">
        <f>COUNTIF(AF$3:AF472,AF472)-1</f>
        <v>0</v>
      </c>
    </row>
    <row r="473" spans="27:33" x14ac:dyDescent="0.25">
      <c r="AA473" s="28">
        <f t="shared" si="64"/>
        <v>471</v>
      </c>
      <c r="AB473" s="28">
        <f t="shared" ca="1" si="65"/>
        <v>20140</v>
      </c>
      <c r="AC473" s="28">
        <f t="shared" ca="1" si="68"/>
        <v>22</v>
      </c>
      <c r="AD473" s="29">
        <f t="shared" ca="1" si="69"/>
        <v>4000</v>
      </c>
      <c r="AE473" s="28" t="str">
        <f t="shared" ca="1" si="66"/>
        <v>副本140</v>
      </c>
      <c r="AF473" s="28">
        <f t="shared" si="67"/>
        <v>140</v>
      </c>
      <c r="AG473" s="28">
        <f>COUNTIF(AF$3:AF473,AF473)-1</f>
        <v>1</v>
      </c>
    </row>
    <row r="474" spans="27:33" x14ac:dyDescent="0.25">
      <c r="AA474" s="28">
        <f t="shared" si="64"/>
        <v>472</v>
      </c>
      <c r="AB474" s="28">
        <f t="shared" ca="1" si="65"/>
        <v>20140</v>
      </c>
      <c r="AC474" s="28">
        <f t="shared" ca="1" si="68"/>
        <v>14</v>
      </c>
      <c r="AD474" s="29">
        <f t="shared" ca="1" si="69"/>
        <v>5000</v>
      </c>
      <c r="AE474" s="28" t="str">
        <f t="shared" ca="1" si="66"/>
        <v>副本140</v>
      </c>
      <c r="AF474" s="28">
        <f t="shared" si="67"/>
        <v>140</v>
      </c>
      <c r="AG474" s="28">
        <f>COUNTIF(AF$3:AF474,AF474)-1</f>
        <v>2</v>
      </c>
    </row>
    <row r="475" spans="27:33" x14ac:dyDescent="0.25">
      <c r="AA475" s="28">
        <f t="shared" si="64"/>
        <v>473</v>
      </c>
      <c r="AB475" s="28">
        <f t="shared" ca="1" si="65"/>
        <v>20140</v>
      </c>
      <c r="AC475" s="28">
        <f t="shared" ca="1" si="68"/>
        <v>11</v>
      </c>
      <c r="AD475" s="29">
        <f t="shared" ca="1" si="69"/>
        <v>6000</v>
      </c>
      <c r="AE475" s="28" t="str">
        <f t="shared" ca="1" si="66"/>
        <v>副本140</v>
      </c>
      <c r="AF475" s="28">
        <f t="shared" si="67"/>
        <v>140</v>
      </c>
      <c r="AG475" s="28">
        <f>COUNTIF(AF$3:AF475,AF475)-1</f>
        <v>3</v>
      </c>
    </row>
    <row r="476" spans="27:33" x14ac:dyDescent="0.25">
      <c r="AA476" s="28">
        <f t="shared" si="64"/>
        <v>474</v>
      </c>
      <c r="AB476" s="28">
        <f t="shared" ca="1" si="65"/>
        <v>20141</v>
      </c>
      <c r="AC476" s="28">
        <f t="shared" ca="1" si="68"/>
        <v>1</v>
      </c>
      <c r="AD476" s="29">
        <f t="shared" ca="1" si="69"/>
        <v>10000</v>
      </c>
      <c r="AE476" s="28" t="str">
        <f t="shared" ca="1" si="66"/>
        <v>副本141</v>
      </c>
      <c r="AF476" s="28">
        <f t="shared" si="67"/>
        <v>141</v>
      </c>
      <c r="AG476" s="28">
        <f>COUNTIF(AF$3:AF476,AF476)-1</f>
        <v>0</v>
      </c>
    </row>
    <row r="477" spans="27:33" x14ac:dyDescent="0.25">
      <c r="AA477" s="28">
        <f t="shared" si="64"/>
        <v>475</v>
      </c>
      <c r="AB477" s="28">
        <f t="shared" ca="1" si="65"/>
        <v>20141</v>
      </c>
      <c r="AC477" s="28">
        <f t="shared" ca="1" si="68"/>
        <v>22</v>
      </c>
      <c r="AD477" s="29">
        <f t="shared" ca="1" si="69"/>
        <v>4000</v>
      </c>
      <c r="AE477" s="28" t="str">
        <f t="shared" ca="1" si="66"/>
        <v>副本141</v>
      </c>
      <c r="AF477" s="28">
        <f t="shared" si="67"/>
        <v>141</v>
      </c>
      <c r="AG477" s="28">
        <f>COUNTIF(AF$3:AF477,AF477)-1</f>
        <v>1</v>
      </c>
    </row>
    <row r="478" spans="27:33" x14ac:dyDescent="0.25">
      <c r="AA478" s="28">
        <f t="shared" si="64"/>
        <v>476</v>
      </c>
      <c r="AB478" s="28">
        <f t="shared" ca="1" si="65"/>
        <v>20141</v>
      </c>
      <c r="AC478" s="28">
        <f t="shared" ca="1" si="68"/>
        <v>14</v>
      </c>
      <c r="AD478" s="29">
        <f t="shared" ca="1" si="69"/>
        <v>5000</v>
      </c>
      <c r="AE478" s="28" t="str">
        <f t="shared" ca="1" si="66"/>
        <v>副本141</v>
      </c>
      <c r="AF478" s="28">
        <f t="shared" si="67"/>
        <v>141</v>
      </c>
      <c r="AG478" s="28">
        <f>COUNTIF(AF$3:AF478,AF478)-1</f>
        <v>2</v>
      </c>
    </row>
    <row r="479" spans="27:33" x14ac:dyDescent="0.25">
      <c r="AA479" s="28">
        <f t="shared" ref="AA479:AA542" si="70">IF(ROW(A477)&gt;MAX(D:D),"",ROW(A477))</f>
        <v>477</v>
      </c>
      <c r="AB479" s="28">
        <f t="shared" ref="AB479:AB542" ca="1" si="71">OFFSET(A$2,$AF479,)</f>
        <v>20141</v>
      </c>
      <c r="AC479" s="28">
        <f t="shared" ca="1" si="68"/>
        <v>11</v>
      </c>
      <c r="AD479" s="29">
        <f t="shared" ca="1" si="69"/>
        <v>6000</v>
      </c>
      <c r="AE479" s="28" t="str">
        <f t="shared" ref="AE479:AE542" ca="1" si="72">OFFSET(B$2,$AF479,)</f>
        <v>副本141</v>
      </c>
      <c r="AF479" s="28">
        <f t="shared" ref="AF479:AF542" si="73">FREQUENCY(D:D,AA479-0.1)+1</f>
        <v>141</v>
      </c>
      <c r="AG479" s="28">
        <f>COUNTIF(AF$3:AF479,AF479)-1</f>
        <v>3</v>
      </c>
    </row>
    <row r="480" spans="27:33" x14ac:dyDescent="0.25">
      <c r="AA480" s="28">
        <f t="shared" si="70"/>
        <v>478</v>
      </c>
      <c r="AB480" s="28">
        <f t="shared" ca="1" si="71"/>
        <v>20142</v>
      </c>
      <c r="AC480" s="28">
        <f t="shared" ca="1" si="68"/>
        <v>1</v>
      </c>
      <c r="AD480" s="29">
        <f t="shared" ca="1" si="69"/>
        <v>10000</v>
      </c>
      <c r="AE480" s="28" t="str">
        <f t="shared" ca="1" si="72"/>
        <v>副本142</v>
      </c>
      <c r="AF480" s="28">
        <f t="shared" si="73"/>
        <v>142</v>
      </c>
      <c r="AG480" s="28">
        <f>COUNTIF(AF$3:AF480,AF480)-1</f>
        <v>0</v>
      </c>
    </row>
    <row r="481" spans="27:33" x14ac:dyDescent="0.25">
      <c r="AA481" s="28">
        <f t="shared" si="70"/>
        <v>479</v>
      </c>
      <c r="AB481" s="28">
        <f t="shared" ca="1" si="71"/>
        <v>20142</v>
      </c>
      <c r="AC481" s="28">
        <f t="shared" ca="1" si="68"/>
        <v>22</v>
      </c>
      <c r="AD481" s="29">
        <f t="shared" ca="1" si="69"/>
        <v>4000</v>
      </c>
      <c r="AE481" s="28" t="str">
        <f t="shared" ca="1" si="72"/>
        <v>副本142</v>
      </c>
      <c r="AF481" s="28">
        <f t="shared" si="73"/>
        <v>142</v>
      </c>
      <c r="AG481" s="28">
        <f>COUNTIF(AF$3:AF481,AF481)-1</f>
        <v>1</v>
      </c>
    </row>
    <row r="482" spans="27:33" x14ac:dyDescent="0.25">
      <c r="AA482" s="28">
        <f t="shared" si="70"/>
        <v>480</v>
      </c>
      <c r="AB482" s="28">
        <f t="shared" ca="1" si="71"/>
        <v>20142</v>
      </c>
      <c r="AC482" s="28">
        <f t="shared" ca="1" si="68"/>
        <v>14</v>
      </c>
      <c r="AD482" s="29">
        <f t="shared" ca="1" si="69"/>
        <v>5000</v>
      </c>
      <c r="AE482" s="28" t="str">
        <f t="shared" ca="1" si="72"/>
        <v>副本142</v>
      </c>
      <c r="AF482" s="28">
        <f t="shared" si="73"/>
        <v>142</v>
      </c>
      <c r="AG482" s="28">
        <f>COUNTIF(AF$3:AF482,AF482)-1</f>
        <v>2</v>
      </c>
    </row>
    <row r="483" spans="27:33" x14ac:dyDescent="0.25">
      <c r="AA483" s="28">
        <f t="shared" si="70"/>
        <v>481</v>
      </c>
      <c r="AB483" s="28">
        <f t="shared" ca="1" si="71"/>
        <v>20142</v>
      </c>
      <c r="AC483" s="28">
        <f t="shared" ca="1" si="68"/>
        <v>11</v>
      </c>
      <c r="AD483" s="29">
        <f t="shared" ca="1" si="69"/>
        <v>6000</v>
      </c>
      <c r="AE483" s="28" t="str">
        <f t="shared" ca="1" si="72"/>
        <v>副本142</v>
      </c>
      <c r="AF483" s="28">
        <f t="shared" si="73"/>
        <v>142</v>
      </c>
      <c r="AG483" s="28">
        <f>COUNTIF(AF$3:AF483,AF483)-1</f>
        <v>3</v>
      </c>
    </row>
    <row r="484" spans="27:33" x14ac:dyDescent="0.25">
      <c r="AA484" s="28">
        <f t="shared" si="70"/>
        <v>482</v>
      </c>
      <c r="AB484" s="28">
        <f t="shared" ca="1" si="71"/>
        <v>20143</v>
      </c>
      <c r="AC484" s="28">
        <f t="shared" ca="1" si="68"/>
        <v>1</v>
      </c>
      <c r="AD484" s="29">
        <f t="shared" ca="1" si="69"/>
        <v>10000</v>
      </c>
      <c r="AE484" s="28" t="str">
        <f t="shared" ca="1" si="72"/>
        <v>副本143</v>
      </c>
      <c r="AF484" s="28">
        <f t="shared" si="73"/>
        <v>143</v>
      </c>
      <c r="AG484" s="28">
        <f>COUNTIF(AF$3:AF484,AF484)-1</f>
        <v>0</v>
      </c>
    </row>
    <row r="485" spans="27:33" x14ac:dyDescent="0.25">
      <c r="AA485" s="28">
        <f t="shared" si="70"/>
        <v>483</v>
      </c>
      <c r="AB485" s="28">
        <f t="shared" ca="1" si="71"/>
        <v>20143</v>
      </c>
      <c r="AC485" s="28">
        <f t="shared" ca="1" si="68"/>
        <v>20</v>
      </c>
      <c r="AD485" s="29">
        <f t="shared" ca="1" si="69"/>
        <v>4000</v>
      </c>
      <c r="AE485" s="28" t="str">
        <f t="shared" ca="1" si="72"/>
        <v>副本143</v>
      </c>
      <c r="AF485" s="28">
        <f t="shared" si="73"/>
        <v>143</v>
      </c>
      <c r="AG485" s="28">
        <f>COUNTIF(AF$3:AF485,AF485)-1</f>
        <v>1</v>
      </c>
    </row>
    <row r="486" spans="27:33" x14ac:dyDescent="0.25">
      <c r="AA486" s="28">
        <f t="shared" si="70"/>
        <v>484</v>
      </c>
      <c r="AB486" s="28">
        <f t="shared" ca="1" si="71"/>
        <v>20143</v>
      </c>
      <c r="AC486" s="28">
        <f t="shared" ca="1" si="68"/>
        <v>14</v>
      </c>
      <c r="AD486" s="29">
        <f t="shared" ca="1" si="69"/>
        <v>5000</v>
      </c>
      <c r="AE486" s="28" t="str">
        <f t="shared" ca="1" si="72"/>
        <v>副本143</v>
      </c>
      <c r="AF486" s="28">
        <f t="shared" si="73"/>
        <v>143</v>
      </c>
      <c r="AG486" s="28">
        <f>COUNTIF(AF$3:AF486,AF486)-1</f>
        <v>2</v>
      </c>
    </row>
    <row r="487" spans="27:33" x14ac:dyDescent="0.25">
      <c r="AA487" s="28">
        <f t="shared" si="70"/>
        <v>485</v>
      </c>
      <c r="AB487" s="28">
        <f t="shared" ca="1" si="71"/>
        <v>20143</v>
      </c>
      <c r="AC487" s="28">
        <f t="shared" ca="1" si="68"/>
        <v>11</v>
      </c>
      <c r="AD487" s="29">
        <f t="shared" ca="1" si="69"/>
        <v>6000</v>
      </c>
      <c r="AE487" s="28" t="str">
        <f t="shared" ca="1" si="72"/>
        <v>副本143</v>
      </c>
      <c r="AF487" s="28">
        <f t="shared" si="73"/>
        <v>143</v>
      </c>
      <c r="AG487" s="28">
        <f>COUNTIF(AF$3:AF487,AF487)-1</f>
        <v>3</v>
      </c>
    </row>
    <row r="488" spans="27:33" x14ac:dyDescent="0.25">
      <c r="AA488" s="28">
        <f t="shared" si="70"/>
        <v>486</v>
      </c>
      <c r="AB488" s="28">
        <f t="shared" ca="1" si="71"/>
        <v>20144</v>
      </c>
      <c r="AC488" s="28">
        <f t="shared" ca="1" si="68"/>
        <v>1</v>
      </c>
      <c r="AD488" s="29">
        <f t="shared" ca="1" si="69"/>
        <v>10000</v>
      </c>
      <c r="AE488" s="28" t="str">
        <f t="shared" ca="1" si="72"/>
        <v>副本144</v>
      </c>
      <c r="AF488" s="28">
        <f t="shared" si="73"/>
        <v>144</v>
      </c>
      <c r="AG488" s="28">
        <f>COUNTIF(AF$3:AF488,AF488)-1</f>
        <v>0</v>
      </c>
    </row>
    <row r="489" spans="27:33" x14ac:dyDescent="0.25">
      <c r="AA489" s="28">
        <f t="shared" si="70"/>
        <v>487</v>
      </c>
      <c r="AB489" s="28">
        <f t="shared" ca="1" si="71"/>
        <v>20144</v>
      </c>
      <c r="AC489" s="28">
        <f t="shared" ca="1" si="68"/>
        <v>20</v>
      </c>
      <c r="AD489" s="29">
        <f t="shared" ca="1" si="69"/>
        <v>4000</v>
      </c>
      <c r="AE489" s="28" t="str">
        <f t="shared" ca="1" si="72"/>
        <v>副本144</v>
      </c>
      <c r="AF489" s="28">
        <f t="shared" si="73"/>
        <v>144</v>
      </c>
      <c r="AG489" s="28">
        <f>COUNTIF(AF$3:AF489,AF489)-1</f>
        <v>1</v>
      </c>
    </row>
    <row r="490" spans="27:33" x14ac:dyDescent="0.25">
      <c r="AA490" s="28">
        <f t="shared" si="70"/>
        <v>488</v>
      </c>
      <c r="AB490" s="28">
        <f t="shared" ca="1" si="71"/>
        <v>20144</v>
      </c>
      <c r="AC490" s="28">
        <f t="shared" ca="1" si="68"/>
        <v>14</v>
      </c>
      <c r="AD490" s="29">
        <f t="shared" ca="1" si="69"/>
        <v>5000</v>
      </c>
      <c r="AE490" s="28" t="str">
        <f t="shared" ca="1" si="72"/>
        <v>副本144</v>
      </c>
      <c r="AF490" s="28">
        <f t="shared" si="73"/>
        <v>144</v>
      </c>
      <c r="AG490" s="28">
        <f>COUNTIF(AF$3:AF490,AF490)-1</f>
        <v>2</v>
      </c>
    </row>
    <row r="491" spans="27:33" x14ac:dyDescent="0.25">
      <c r="AA491" s="28">
        <f t="shared" si="70"/>
        <v>489</v>
      </c>
      <c r="AB491" s="28">
        <f t="shared" ca="1" si="71"/>
        <v>20144</v>
      </c>
      <c r="AC491" s="28">
        <f t="shared" ca="1" si="68"/>
        <v>11</v>
      </c>
      <c r="AD491" s="29">
        <f t="shared" ca="1" si="69"/>
        <v>6000</v>
      </c>
      <c r="AE491" s="28" t="str">
        <f t="shared" ca="1" si="72"/>
        <v>副本144</v>
      </c>
      <c r="AF491" s="28">
        <f t="shared" si="73"/>
        <v>144</v>
      </c>
      <c r="AG491" s="28">
        <f>COUNTIF(AF$3:AF491,AF491)-1</f>
        <v>3</v>
      </c>
    </row>
    <row r="492" spans="27:33" x14ac:dyDescent="0.25">
      <c r="AA492" s="28">
        <f t="shared" si="70"/>
        <v>490</v>
      </c>
      <c r="AB492" s="28">
        <f t="shared" ca="1" si="71"/>
        <v>20145</v>
      </c>
      <c r="AC492" s="28">
        <f t="shared" ca="1" si="68"/>
        <v>1</v>
      </c>
      <c r="AD492" s="29">
        <f t="shared" ca="1" si="69"/>
        <v>10000</v>
      </c>
      <c r="AE492" s="28" t="str">
        <f t="shared" ca="1" si="72"/>
        <v>副本145</v>
      </c>
      <c r="AF492" s="28">
        <f t="shared" si="73"/>
        <v>145</v>
      </c>
      <c r="AG492" s="28">
        <f>COUNTIF(AF$3:AF492,AF492)-1</f>
        <v>0</v>
      </c>
    </row>
    <row r="493" spans="27:33" x14ac:dyDescent="0.25">
      <c r="AA493" s="28">
        <f t="shared" si="70"/>
        <v>491</v>
      </c>
      <c r="AB493" s="28">
        <f t="shared" ca="1" si="71"/>
        <v>20145</v>
      </c>
      <c r="AC493" s="28">
        <f t="shared" ca="1" si="68"/>
        <v>20</v>
      </c>
      <c r="AD493" s="29">
        <f t="shared" ca="1" si="69"/>
        <v>4000</v>
      </c>
      <c r="AE493" s="28" t="str">
        <f t="shared" ca="1" si="72"/>
        <v>副本145</v>
      </c>
      <c r="AF493" s="28">
        <f t="shared" si="73"/>
        <v>145</v>
      </c>
      <c r="AG493" s="28">
        <f>COUNTIF(AF$3:AF493,AF493)-1</f>
        <v>1</v>
      </c>
    </row>
    <row r="494" spans="27:33" x14ac:dyDescent="0.25">
      <c r="AA494" s="28">
        <f t="shared" si="70"/>
        <v>492</v>
      </c>
      <c r="AB494" s="28">
        <f t="shared" ca="1" si="71"/>
        <v>20145</v>
      </c>
      <c r="AC494" s="28">
        <f t="shared" ca="1" si="68"/>
        <v>14</v>
      </c>
      <c r="AD494" s="29">
        <f t="shared" ca="1" si="69"/>
        <v>5000</v>
      </c>
      <c r="AE494" s="28" t="str">
        <f t="shared" ca="1" si="72"/>
        <v>副本145</v>
      </c>
      <c r="AF494" s="28">
        <f t="shared" si="73"/>
        <v>145</v>
      </c>
      <c r="AG494" s="28">
        <f>COUNTIF(AF$3:AF494,AF494)-1</f>
        <v>2</v>
      </c>
    </row>
    <row r="495" spans="27:33" x14ac:dyDescent="0.25">
      <c r="AA495" s="28">
        <f t="shared" si="70"/>
        <v>493</v>
      </c>
      <c r="AB495" s="28">
        <f t="shared" ca="1" si="71"/>
        <v>20145</v>
      </c>
      <c r="AC495" s="28">
        <f t="shared" ca="1" si="68"/>
        <v>11</v>
      </c>
      <c r="AD495" s="29">
        <f t="shared" ca="1" si="69"/>
        <v>6000</v>
      </c>
      <c r="AE495" s="28" t="str">
        <f t="shared" ca="1" si="72"/>
        <v>副本145</v>
      </c>
      <c r="AF495" s="28">
        <f t="shared" si="73"/>
        <v>145</v>
      </c>
      <c r="AG495" s="28">
        <f>COUNTIF(AF$3:AF495,AF495)-1</f>
        <v>3</v>
      </c>
    </row>
    <row r="496" spans="27:33" x14ac:dyDescent="0.25">
      <c r="AA496" s="28">
        <f t="shared" si="70"/>
        <v>494</v>
      </c>
      <c r="AB496" s="28">
        <f t="shared" ca="1" si="71"/>
        <v>20146</v>
      </c>
      <c r="AC496" s="28">
        <f t="shared" ca="1" si="68"/>
        <v>1</v>
      </c>
      <c r="AD496" s="29">
        <f t="shared" ca="1" si="69"/>
        <v>10000</v>
      </c>
      <c r="AE496" s="28" t="str">
        <f t="shared" ca="1" si="72"/>
        <v>副本146</v>
      </c>
      <c r="AF496" s="28">
        <f t="shared" si="73"/>
        <v>146</v>
      </c>
      <c r="AG496" s="28">
        <f>COUNTIF(AF$3:AF496,AF496)-1</f>
        <v>0</v>
      </c>
    </row>
    <row r="497" spans="27:33" x14ac:dyDescent="0.25">
      <c r="AA497" s="28">
        <f t="shared" si="70"/>
        <v>495</v>
      </c>
      <c r="AB497" s="28">
        <f t="shared" ca="1" si="71"/>
        <v>20146</v>
      </c>
      <c r="AC497" s="28">
        <f t="shared" ca="1" si="68"/>
        <v>20</v>
      </c>
      <c r="AD497" s="29">
        <f t="shared" ca="1" si="69"/>
        <v>4000</v>
      </c>
      <c r="AE497" s="28" t="str">
        <f t="shared" ca="1" si="72"/>
        <v>副本146</v>
      </c>
      <c r="AF497" s="28">
        <f t="shared" si="73"/>
        <v>146</v>
      </c>
      <c r="AG497" s="28">
        <f>COUNTIF(AF$3:AF497,AF497)-1</f>
        <v>1</v>
      </c>
    </row>
    <row r="498" spans="27:33" x14ac:dyDescent="0.25">
      <c r="AA498" s="28">
        <f t="shared" si="70"/>
        <v>496</v>
      </c>
      <c r="AB498" s="28">
        <f t="shared" ca="1" si="71"/>
        <v>20146</v>
      </c>
      <c r="AC498" s="28">
        <f t="shared" ca="1" si="68"/>
        <v>14</v>
      </c>
      <c r="AD498" s="29">
        <f t="shared" ca="1" si="69"/>
        <v>5000</v>
      </c>
      <c r="AE498" s="28" t="str">
        <f t="shared" ca="1" si="72"/>
        <v>副本146</v>
      </c>
      <c r="AF498" s="28">
        <f t="shared" si="73"/>
        <v>146</v>
      </c>
      <c r="AG498" s="28">
        <f>COUNTIF(AF$3:AF498,AF498)-1</f>
        <v>2</v>
      </c>
    </row>
    <row r="499" spans="27:33" x14ac:dyDescent="0.25">
      <c r="AA499" s="28">
        <f t="shared" si="70"/>
        <v>497</v>
      </c>
      <c r="AB499" s="28">
        <f t="shared" ca="1" si="71"/>
        <v>20146</v>
      </c>
      <c r="AC499" s="28">
        <f t="shared" ca="1" si="68"/>
        <v>11</v>
      </c>
      <c r="AD499" s="29">
        <f t="shared" ca="1" si="69"/>
        <v>6000</v>
      </c>
      <c r="AE499" s="28" t="str">
        <f t="shared" ca="1" si="72"/>
        <v>副本146</v>
      </c>
      <c r="AF499" s="28">
        <f t="shared" si="73"/>
        <v>146</v>
      </c>
      <c r="AG499" s="28">
        <f>COUNTIF(AF$3:AF499,AF499)-1</f>
        <v>3</v>
      </c>
    </row>
    <row r="500" spans="27:33" x14ac:dyDescent="0.25">
      <c r="AA500" s="28">
        <f t="shared" si="70"/>
        <v>498</v>
      </c>
      <c r="AB500" s="28">
        <f t="shared" ca="1" si="71"/>
        <v>20147</v>
      </c>
      <c r="AC500" s="28">
        <f t="shared" ca="1" si="68"/>
        <v>1</v>
      </c>
      <c r="AD500" s="29">
        <f t="shared" ca="1" si="69"/>
        <v>10000</v>
      </c>
      <c r="AE500" s="28" t="str">
        <f t="shared" ca="1" si="72"/>
        <v>副本147</v>
      </c>
      <c r="AF500" s="28">
        <f t="shared" si="73"/>
        <v>147</v>
      </c>
      <c r="AG500" s="28">
        <f>COUNTIF(AF$3:AF500,AF500)-1</f>
        <v>0</v>
      </c>
    </row>
    <row r="501" spans="27:33" x14ac:dyDescent="0.25">
      <c r="AA501" s="28">
        <f t="shared" si="70"/>
        <v>499</v>
      </c>
      <c r="AB501" s="28">
        <f t="shared" ca="1" si="71"/>
        <v>20147</v>
      </c>
      <c r="AC501" s="28">
        <f t="shared" ca="1" si="68"/>
        <v>21</v>
      </c>
      <c r="AD501" s="29">
        <f t="shared" ca="1" si="69"/>
        <v>4000</v>
      </c>
      <c r="AE501" s="28" t="str">
        <f t="shared" ca="1" si="72"/>
        <v>副本147</v>
      </c>
      <c r="AF501" s="28">
        <f t="shared" si="73"/>
        <v>147</v>
      </c>
      <c r="AG501" s="28">
        <f>COUNTIF(AF$3:AF501,AF501)-1</f>
        <v>1</v>
      </c>
    </row>
    <row r="502" spans="27:33" x14ac:dyDescent="0.25">
      <c r="AA502" s="28">
        <f t="shared" si="70"/>
        <v>500</v>
      </c>
      <c r="AB502" s="28">
        <f t="shared" ca="1" si="71"/>
        <v>20147</v>
      </c>
      <c r="AC502" s="28">
        <f t="shared" ca="1" si="68"/>
        <v>15</v>
      </c>
      <c r="AD502" s="29">
        <f t="shared" ca="1" si="69"/>
        <v>5000</v>
      </c>
      <c r="AE502" s="28" t="str">
        <f t="shared" ca="1" si="72"/>
        <v>副本147</v>
      </c>
      <c r="AF502" s="28">
        <f t="shared" si="73"/>
        <v>147</v>
      </c>
      <c r="AG502" s="28">
        <f>COUNTIF(AF$3:AF502,AF502)-1</f>
        <v>2</v>
      </c>
    </row>
    <row r="503" spans="27:33" x14ac:dyDescent="0.25">
      <c r="AA503" s="28">
        <f t="shared" si="70"/>
        <v>501</v>
      </c>
      <c r="AB503" s="28">
        <f t="shared" ca="1" si="71"/>
        <v>20147</v>
      </c>
      <c r="AC503" s="28">
        <f t="shared" ca="1" si="68"/>
        <v>12</v>
      </c>
      <c r="AD503" s="29">
        <f t="shared" ca="1" si="69"/>
        <v>6000</v>
      </c>
      <c r="AE503" s="28" t="str">
        <f t="shared" ca="1" si="72"/>
        <v>副本147</v>
      </c>
      <c r="AF503" s="28">
        <f t="shared" si="73"/>
        <v>147</v>
      </c>
      <c r="AG503" s="28">
        <f>COUNTIF(AF$3:AF503,AF503)-1</f>
        <v>3</v>
      </c>
    </row>
    <row r="504" spans="27:33" x14ac:dyDescent="0.25">
      <c r="AA504" s="28">
        <f t="shared" si="70"/>
        <v>502</v>
      </c>
      <c r="AB504" s="28">
        <f t="shared" ca="1" si="71"/>
        <v>20148</v>
      </c>
      <c r="AC504" s="28">
        <f t="shared" ca="1" si="68"/>
        <v>1</v>
      </c>
      <c r="AD504" s="29">
        <f t="shared" ca="1" si="69"/>
        <v>10000</v>
      </c>
      <c r="AE504" s="28" t="str">
        <f t="shared" ca="1" si="72"/>
        <v>副本148</v>
      </c>
      <c r="AF504" s="28">
        <f t="shared" si="73"/>
        <v>148</v>
      </c>
      <c r="AG504" s="28">
        <f>COUNTIF(AF$3:AF504,AF504)-1</f>
        <v>0</v>
      </c>
    </row>
    <row r="505" spans="27:33" x14ac:dyDescent="0.25">
      <c r="AA505" s="28">
        <f t="shared" si="70"/>
        <v>503</v>
      </c>
      <c r="AB505" s="28">
        <f t="shared" ca="1" si="71"/>
        <v>20148</v>
      </c>
      <c r="AC505" s="28">
        <f t="shared" ca="1" si="68"/>
        <v>21</v>
      </c>
      <c r="AD505" s="29">
        <f t="shared" ca="1" si="69"/>
        <v>4000</v>
      </c>
      <c r="AE505" s="28" t="str">
        <f t="shared" ca="1" si="72"/>
        <v>副本148</v>
      </c>
      <c r="AF505" s="28">
        <f t="shared" si="73"/>
        <v>148</v>
      </c>
      <c r="AG505" s="28">
        <f>COUNTIF(AF$3:AF505,AF505)-1</f>
        <v>1</v>
      </c>
    </row>
    <row r="506" spans="27:33" x14ac:dyDescent="0.25">
      <c r="AA506" s="28">
        <f t="shared" si="70"/>
        <v>504</v>
      </c>
      <c r="AB506" s="28">
        <f t="shared" ca="1" si="71"/>
        <v>20148</v>
      </c>
      <c r="AC506" s="28">
        <f t="shared" ca="1" si="68"/>
        <v>15</v>
      </c>
      <c r="AD506" s="29">
        <f t="shared" ca="1" si="69"/>
        <v>5000</v>
      </c>
      <c r="AE506" s="28" t="str">
        <f t="shared" ca="1" si="72"/>
        <v>副本148</v>
      </c>
      <c r="AF506" s="28">
        <f t="shared" si="73"/>
        <v>148</v>
      </c>
      <c r="AG506" s="28">
        <f>COUNTIF(AF$3:AF506,AF506)-1</f>
        <v>2</v>
      </c>
    </row>
    <row r="507" spans="27:33" x14ac:dyDescent="0.25">
      <c r="AA507" s="28">
        <f t="shared" si="70"/>
        <v>505</v>
      </c>
      <c r="AB507" s="28">
        <f t="shared" ca="1" si="71"/>
        <v>20148</v>
      </c>
      <c r="AC507" s="28">
        <f t="shared" ca="1" si="68"/>
        <v>12</v>
      </c>
      <c r="AD507" s="29">
        <f t="shared" ca="1" si="69"/>
        <v>6000</v>
      </c>
      <c r="AE507" s="28" t="str">
        <f t="shared" ca="1" si="72"/>
        <v>副本148</v>
      </c>
      <c r="AF507" s="28">
        <f t="shared" si="73"/>
        <v>148</v>
      </c>
      <c r="AG507" s="28">
        <f>COUNTIF(AF$3:AF507,AF507)-1</f>
        <v>3</v>
      </c>
    </row>
    <row r="508" spans="27:33" x14ac:dyDescent="0.25">
      <c r="AA508" s="28">
        <f t="shared" si="70"/>
        <v>506</v>
      </c>
      <c r="AB508" s="28">
        <f t="shared" ca="1" si="71"/>
        <v>20149</v>
      </c>
      <c r="AC508" s="28">
        <f t="shared" ca="1" si="68"/>
        <v>1</v>
      </c>
      <c r="AD508" s="29">
        <f t="shared" ca="1" si="69"/>
        <v>10000</v>
      </c>
      <c r="AE508" s="28" t="str">
        <f t="shared" ca="1" si="72"/>
        <v>副本149</v>
      </c>
      <c r="AF508" s="28">
        <f t="shared" si="73"/>
        <v>149</v>
      </c>
      <c r="AG508" s="28">
        <f>COUNTIF(AF$3:AF508,AF508)-1</f>
        <v>0</v>
      </c>
    </row>
    <row r="509" spans="27:33" x14ac:dyDescent="0.25">
      <c r="AA509" s="28">
        <f t="shared" si="70"/>
        <v>507</v>
      </c>
      <c r="AB509" s="28">
        <f t="shared" ca="1" si="71"/>
        <v>20149</v>
      </c>
      <c r="AC509" s="28">
        <f t="shared" ca="1" si="68"/>
        <v>21</v>
      </c>
      <c r="AD509" s="29">
        <f t="shared" ca="1" si="69"/>
        <v>4000</v>
      </c>
      <c r="AE509" s="28" t="str">
        <f t="shared" ca="1" si="72"/>
        <v>副本149</v>
      </c>
      <c r="AF509" s="28">
        <f t="shared" si="73"/>
        <v>149</v>
      </c>
      <c r="AG509" s="28">
        <f>COUNTIF(AF$3:AF509,AF509)-1</f>
        <v>1</v>
      </c>
    </row>
    <row r="510" spans="27:33" x14ac:dyDescent="0.25">
      <c r="AA510" s="28">
        <f t="shared" si="70"/>
        <v>508</v>
      </c>
      <c r="AB510" s="28">
        <f t="shared" ca="1" si="71"/>
        <v>20149</v>
      </c>
      <c r="AC510" s="28">
        <f t="shared" ca="1" si="68"/>
        <v>15</v>
      </c>
      <c r="AD510" s="29">
        <f t="shared" ca="1" si="69"/>
        <v>5000</v>
      </c>
      <c r="AE510" s="28" t="str">
        <f t="shared" ca="1" si="72"/>
        <v>副本149</v>
      </c>
      <c r="AF510" s="28">
        <f t="shared" si="73"/>
        <v>149</v>
      </c>
      <c r="AG510" s="28">
        <f>COUNTIF(AF$3:AF510,AF510)-1</f>
        <v>2</v>
      </c>
    </row>
    <row r="511" spans="27:33" x14ac:dyDescent="0.25">
      <c r="AA511" s="28">
        <f t="shared" si="70"/>
        <v>509</v>
      </c>
      <c r="AB511" s="28">
        <f t="shared" ca="1" si="71"/>
        <v>20149</v>
      </c>
      <c r="AC511" s="28">
        <f t="shared" ca="1" si="68"/>
        <v>12</v>
      </c>
      <c r="AD511" s="29">
        <f t="shared" ca="1" si="69"/>
        <v>6000</v>
      </c>
      <c r="AE511" s="28" t="str">
        <f t="shared" ca="1" si="72"/>
        <v>副本149</v>
      </c>
      <c r="AF511" s="28">
        <f t="shared" si="73"/>
        <v>149</v>
      </c>
      <c r="AG511" s="28">
        <f>COUNTIF(AF$3:AF511,AF511)-1</f>
        <v>3</v>
      </c>
    </row>
    <row r="512" spans="27:33" x14ac:dyDescent="0.25">
      <c r="AA512" s="28">
        <f t="shared" si="70"/>
        <v>510</v>
      </c>
      <c r="AB512" s="28">
        <f t="shared" ca="1" si="71"/>
        <v>20150</v>
      </c>
      <c r="AC512" s="28">
        <f t="shared" ca="1" si="68"/>
        <v>1</v>
      </c>
      <c r="AD512" s="29">
        <f t="shared" ca="1" si="69"/>
        <v>10000</v>
      </c>
      <c r="AE512" s="28" t="str">
        <f t="shared" ca="1" si="72"/>
        <v>副本150</v>
      </c>
      <c r="AF512" s="28">
        <f t="shared" si="73"/>
        <v>150</v>
      </c>
      <c r="AG512" s="28">
        <f>COUNTIF(AF$3:AF512,AF512)-1</f>
        <v>0</v>
      </c>
    </row>
    <row r="513" spans="27:33" x14ac:dyDescent="0.25">
      <c r="AA513" s="28">
        <f t="shared" si="70"/>
        <v>511</v>
      </c>
      <c r="AB513" s="28">
        <f t="shared" ca="1" si="71"/>
        <v>20150</v>
      </c>
      <c r="AC513" s="28">
        <f t="shared" ca="1" si="68"/>
        <v>21</v>
      </c>
      <c r="AD513" s="29">
        <f t="shared" ca="1" si="69"/>
        <v>4000</v>
      </c>
      <c r="AE513" s="28" t="str">
        <f t="shared" ca="1" si="72"/>
        <v>副本150</v>
      </c>
      <c r="AF513" s="28">
        <f t="shared" si="73"/>
        <v>150</v>
      </c>
      <c r="AG513" s="28">
        <f>COUNTIF(AF$3:AF513,AF513)-1</f>
        <v>1</v>
      </c>
    </row>
    <row r="514" spans="27:33" x14ac:dyDescent="0.25">
      <c r="AA514" s="28">
        <f t="shared" si="70"/>
        <v>512</v>
      </c>
      <c r="AB514" s="28">
        <f t="shared" ca="1" si="71"/>
        <v>20150</v>
      </c>
      <c r="AC514" s="28">
        <f t="shared" ca="1" si="68"/>
        <v>15</v>
      </c>
      <c r="AD514" s="29">
        <f t="shared" ca="1" si="69"/>
        <v>5000</v>
      </c>
      <c r="AE514" s="28" t="str">
        <f t="shared" ca="1" si="72"/>
        <v>副本150</v>
      </c>
      <c r="AF514" s="28">
        <f t="shared" si="73"/>
        <v>150</v>
      </c>
      <c r="AG514" s="28">
        <f>COUNTIF(AF$3:AF514,AF514)-1</f>
        <v>2</v>
      </c>
    </row>
    <row r="515" spans="27:33" x14ac:dyDescent="0.25">
      <c r="AA515" s="28">
        <f t="shared" si="70"/>
        <v>513</v>
      </c>
      <c r="AB515" s="28">
        <f t="shared" ca="1" si="71"/>
        <v>20150</v>
      </c>
      <c r="AC515" s="28">
        <f t="shared" ref="AC515:AC578" ca="1" si="74">OFFSET($G$2,$AF515,$AG515)</f>
        <v>12</v>
      </c>
      <c r="AD515" s="29">
        <f t="shared" ref="AD515:AD578" ca="1" si="75">OFFSET($Q$2,$AF515,$AG515)*$AD$1</f>
        <v>6000</v>
      </c>
      <c r="AE515" s="28" t="str">
        <f t="shared" ca="1" si="72"/>
        <v>副本150</v>
      </c>
      <c r="AF515" s="28">
        <f t="shared" si="73"/>
        <v>150</v>
      </c>
      <c r="AG515" s="28">
        <f>COUNTIF(AF$3:AF515,AF515)-1</f>
        <v>3</v>
      </c>
    </row>
    <row r="516" spans="27:33" x14ac:dyDescent="0.25">
      <c r="AA516" s="28">
        <f t="shared" si="70"/>
        <v>514</v>
      </c>
      <c r="AB516" s="28">
        <f t="shared" ca="1" si="71"/>
        <v>20151</v>
      </c>
      <c r="AC516" s="28">
        <f t="shared" ca="1" si="74"/>
        <v>1</v>
      </c>
      <c r="AD516" s="29">
        <f t="shared" ca="1" si="75"/>
        <v>10000</v>
      </c>
      <c r="AE516" s="28" t="str">
        <f t="shared" ca="1" si="72"/>
        <v>副本151</v>
      </c>
      <c r="AF516" s="28">
        <f t="shared" si="73"/>
        <v>151</v>
      </c>
      <c r="AG516" s="28">
        <f>COUNTIF(AF$3:AF516,AF516)-1</f>
        <v>0</v>
      </c>
    </row>
    <row r="517" spans="27:33" x14ac:dyDescent="0.25">
      <c r="AA517" s="28">
        <f t="shared" si="70"/>
        <v>515</v>
      </c>
      <c r="AB517" s="28">
        <f t="shared" ca="1" si="71"/>
        <v>20151</v>
      </c>
      <c r="AC517" s="28">
        <f t="shared" ca="1" si="74"/>
        <v>22</v>
      </c>
      <c r="AD517" s="29">
        <f t="shared" ca="1" si="75"/>
        <v>4000</v>
      </c>
      <c r="AE517" s="28" t="str">
        <f t="shared" ca="1" si="72"/>
        <v>副本151</v>
      </c>
      <c r="AF517" s="28">
        <f t="shared" si="73"/>
        <v>151</v>
      </c>
      <c r="AG517" s="28">
        <f>COUNTIF(AF$3:AF517,AF517)-1</f>
        <v>1</v>
      </c>
    </row>
    <row r="518" spans="27:33" x14ac:dyDescent="0.25">
      <c r="AA518" s="28">
        <f t="shared" si="70"/>
        <v>516</v>
      </c>
      <c r="AB518" s="28">
        <f t="shared" ca="1" si="71"/>
        <v>20151</v>
      </c>
      <c r="AC518" s="28">
        <f t="shared" ca="1" si="74"/>
        <v>16</v>
      </c>
      <c r="AD518" s="29">
        <f t="shared" ca="1" si="75"/>
        <v>5000</v>
      </c>
      <c r="AE518" s="28" t="str">
        <f t="shared" ca="1" si="72"/>
        <v>副本151</v>
      </c>
      <c r="AF518" s="28">
        <f t="shared" si="73"/>
        <v>151</v>
      </c>
      <c r="AG518" s="28">
        <f>COUNTIF(AF$3:AF518,AF518)-1</f>
        <v>2</v>
      </c>
    </row>
    <row r="519" spans="27:33" x14ac:dyDescent="0.25">
      <c r="AA519" s="28">
        <f t="shared" si="70"/>
        <v>517</v>
      </c>
      <c r="AB519" s="28">
        <f t="shared" ca="1" si="71"/>
        <v>20151</v>
      </c>
      <c r="AC519" s="28">
        <f t="shared" ca="1" si="74"/>
        <v>13</v>
      </c>
      <c r="AD519" s="29">
        <f t="shared" ca="1" si="75"/>
        <v>6000</v>
      </c>
      <c r="AE519" s="28" t="str">
        <f t="shared" ca="1" si="72"/>
        <v>副本151</v>
      </c>
      <c r="AF519" s="28">
        <f t="shared" si="73"/>
        <v>151</v>
      </c>
      <c r="AG519" s="28">
        <f>COUNTIF(AF$3:AF519,AF519)-1</f>
        <v>3</v>
      </c>
    </row>
    <row r="520" spans="27:33" x14ac:dyDescent="0.25">
      <c r="AA520" s="28">
        <f t="shared" si="70"/>
        <v>518</v>
      </c>
      <c r="AB520" s="28">
        <f t="shared" ca="1" si="71"/>
        <v>20152</v>
      </c>
      <c r="AC520" s="28">
        <f t="shared" ca="1" si="74"/>
        <v>1</v>
      </c>
      <c r="AD520" s="29">
        <f t="shared" ca="1" si="75"/>
        <v>10000</v>
      </c>
      <c r="AE520" s="28" t="str">
        <f t="shared" ca="1" si="72"/>
        <v>副本152</v>
      </c>
      <c r="AF520" s="28">
        <f t="shared" si="73"/>
        <v>152</v>
      </c>
      <c r="AG520" s="28">
        <f>COUNTIF(AF$3:AF520,AF520)-1</f>
        <v>0</v>
      </c>
    </row>
    <row r="521" spans="27:33" x14ac:dyDescent="0.25">
      <c r="AA521" s="28">
        <f t="shared" si="70"/>
        <v>519</v>
      </c>
      <c r="AB521" s="28">
        <f t="shared" ca="1" si="71"/>
        <v>20152</v>
      </c>
      <c r="AC521" s="28">
        <f t="shared" ca="1" si="74"/>
        <v>22</v>
      </c>
      <c r="AD521" s="29">
        <f t="shared" ca="1" si="75"/>
        <v>4000</v>
      </c>
      <c r="AE521" s="28" t="str">
        <f t="shared" ca="1" si="72"/>
        <v>副本152</v>
      </c>
      <c r="AF521" s="28">
        <f t="shared" si="73"/>
        <v>152</v>
      </c>
      <c r="AG521" s="28">
        <f>COUNTIF(AF$3:AF521,AF521)-1</f>
        <v>1</v>
      </c>
    </row>
    <row r="522" spans="27:33" x14ac:dyDescent="0.25">
      <c r="AA522" s="28">
        <f t="shared" si="70"/>
        <v>520</v>
      </c>
      <c r="AB522" s="28">
        <f t="shared" ca="1" si="71"/>
        <v>20152</v>
      </c>
      <c r="AC522" s="28">
        <f t="shared" ca="1" si="74"/>
        <v>16</v>
      </c>
      <c r="AD522" s="29">
        <f t="shared" ca="1" si="75"/>
        <v>5000</v>
      </c>
      <c r="AE522" s="28" t="str">
        <f t="shared" ca="1" si="72"/>
        <v>副本152</v>
      </c>
      <c r="AF522" s="28">
        <f t="shared" si="73"/>
        <v>152</v>
      </c>
      <c r="AG522" s="28">
        <f>COUNTIF(AF$3:AF522,AF522)-1</f>
        <v>2</v>
      </c>
    </row>
    <row r="523" spans="27:33" x14ac:dyDescent="0.25">
      <c r="AA523" s="28">
        <f t="shared" si="70"/>
        <v>521</v>
      </c>
      <c r="AB523" s="28">
        <f t="shared" ca="1" si="71"/>
        <v>20152</v>
      </c>
      <c r="AC523" s="28">
        <f t="shared" ca="1" si="74"/>
        <v>13</v>
      </c>
      <c r="AD523" s="29">
        <f t="shared" ca="1" si="75"/>
        <v>6000</v>
      </c>
      <c r="AE523" s="28" t="str">
        <f t="shared" ca="1" si="72"/>
        <v>副本152</v>
      </c>
      <c r="AF523" s="28">
        <f t="shared" si="73"/>
        <v>152</v>
      </c>
      <c r="AG523" s="28">
        <f>COUNTIF(AF$3:AF523,AF523)-1</f>
        <v>3</v>
      </c>
    </row>
    <row r="524" spans="27:33" x14ac:dyDescent="0.25">
      <c r="AA524" s="28">
        <f t="shared" si="70"/>
        <v>522</v>
      </c>
      <c r="AB524" s="28">
        <f t="shared" ca="1" si="71"/>
        <v>20153</v>
      </c>
      <c r="AC524" s="28">
        <f t="shared" ca="1" si="74"/>
        <v>1</v>
      </c>
      <c r="AD524" s="29">
        <f t="shared" ca="1" si="75"/>
        <v>10000</v>
      </c>
      <c r="AE524" s="28" t="str">
        <f t="shared" ca="1" si="72"/>
        <v>副本153</v>
      </c>
      <c r="AF524" s="28">
        <f t="shared" si="73"/>
        <v>153</v>
      </c>
      <c r="AG524" s="28">
        <f>COUNTIF(AF$3:AF524,AF524)-1</f>
        <v>0</v>
      </c>
    </row>
    <row r="525" spans="27:33" x14ac:dyDescent="0.25">
      <c r="AA525" s="28">
        <f t="shared" si="70"/>
        <v>523</v>
      </c>
      <c r="AB525" s="28">
        <f t="shared" ca="1" si="71"/>
        <v>20153</v>
      </c>
      <c r="AC525" s="28">
        <f t="shared" ca="1" si="74"/>
        <v>22</v>
      </c>
      <c r="AD525" s="29">
        <f t="shared" ca="1" si="75"/>
        <v>4000</v>
      </c>
      <c r="AE525" s="28" t="str">
        <f t="shared" ca="1" si="72"/>
        <v>副本153</v>
      </c>
      <c r="AF525" s="28">
        <f t="shared" si="73"/>
        <v>153</v>
      </c>
      <c r="AG525" s="28">
        <f>COUNTIF(AF$3:AF525,AF525)-1</f>
        <v>1</v>
      </c>
    </row>
    <row r="526" spans="27:33" x14ac:dyDescent="0.25">
      <c r="AA526" s="28">
        <f t="shared" si="70"/>
        <v>524</v>
      </c>
      <c r="AB526" s="28">
        <f t="shared" ca="1" si="71"/>
        <v>20153</v>
      </c>
      <c r="AC526" s="28">
        <f t="shared" ca="1" si="74"/>
        <v>16</v>
      </c>
      <c r="AD526" s="29">
        <f t="shared" ca="1" si="75"/>
        <v>5000</v>
      </c>
      <c r="AE526" s="28" t="str">
        <f t="shared" ca="1" si="72"/>
        <v>副本153</v>
      </c>
      <c r="AF526" s="28">
        <f t="shared" si="73"/>
        <v>153</v>
      </c>
      <c r="AG526" s="28">
        <f>COUNTIF(AF$3:AF526,AF526)-1</f>
        <v>2</v>
      </c>
    </row>
    <row r="527" spans="27:33" x14ac:dyDescent="0.25">
      <c r="AA527" s="28">
        <f t="shared" si="70"/>
        <v>525</v>
      </c>
      <c r="AB527" s="28">
        <f t="shared" ca="1" si="71"/>
        <v>20153</v>
      </c>
      <c r="AC527" s="28">
        <f t="shared" ca="1" si="74"/>
        <v>13</v>
      </c>
      <c r="AD527" s="29">
        <f t="shared" ca="1" si="75"/>
        <v>6000</v>
      </c>
      <c r="AE527" s="28" t="str">
        <f t="shared" ca="1" si="72"/>
        <v>副本153</v>
      </c>
      <c r="AF527" s="28">
        <f t="shared" si="73"/>
        <v>153</v>
      </c>
      <c r="AG527" s="28">
        <f>COUNTIF(AF$3:AF527,AF527)-1</f>
        <v>3</v>
      </c>
    </row>
    <row r="528" spans="27:33" x14ac:dyDescent="0.25">
      <c r="AA528" s="28">
        <f t="shared" si="70"/>
        <v>526</v>
      </c>
      <c r="AB528" s="28">
        <f t="shared" ca="1" si="71"/>
        <v>20154</v>
      </c>
      <c r="AC528" s="28">
        <f t="shared" ca="1" si="74"/>
        <v>1</v>
      </c>
      <c r="AD528" s="29">
        <f t="shared" ca="1" si="75"/>
        <v>10000</v>
      </c>
      <c r="AE528" s="28" t="str">
        <f t="shared" ca="1" si="72"/>
        <v>副本154</v>
      </c>
      <c r="AF528" s="28">
        <f t="shared" si="73"/>
        <v>154</v>
      </c>
      <c r="AG528" s="28">
        <f>COUNTIF(AF$3:AF528,AF528)-1</f>
        <v>0</v>
      </c>
    </row>
    <row r="529" spans="27:33" x14ac:dyDescent="0.25">
      <c r="AA529" s="28">
        <f t="shared" si="70"/>
        <v>527</v>
      </c>
      <c r="AB529" s="28">
        <f t="shared" ca="1" si="71"/>
        <v>20154</v>
      </c>
      <c r="AC529" s="28">
        <f t="shared" ca="1" si="74"/>
        <v>22</v>
      </c>
      <c r="AD529" s="29">
        <f t="shared" ca="1" si="75"/>
        <v>4000</v>
      </c>
      <c r="AE529" s="28" t="str">
        <f t="shared" ca="1" si="72"/>
        <v>副本154</v>
      </c>
      <c r="AF529" s="28">
        <f t="shared" si="73"/>
        <v>154</v>
      </c>
      <c r="AG529" s="28">
        <f>COUNTIF(AF$3:AF529,AF529)-1</f>
        <v>1</v>
      </c>
    </row>
    <row r="530" spans="27:33" x14ac:dyDescent="0.25">
      <c r="AA530" s="28">
        <f t="shared" si="70"/>
        <v>528</v>
      </c>
      <c r="AB530" s="28">
        <f t="shared" ca="1" si="71"/>
        <v>20154</v>
      </c>
      <c r="AC530" s="28">
        <f t="shared" ca="1" si="74"/>
        <v>16</v>
      </c>
      <c r="AD530" s="29">
        <f t="shared" ca="1" si="75"/>
        <v>5000</v>
      </c>
      <c r="AE530" s="28" t="str">
        <f t="shared" ca="1" si="72"/>
        <v>副本154</v>
      </c>
      <c r="AF530" s="28">
        <f t="shared" si="73"/>
        <v>154</v>
      </c>
      <c r="AG530" s="28">
        <f>COUNTIF(AF$3:AF530,AF530)-1</f>
        <v>2</v>
      </c>
    </row>
    <row r="531" spans="27:33" x14ac:dyDescent="0.25">
      <c r="AA531" s="28">
        <f t="shared" si="70"/>
        <v>529</v>
      </c>
      <c r="AB531" s="28">
        <f t="shared" ca="1" si="71"/>
        <v>20154</v>
      </c>
      <c r="AC531" s="28">
        <f t="shared" ca="1" si="74"/>
        <v>13</v>
      </c>
      <c r="AD531" s="29">
        <f t="shared" ca="1" si="75"/>
        <v>6000</v>
      </c>
      <c r="AE531" s="28" t="str">
        <f t="shared" ca="1" si="72"/>
        <v>副本154</v>
      </c>
      <c r="AF531" s="28">
        <f t="shared" si="73"/>
        <v>154</v>
      </c>
      <c r="AG531" s="28">
        <f>COUNTIF(AF$3:AF531,AF531)-1</f>
        <v>3</v>
      </c>
    </row>
    <row r="532" spans="27:33" x14ac:dyDescent="0.25">
      <c r="AA532" s="28">
        <f t="shared" si="70"/>
        <v>530</v>
      </c>
      <c r="AB532" s="28">
        <f t="shared" ca="1" si="71"/>
        <v>30001</v>
      </c>
      <c r="AC532" s="28">
        <f t="shared" ca="1" si="74"/>
        <v>23</v>
      </c>
      <c r="AD532" s="29">
        <f t="shared" ca="1" si="75"/>
        <v>5000</v>
      </c>
      <c r="AE532" s="28" t="str">
        <f t="shared" ca="1" si="72"/>
        <v>经验卡1</v>
      </c>
      <c r="AF532" s="28">
        <f t="shared" si="73"/>
        <v>155</v>
      </c>
      <c r="AG532" s="28">
        <f>COUNTIF(AF$3:AF532,AF532)-1</f>
        <v>0</v>
      </c>
    </row>
    <row r="533" spans="27:33" x14ac:dyDescent="0.25">
      <c r="AA533" s="28">
        <f t="shared" si="70"/>
        <v>531</v>
      </c>
      <c r="AB533" s="28">
        <f t="shared" ca="1" si="71"/>
        <v>70001</v>
      </c>
      <c r="AC533" s="28">
        <f t="shared" ca="1" si="74"/>
        <v>24</v>
      </c>
      <c r="AD533" s="29">
        <f t="shared" ca="1" si="75"/>
        <v>10000</v>
      </c>
      <c r="AE533" s="28" t="str">
        <f t="shared" ca="1" si="72"/>
        <v>装备设计图1</v>
      </c>
      <c r="AF533" s="28">
        <f t="shared" si="73"/>
        <v>156</v>
      </c>
      <c r="AG533" s="28">
        <f>COUNTIF(AF$3:AF533,AF533)-1</f>
        <v>0</v>
      </c>
    </row>
    <row r="534" spans="27:33" x14ac:dyDescent="0.25">
      <c r="AA534" s="28">
        <f t="shared" si="70"/>
        <v>532</v>
      </c>
      <c r="AB534" s="28">
        <f t="shared" ca="1" si="71"/>
        <v>70002</v>
      </c>
      <c r="AC534" s="28">
        <f t="shared" ca="1" si="74"/>
        <v>25</v>
      </c>
      <c r="AD534" s="29">
        <f t="shared" ca="1" si="75"/>
        <v>10000</v>
      </c>
      <c r="AE534" s="28" t="str">
        <f t="shared" ca="1" si="72"/>
        <v>装备设计图2</v>
      </c>
      <c r="AF534" s="28">
        <f t="shared" si="73"/>
        <v>157</v>
      </c>
      <c r="AG534" s="28">
        <f>COUNTIF(AF$3:AF534,AF534)-1</f>
        <v>0</v>
      </c>
    </row>
    <row r="535" spans="27:33" x14ac:dyDescent="0.25">
      <c r="AA535" s="28">
        <f t="shared" si="70"/>
        <v>533</v>
      </c>
      <c r="AB535" s="28">
        <f t="shared" ca="1" si="71"/>
        <v>70003</v>
      </c>
      <c r="AC535" s="28">
        <f t="shared" ca="1" si="74"/>
        <v>26</v>
      </c>
      <c r="AD535" s="29">
        <f t="shared" ca="1" si="75"/>
        <v>10000</v>
      </c>
      <c r="AE535" s="28" t="str">
        <f t="shared" ca="1" si="72"/>
        <v>装备设计图3</v>
      </c>
      <c r="AF535" s="28">
        <f t="shared" si="73"/>
        <v>158</v>
      </c>
      <c r="AG535" s="28">
        <f>COUNTIF(AF$3:AF535,AF535)-1</f>
        <v>0</v>
      </c>
    </row>
    <row r="536" spans="27:33" x14ac:dyDescent="0.25">
      <c r="AA536" s="28">
        <f t="shared" si="70"/>
        <v>534</v>
      </c>
      <c r="AB536" s="28">
        <f t="shared" ca="1" si="71"/>
        <v>70004</v>
      </c>
      <c r="AC536" s="28">
        <f t="shared" ca="1" si="74"/>
        <v>27</v>
      </c>
      <c r="AD536" s="29">
        <f t="shared" ca="1" si="75"/>
        <v>10000</v>
      </c>
      <c r="AE536" s="28" t="str">
        <f t="shared" ca="1" si="72"/>
        <v>装备设计图4</v>
      </c>
      <c r="AF536" s="28">
        <f t="shared" si="73"/>
        <v>159</v>
      </c>
      <c r="AG536" s="28">
        <f>COUNTIF(AF$3:AF536,AF536)-1</f>
        <v>0</v>
      </c>
    </row>
    <row r="537" spans="27:33" x14ac:dyDescent="0.25">
      <c r="AA537" s="28">
        <f t="shared" si="70"/>
        <v>535</v>
      </c>
      <c r="AB537" s="28">
        <f t="shared" ca="1" si="71"/>
        <v>70005</v>
      </c>
      <c r="AC537" s="28">
        <f t="shared" ca="1" si="74"/>
        <v>28</v>
      </c>
      <c r="AD537" s="29">
        <f t="shared" ca="1" si="75"/>
        <v>10000</v>
      </c>
      <c r="AE537" s="28" t="str">
        <f t="shared" ca="1" si="72"/>
        <v>装备设计图5</v>
      </c>
      <c r="AF537" s="28">
        <f t="shared" si="73"/>
        <v>160</v>
      </c>
      <c r="AG537" s="28">
        <f>COUNTIF(AF$3:AF537,AF537)-1</f>
        <v>0</v>
      </c>
    </row>
    <row r="538" spans="27:33" x14ac:dyDescent="0.25">
      <c r="AA538" s="28">
        <f t="shared" si="70"/>
        <v>536</v>
      </c>
      <c r="AB538" s="28">
        <f t="shared" ca="1" si="71"/>
        <v>70006</v>
      </c>
      <c r="AC538" s="28">
        <f t="shared" ca="1" si="74"/>
        <v>29</v>
      </c>
      <c r="AD538" s="29">
        <f t="shared" ca="1" si="75"/>
        <v>10000</v>
      </c>
      <c r="AE538" s="28" t="str">
        <f t="shared" ca="1" si="72"/>
        <v>装备设计图6</v>
      </c>
      <c r="AF538" s="28">
        <f t="shared" si="73"/>
        <v>161</v>
      </c>
      <c r="AG538" s="28">
        <f>COUNTIF(AF$3:AF538,AF538)-1</f>
        <v>0</v>
      </c>
    </row>
    <row r="539" spans="27:33" x14ac:dyDescent="0.25">
      <c r="AA539" s="28">
        <f t="shared" si="70"/>
        <v>537</v>
      </c>
      <c r="AB539" s="28">
        <f t="shared" ca="1" si="71"/>
        <v>70007</v>
      </c>
      <c r="AC539" s="28">
        <f t="shared" ca="1" si="74"/>
        <v>30</v>
      </c>
      <c r="AD539" s="29">
        <f t="shared" ca="1" si="75"/>
        <v>10000</v>
      </c>
      <c r="AE539" s="28" t="str">
        <f t="shared" ca="1" si="72"/>
        <v>装备设计图7</v>
      </c>
      <c r="AF539" s="28">
        <f t="shared" si="73"/>
        <v>162</v>
      </c>
      <c r="AG539" s="28">
        <f>COUNTIF(AF$3:AF539,AF539)-1</f>
        <v>0</v>
      </c>
    </row>
    <row r="540" spans="27:33" x14ac:dyDescent="0.25">
      <c r="AA540" s="28">
        <f t="shared" si="70"/>
        <v>538</v>
      </c>
      <c r="AB540" s="28">
        <f t="shared" ca="1" si="71"/>
        <v>10001</v>
      </c>
      <c r="AC540" s="28">
        <f t="shared" ca="1" si="74"/>
        <v>31</v>
      </c>
      <c r="AD540" s="29">
        <f t="shared" ca="1" si="75"/>
        <v>10000</v>
      </c>
      <c r="AE540" s="28" t="str">
        <f t="shared" ca="1" si="72"/>
        <v>卡碎片1</v>
      </c>
      <c r="AF540" s="28">
        <f t="shared" si="73"/>
        <v>163</v>
      </c>
      <c r="AG540" s="28">
        <f>COUNTIF(AF$3:AF540,AF540)-1</f>
        <v>0</v>
      </c>
    </row>
    <row r="541" spans="27:33" x14ac:dyDescent="0.25">
      <c r="AA541" s="28">
        <f t="shared" si="70"/>
        <v>539</v>
      </c>
      <c r="AB541" s="28">
        <f t="shared" ca="1" si="71"/>
        <v>80001</v>
      </c>
      <c r="AC541" s="28">
        <f t="shared" ca="1" si="74"/>
        <v>54</v>
      </c>
      <c r="AD541" s="29">
        <f t="shared" ca="1" si="75"/>
        <v>10000</v>
      </c>
      <c r="AE541" s="28" t="str">
        <f t="shared" ca="1" si="72"/>
        <v>经验卡副本1</v>
      </c>
      <c r="AF541" s="28">
        <f t="shared" si="73"/>
        <v>164</v>
      </c>
      <c r="AG541" s="28">
        <f>COUNTIF(AF$3:AF541,AF541)-1</f>
        <v>0</v>
      </c>
    </row>
    <row r="542" spans="27:33" x14ac:dyDescent="0.25">
      <c r="AA542" s="28">
        <f t="shared" si="70"/>
        <v>540</v>
      </c>
      <c r="AB542" s="28">
        <f t="shared" ca="1" si="71"/>
        <v>80001</v>
      </c>
      <c r="AC542" s="28">
        <f t="shared" ca="1" si="74"/>
        <v>55</v>
      </c>
      <c r="AD542" s="29">
        <f t="shared" ca="1" si="75"/>
        <v>10000</v>
      </c>
      <c r="AE542" s="28" t="str">
        <f t="shared" ca="1" si="72"/>
        <v>经验卡副本1</v>
      </c>
      <c r="AF542" s="28">
        <f t="shared" si="73"/>
        <v>164</v>
      </c>
      <c r="AG542" s="28">
        <f>COUNTIF(AF$3:AF542,AF542)-1</f>
        <v>1</v>
      </c>
    </row>
    <row r="543" spans="27:33" x14ac:dyDescent="0.25">
      <c r="AA543" s="28">
        <f t="shared" ref="AA543:AA606" si="76">IF(ROW(A541)&gt;MAX(D:D),"",ROW(A541))</f>
        <v>541</v>
      </c>
      <c r="AB543" s="28">
        <f t="shared" ref="AB543:AB606" ca="1" si="77">OFFSET(A$2,$AF543,)</f>
        <v>80002</v>
      </c>
      <c r="AC543" s="28">
        <f t="shared" ca="1" si="74"/>
        <v>54</v>
      </c>
      <c r="AD543" s="29">
        <f t="shared" ca="1" si="75"/>
        <v>10000</v>
      </c>
      <c r="AE543" s="28" t="str">
        <f t="shared" ref="AE543:AE606" ca="1" si="78">OFFSET(B$2,$AF543,)</f>
        <v>经验卡副本2</v>
      </c>
      <c r="AF543" s="28">
        <f t="shared" ref="AF543:AF606" si="79">FREQUENCY(D:D,AA543-0.1)+1</f>
        <v>165</v>
      </c>
      <c r="AG543" s="28">
        <f>COUNTIF(AF$3:AF543,AF543)-1</f>
        <v>0</v>
      </c>
    </row>
    <row r="544" spans="27:33" x14ac:dyDescent="0.25">
      <c r="AA544" s="28">
        <f t="shared" si="76"/>
        <v>542</v>
      </c>
      <c r="AB544" s="28">
        <f t="shared" ca="1" si="77"/>
        <v>80002</v>
      </c>
      <c r="AC544" s="28">
        <f t="shared" ca="1" si="74"/>
        <v>56</v>
      </c>
      <c r="AD544" s="29">
        <f t="shared" ca="1" si="75"/>
        <v>10000</v>
      </c>
      <c r="AE544" s="28" t="str">
        <f t="shared" ca="1" si="78"/>
        <v>经验卡副本2</v>
      </c>
      <c r="AF544" s="28">
        <f t="shared" si="79"/>
        <v>165</v>
      </c>
      <c r="AG544" s="28">
        <f>COUNTIF(AF$3:AF544,AF544)-1</f>
        <v>1</v>
      </c>
    </row>
    <row r="545" spans="27:33" x14ac:dyDescent="0.25">
      <c r="AA545" s="28">
        <f t="shared" si="76"/>
        <v>543</v>
      </c>
      <c r="AB545" s="28">
        <f t="shared" ca="1" si="77"/>
        <v>80003</v>
      </c>
      <c r="AC545" s="28">
        <f t="shared" ca="1" si="74"/>
        <v>54</v>
      </c>
      <c r="AD545" s="29">
        <f t="shared" ca="1" si="75"/>
        <v>10000</v>
      </c>
      <c r="AE545" s="28" t="str">
        <f t="shared" ca="1" si="78"/>
        <v>经验卡副本3</v>
      </c>
      <c r="AF545" s="28">
        <f t="shared" si="79"/>
        <v>166</v>
      </c>
      <c r="AG545" s="28">
        <f>COUNTIF(AF$3:AF545,AF545)-1</f>
        <v>0</v>
      </c>
    </row>
    <row r="546" spans="27:33" x14ac:dyDescent="0.25">
      <c r="AA546" s="28">
        <f t="shared" si="76"/>
        <v>544</v>
      </c>
      <c r="AB546" s="28">
        <f t="shared" ca="1" si="77"/>
        <v>80003</v>
      </c>
      <c r="AC546" s="28">
        <f t="shared" ca="1" si="74"/>
        <v>57</v>
      </c>
      <c r="AD546" s="29">
        <f t="shared" ca="1" si="75"/>
        <v>10000</v>
      </c>
      <c r="AE546" s="28" t="str">
        <f t="shared" ca="1" si="78"/>
        <v>经验卡副本3</v>
      </c>
      <c r="AF546" s="28">
        <f t="shared" si="79"/>
        <v>166</v>
      </c>
      <c r="AG546" s="28">
        <f>COUNTIF(AF$3:AF546,AF546)-1</f>
        <v>1</v>
      </c>
    </row>
    <row r="547" spans="27:33" x14ac:dyDescent="0.25">
      <c r="AA547" s="28">
        <f t="shared" si="76"/>
        <v>545</v>
      </c>
      <c r="AB547" s="28">
        <f t="shared" ca="1" si="77"/>
        <v>80004</v>
      </c>
      <c r="AC547" s="28">
        <f t="shared" ca="1" si="74"/>
        <v>54</v>
      </c>
      <c r="AD547" s="29">
        <f t="shared" ca="1" si="75"/>
        <v>10000</v>
      </c>
      <c r="AE547" s="28" t="str">
        <f t="shared" ca="1" si="78"/>
        <v>经验卡副本4</v>
      </c>
      <c r="AF547" s="28">
        <f t="shared" si="79"/>
        <v>167</v>
      </c>
      <c r="AG547" s="28">
        <f>COUNTIF(AF$3:AF547,AF547)-1</f>
        <v>0</v>
      </c>
    </row>
    <row r="548" spans="27:33" x14ac:dyDescent="0.25">
      <c r="AA548" s="28">
        <f t="shared" si="76"/>
        <v>546</v>
      </c>
      <c r="AB548" s="28">
        <f t="shared" ca="1" si="77"/>
        <v>80004</v>
      </c>
      <c r="AC548" s="28">
        <f t="shared" ca="1" si="74"/>
        <v>58</v>
      </c>
      <c r="AD548" s="29">
        <f t="shared" ca="1" si="75"/>
        <v>10000</v>
      </c>
      <c r="AE548" s="28" t="str">
        <f t="shared" ca="1" si="78"/>
        <v>经验卡副本4</v>
      </c>
      <c r="AF548" s="28">
        <f t="shared" si="79"/>
        <v>167</v>
      </c>
      <c r="AG548" s="28">
        <f>COUNTIF(AF$3:AF548,AF548)-1</f>
        <v>1</v>
      </c>
    </row>
    <row r="549" spans="27:33" x14ac:dyDescent="0.25">
      <c r="AA549" s="28">
        <f t="shared" si="76"/>
        <v>547</v>
      </c>
      <c r="AB549" s="28">
        <f t="shared" ca="1" si="77"/>
        <v>80005</v>
      </c>
      <c r="AC549" s="28">
        <f t="shared" ca="1" si="74"/>
        <v>54</v>
      </c>
      <c r="AD549" s="29">
        <f t="shared" ca="1" si="75"/>
        <v>10000</v>
      </c>
      <c r="AE549" s="28" t="str">
        <f t="shared" ca="1" si="78"/>
        <v>经验卡副本5</v>
      </c>
      <c r="AF549" s="28">
        <f t="shared" si="79"/>
        <v>168</v>
      </c>
      <c r="AG549" s="28">
        <f>COUNTIF(AF$3:AF549,AF549)-1</f>
        <v>0</v>
      </c>
    </row>
    <row r="550" spans="27:33" x14ac:dyDescent="0.25">
      <c r="AA550" s="28">
        <f t="shared" si="76"/>
        <v>548</v>
      </c>
      <c r="AB550" s="28">
        <f t="shared" ca="1" si="77"/>
        <v>80005</v>
      </c>
      <c r="AC550" s="28">
        <f t="shared" ca="1" si="74"/>
        <v>59</v>
      </c>
      <c r="AD550" s="29">
        <f t="shared" ca="1" si="75"/>
        <v>10000</v>
      </c>
      <c r="AE550" s="28" t="str">
        <f t="shared" ca="1" si="78"/>
        <v>经验卡副本5</v>
      </c>
      <c r="AF550" s="28">
        <f t="shared" si="79"/>
        <v>168</v>
      </c>
      <c r="AG550" s="28">
        <f>COUNTIF(AF$3:AF550,AF550)-1</f>
        <v>1</v>
      </c>
    </row>
    <row r="551" spans="27:33" x14ac:dyDescent="0.25">
      <c r="AA551" s="28">
        <f t="shared" si="76"/>
        <v>549</v>
      </c>
      <c r="AB551" s="28">
        <f t="shared" ca="1" si="77"/>
        <v>80006</v>
      </c>
      <c r="AC551" s="28">
        <f t="shared" ca="1" si="74"/>
        <v>54</v>
      </c>
      <c r="AD551" s="29">
        <f t="shared" ca="1" si="75"/>
        <v>10000</v>
      </c>
      <c r="AE551" s="28" t="str">
        <f t="shared" ca="1" si="78"/>
        <v>经验卡副本6</v>
      </c>
      <c r="AF551" s="28">
        <f t="shared" si="79"/>
        <v>169</v>
      </c>
      <c r="AG551" s="28">
        <f>COUNTIF(AF$3:AF551,AF551)-1</f>
        <v>0</v>
      </c>
    </row>
    <row r="552" spans="27:33" x14ac:dyDescent="0.25">
      <c r="AA552" s="28">
        <f t="shared" si="76"/>
        <v>550</v>
      </c>
      <c r="AB552" s="28">
        <f t="shared" ca="1" si="77"/>
        <v>80006</v>
      </c>
      <c r="AC552" s="28">
        <f t="shared" ca="1" si="74"/>
        <v>60</v>
      </c>
      <c r="AD552" s="29">
        <f t="shared" ca="1" si="75"/>
        <v>10000</v>
      </c>
      <c r="AE552" s="28" t="str">
        <f t="shared" ca="1" si="78"/>
        <v>经验卡副本6</v>
      </c>
      <c r="AF552" s="28">
        <f t="shared" si="79"/>
        <v>169</v>
      </c>
      <c r="AG552" s="28">
        <f>COUNTIF(AF$3:AF552,AF552)-1</f>
        <v>1</v>
      </c>
    </row>
    <row r="553" spans="27:33" x14ac:dyDescent="0.25">
      <c r="AA553" s="28">
        <f t="shared" si="76"/>
        <v>551</v>
      </c>
      <c r="AB553" s="28">
        <f t="shared" ca="1" si="77"/>
        <v>60001</v>
      </c>
      <c r="AC553" s="28">
        <f t="shared" ca="1" si="74"/>
        <v>32</v>
      </c>
      <c r="AD553" s="29">
        <f t="shared" ca="1" si="75"/>
        <v>10000</v>
      </c>
      <c r="AE553" s="28" t="str">
        <f t="shared" ca="1" si="78"/>
        <v>融合副本1</v>
      </c>
      <c r="AF553" s="28">
        <f t="shared" si="79"/>
        <v>170</v>
      </c>
      <c r="AG553" s="28">
        <f>COUNTIF(AF$3:AF553,AF553)-1</f>
        <v>0</v>
      </c>
    </row>
    <row r="554" spans="27:33" x14ac:dyDescent="0.25">
      <c r="AA554" s="28">
        <f t="shared" si="76"/>
        <v>552</v>
      </c>
      <c r="AB554" s="28">
        <f t="shared" ca="1" si="77"/>
        <v>60001</v>
      </c>
      <c r="AC554" s="28">
        <f t="shared" ca="1" si="74"/>
        <v>33</v>
      </c>
      <c r="AD554" s="29">
        <f t="shared" ca="1" si="75"/>
        <v>9000</v>
      </c>
      <c r="AE554" s="28" t="str">
        <f t="shared" ca="1" si="78"/>
        <v>融合副本1</v>
      </c>
      <c r="AF554" s="28">
        <f t="shared" si="79"/>
        <v>170</v>
      </c>
      <c r="AG554" s="28">
        <f>COUNTIF(AF$3:AF554,AF554)-1</f>
        <v>1</v>
      </c>
    </row>
    <row r="555" spans="27:33" x14ac:dyDescent="0.25">
      <c r="AA555" s="28">
        <f t="shared" si="76"/>
        <v>553</v>
      </c>
      <c r="AB555" s="28">
        <f t="shared" ca="1" si="77"/>
        <v>60001</v>
      </c>
      <c r="AC555" s="28">
        <f t="shared" ca="1" si="74"/>
        <v>34</v>
      </c>
      <c r="AD555" s="29">
        <f t="shared" ca="1" si="75"/>
        <v>9000</v>
      </c>
      <c r="AE555" s="28" t="str">
        <f t="shared" ca="1" si="78"/>
        <v>融合副本1</v>
      </c>
      <c r="AF555" s="28">
        <f t="shared" si="79"/>
        <v>170</v>
      </c>
      <c r="AG555" s="28">
        <f>COUNTIF(AF$3:AF555,AF555)-1</f>
        <v>2</v>
      </c>
    </row>
    <row r="556" spans="27:33" x14ac:dyDescent="0.25">
      <c r="AA556" s="28">
        <f t="shared" si="76"/>
        <v>554</v>
      </c>
      <c r="AB556" s="28">
        <f t="shared" ca="1" si="77"/>
        <v>60001</v>
      </c>
      <c r="AC556" s="28">
        <f t="shared" ca="1" si="74"/>
        <v>35</v>
      </c>
      <c r="AD556" s="29">
        <f t="shared" ca="1" si="75"/>
        <v>9000</v>
      </c>
      <c r="AE556" s="28" t="str">
        <f t="shared" ca="1" si="78"/>
        <v>融合副本1</v>
      </c>
      <c r="AF556" s="28">
        <f t="shared" si="79"/>
        <v>170</v>
      </c>
      <c r="AG556" s="28">
        <f>COUNTIF(AF$3:AF556,AF556)-1</f>
        <v>3</v>
      </c>
    </row>
    <row r="557" spans="27:33" x14ac:dyDescent="0.25">
      <c r="AA557" s="28">
        <f t="shared" si="76"/>
        <v>555</v>
      </c>
      <c r="AB557" s="28">
        <f t="shared" ca="1" si="77"/>
        <v>60002</v>
      </c>
      <c r="AC557" s="28">
        <f t="shared" ca="1" si="74"/>
        <v>32</v>
      </c>
      <c r="AD557" s="29">
        <f t="shared" ca="1" si="75"/>
        <v>10000</v>
      </c>
      <c r="AE557" s="28" t="str">
        <f t="shared" ca="1" si="78"/>
        <v>融合副本2</v>
      </c>
      <c r="AF557" s="28">
        <f t="shared" si="79"/>
        <v>171</v>
      </c>
      <c r="AG557" s="28">
        <f>COUNTIF(AF$3:AF557,AF557)-1</f>
        <v>0</v>
      </c>
    </row>
    <row r="558" spans="27:33" x14ac:dyDescent="0.25">
      <c r="AA558" s="28">
        <f t="shared" si="76"/>
        <v>556</v>
      </c>
      <c r="AB558" s="28">
        <f t="shared" ca="1" si="77"/>
        <v>60002</v>
      </c>
      <c r="AC558" s="28">
        <f t="shared" ca="1" si="74"/>
        <v>36</v>
      </c>
      <c r="AD558" s="29">
        <f t="shared" ca="1" si="75"/>
        <v>8000</v>
      </c>
      <c r="AE558" s="28" t="str">
        <f t="shared" ca="1" si="78"/>
        <v>融合副本2</v>
      </c>
      <c r="AF558" s="28">
        <f t="shared" si="79"/>
        <v>171</v>
      </c>
      <c r="AG558" s="28">
        <f>COUNTIF(AF$3:AF558,AF558)-1</f>
        <v>1</v>
      </c>
    </row>
    <row r="559" spans="27:33" x14ac:dyDescent="0.25">
      <c r="AA559" s="28">
        <f t="shared" si="76"/>
        <v>557</v>
      </c>
      <c r="AB559" s="28">
        <f t="shared" ca="1" si="77"/>
        <v>60002</v>
      </c>
      <c r="AC559" s="28">
        <f t="shared" ca="1" si="74"/>
        <v>37</v>
      </c>
      <c r="AD559" s="29">
        <f t="shared" ca="1" si="75"/>
        <v>8000</v>
      </c>
      <c r="AE559" s="28" t="str">
        <f t="shared" ca="1" si="78"/>
        <v>融合副本2</v>
      </c>
      <c r="AF559" s="28">
        <f t="shared" si="79"/>
        <v>171</v>
      </c>
      <c r="AG559" s="28">
        <f>COUNTIF(AF$3:AF559,AF559)-1</f>
        <v>2</v>
      </c>
    </row>
    <row r="560" spans="27:33" x14ac:dyDescent="0.25">
      <c r="AA560" s="28">
        <f t="shared" si="76"/>
        <v>558</v>
      </c>
      <c r="AB560" s="28">
        <f t="shared" ca="1" si="77"/>
        <v>60002</v>
      </c>
      <c r="AC560" s="28">
        <f t="shared" ca="1" si="74"/>
        <v>38</v>
      </c>
      <c r="AD560" s="29">
        <f t="shared" ca="1" si="75"/>
        <v>8000</v>
      </c>
      <c r="AE560" s="28" t="str">
        <f t="shared" ca="1" si="78"/>
        <v>融合副本2</v>
      </c>
      <c r="AF560" s="28">
        <f t="shared" si="79"/>
        <v>171</v>
      </c>
      <c r="AG560" s="28">
        <f>COUNTIF(AF$3:AF560,AF560)-1</f>
        <v>3</v>
      </c>
    </row>
    <row r="561" spans="27:33" x14ac:dyDescent="0.25">
      <c r="AA561" s="28">
        <f t="shared" si="76"/>
        <v>559</v>
      </c>
      <c r="AB561" s="28">
        <f t="shared" ca="1" si="77"/>
        <v>60003</v>
      </c>
      <c r="AC561" s="28">
        <f t="shared" ca="1" si="74"/>
        <v>32</v>
      </c>
      <c r="AD561" s="29">
        <f t="shared" ca="1" si="75"/>
        <v>10000</v>
      </c>
      <c r="AE561" s="28" t="str">
        <f t="shared" ca="1" si="78"/>
        <v>融合副本3</v>
      </c>
      <c r="AF561" s="28">
        <f t="shared" si="79"/>
        <v>172</v>
      </c>
      <c r="AG561" s="28">
        <f>COUNTIF(AF$3:AF561,AF561)-1</f>
        <v>0</v>
      </c>
    </row>
    <row r="562" spans="27:33" x14ac:dyDescent="0.25">
      <c r="AA562" s="28">
        <f t="shared" si="76"/>
        <v>560</v>
      </c>
      <c r="AB562" s="28">
        <f t="shared" ca="1" si="77"/>
        <v>60003</v>
      </c>
      <c r="AC562" s="28">
        <f t="shared" ca="1" si="74"/>
        <v>39</v>
      </c>
      <c r="AD562" s="29">
        <f t="shared" ca="1" si="75"/>
        <v>7000</v>
      </c>
      <c r="AE562" s="28" t="str">
        <f t="shared" ca="1" si="78"/>
        <v>融合副本3</v>
      </c>
      <c r="AF562" s="28">
        <f t="shared" si="79"/>
        <v>172</v>
      </c>
      <c r="AG562" s="28">
        <f>COUNTIF(AF$3:AF562,AF562)-1</f>
        <v>1</v>
      </c>
    </row>
    <row r="563" spans="27:33" x14ac:dyDescent="0.25">
      <c r="AA563" s="28">
        <f t="shared" si="76"/>
        <v>561</v>
      </c>
      <c r="AB563" s="28">
        <f t="shared" ca="1" si="77"/>
        <v>60003</v>
      </c>
      <c r="AC563" s="28">
        <f t="shared" ca="1" si="74"/>
        <v>40</v>
      </c>
      <c r="AD563" s="29">
        <f t="shared" ca="1" si="75"/>
        <v>7000</v>
      </c>
      <c r="AE563" s="28" t="str">
        <f t="shared" ca="1" si="78"/>
        <v>融合副本3</v>
      </c>
      <c r="AF563" s="28">
        <f t="shared" si="79"/>
        <v>172</v>
      </c>
      <c r="AG563" s="28">
        <f>COUNTIF(AF$3:AF563,AF563)-1</f>
        <v>2</v>
      </c>
    </row>
    <row r="564" spans="27:33" x14ac:dyDescent="0.25">
      <c r="AA564" s="28">
        <f t="shared" si="76"/>
        <v>562</v>
      </c>
      <c r="AB564" s="28">
        <f t="shared" ca="1" si="77"/>
        <v>60003</v>
      </c>
      <c r="AC564" s="28">
        <f t="shared" ca="1" si="74"/>
        <v>41</v>
      </c>
      <c r="AD564" s="29">
        <f t="shared" ca="1" si="75"/>
        <v>7000</v>
      </c>
      <c r="AE564" s="28" t="str">
        <f t="shared" ca="1" si="78"/>
        <v>融合副本3</v>
      </c>
      <c r="AF564" s="28">
        <f t="shared" si="79"/>
        <v>172</v>
      </c>
      <c r="AG564" s="28">
        <f>COUNTIF(AF$3:AF564,AF564)-1</f>
        <v>3</v>
      </c>
    </row>
    <row r="565" spans="27:33" x14ac:dyDescent="0.25">
      <c r="AA565" s="28">
        <f t="shared" si="76"/>
        <v>563</v>
      </c>
      <c r="AB565" s="28">
        <f t="shared" ca="1" si="77"/>
        <v>60004</v>
      </c>
      <c r="AC565" s="28">
        <f t="shared" ca="1" si="74"/>
        <v>32</v>
      </c>
      <c r="AD565" s="29">
        <f t="shared" ca="1" si="75"/>
        <v>10000</v>
      </c>
      <c r="AE565" s="28" t="str">
        <f t="shared" ca="1" si="78"/>
        <v>融合副本4</v>
      </c>
      <c r="AF565" s="28">
        <f t="shared" si="79"/>
        <v>173</v>
      </c>
      <c r="AG565" s="28">
        <f>COUNTIF(AF$3:AF565,AF565)-1</f>
        <v>0</v>
      </c>
    </row>
    <row r="566" spans="27:33" x14ac:dyDescent="0.25">
      <c r="AA566" s="28">
        <f t="shared" si="76"/>
        <v>564</v>
      </c>
      <c r="AB566" s="28">
        <f t="shared" ca="1" si="77"/>
        <v>60004</v>
      </c>
      <c r="AC566" s="28">
        <f t="shared" ca="1" si="74"/>
        <v>42</v>
      </c>
      <c r="AD566" s="29">
        <f t="shared" ca="1" si="75"/>
        <v>6000</v>
      </c>
      <c r="AE566" s="28" t="str">
        <f t="shared" ca="1" si="78"/>
        <v>融合副本4</v>
      </c>
      <c r="AF566" s="28">
        <f t="shared" si="79"/>
        <v>173</v>
      </c>
      <c r="AG566" s="28">
        <f>COUNTIF(AF$3:AF566,AF566)-1</f>
        <v>1</v>
      </c>
    </row>
    <row r="567" spans="27:33" x14ac:dyDescent="0.25">
      <c r="AA567" s="28">
        <f t="shared" si="76"/>
        <v>565</v>
      </c>
      <c r="AB567" s="28">
        <f t="shared" ca="1" si="77"/>
        <v>60004</v>
      </c>
      <c r="AC567" s="28">
        <f t="shared" ca="1" si="74"/>
        <v>43</v>
      </c>
      <c r="AD567" s="29">
        <f t="shared" ca="1" si="75"/>
        <v>6000</v>
      </c>
      <c r="AE567" s="28" t="str">
        <f t="shared" ca="1" si="78"/>
        <v>融合副本4</v>
      </c>
      <c r="AF567" s="28">
        <f t="shared" si="79"/>
        <v>173</v>
      </c>
      <c r="AG567" s="28">
        <f>COUNTIF(AF$3:AF567,AF567)-1</f>
        <v>2</v>
      </c>
    </row>
    <row r="568" spans="27:33" x14ac:dyDescent="0.25">
      <c r="AA568" s="28">
        <f t="shared" si="76"/>
        <v>566</v>
      </c>
      <c r="AB568" s="28">
        <f t="shared" ca="1" si="77"/>
        <v>60004</v>
      </c>
      <c r="AC568" s="28">
        <f t="shared" ca="1" si="74"/>
        <v>44</v>
      </c>
      <c r="AD568" s="29">
        <f t="shared" ca="1" si="75"/>
        <v>6000</v>
      </c>
      <c r="AE568" s="28" t="str">
        <f t="shared" ca="1" si="78"/>
        <v>融合副本4</v>
      </c>
      <c r="AF568" s="28">
        <f t="shared" si="79"/>
        <v>173</v>
      </c>
      <c r="AG568" s="28">
        <f>COUNTIF(AF$3:AF568,AF568)-1</f>
        <v>3</v>
      </c>
    </row>
    <row r="569" spans="27:33" x14ac:dyDescent="0.25">
      <c r="AA569" s="28">
        <f t="shared" si="76"/>
        <v>567</v>
      </c>
      <c r="AB569" s="28">
        <f t="shared" ca="1" si="77"/>
        <v>60005</v>
      </c>
      <c r="AC569" s="28">
        <f t="shared" ca="1" si="74"/>
        <v>32</v>
      </c>
      <c r="AD569" s="29">
        <f t="shared" ca="1" si="75"/>
        <v>10000</v>
      </c>
      <c r="AE569" s="28" t="str">
        <f t="shared" ca="1" si="78"/>
        <v>融合副本5</v>
      </c>
      <c r="AF569" s="28">
        <f t="shared" si="79"/>
        <v>174</v>
      </c>
      <c r="AG569" s="28">
        <f>COUNTIF(AF$3:AF569,AF569)-1</f>
        <v>0</v>
      </c>
    </row>
    <row r="570" spans="27:33" x14ac:dyDescent="0.25">
      <c r="AA570" s="28">
        <f t="shared" si="76"/>
        <v>568</v>
      </c>
      <c r="AB570" s="28">
        <f t="shared" ca="1" si="77"/>
        <v>60005</v>
      </c>
      <c r="AC570" s="28">
        <f t="shared" ca="1" si="74"/>
        <v>45</v>
      </c>
      <c r="AD570" s="29">
        <f t="shared" ca="1" si="75"/>
        <v>5000</v>
      </c>
      <c r="AE570" s="28" t="str">
        <f t="shared" ca="1" si="78"/>
        <v>融合副本5</v>
      </c>
      <c r="AF570" s="28">
        <f t="shared" si="79"/>
        <v>174</v>
      </c>
      <c r="AG570" s="28">
        <f>COUNTIF(AF$3:AF570,AF570)-1</f>
        <v>1</v>
      </c>
    </row>
    <row r="571" spans="27:33" x14ac:dyDescent="0.25">
      <c r="AA571" s="28">
        <f t="shared" si="76"/>
        <v>569</v>
      </c>
      <c r="AB571" s="28">
        <f t="shared" ca="1" si="77"/>
        <v>60005</v>
      </c>
      <c r="AC571" s="28">
        <f t="shared" ca="1" si="74"/>
        <v>46</v>
      </c>
      <c r="AD571" s="29">
        <f t="shared" ca="1" si="75"/>
        <v>5000</v>
      </c>
      <c r="AE571" s="28" t="str">
        <f t="shared" ca="1" si="78"/>
        <v>融合副本5</v>
      </c>
      <c r="AF571" s="28">
        <f t="shared" si="79"/>
        <v>174</v>
      </c>
      <c r="AG571" s="28">
        <f>COUNTIF(AF$3:AF571,AF571)-1</f>
        <v>2</v>
      </c>
    </row>
    <row r="572" spans="27:33" x14ac:dyDescent="0.25">
      <c r="AA572" s="28">
        <f t="shared" si="76"/>
        <v>570</v>
      </c>
      <c r="AB572" s="28">
        <f t="shared" ca="1" si="77"/>
        <v>60005</v>
      </c>
      <c r="AC572" s="28">
        <f t="shared" ca="1" si="74"/>
        <v>47</v>
      </c>
      <c r="AD572" s="29">
        <f t="shared" ca="1" si="75"/>
        <v>5000</v>
      </c>
      <c r="AE572" s="28" t="str">
        <f t="shared" ca="1" si="78"/>
        <v>融合副本5</v>
      </c>
      <c r="AF572" s="28">
        <f t="shared" si="79"/>
        <v>174</v>
      </c>
      <c r="AG572" s="28">
        <f>COUNTIF(AF$3:AF572,AF572)-1</f>
        <v>3</v>
      </c>
    </row>
    <row r="573" spans="27:33" x14ac:dyDescent="0.25">
      <c r="AA573" s="28">
        <f t="shared" si="76"/>
        <v>571</v>
      </c>
      <c r="AB573" s="28">
        <f t="shared" ca="1" si="77"/>
        <v>60006</v>
      </c>
      <c r="AC573" s="28">
        <f t="shared" ca="1" si="74"/>
        <v>32</v>
      </c>
      <c r="AD573" s="29">
        <f t="shared" ca="1" si="75"/>
        <v>10000</v>
      </c>
      <c r="AE573" s="28" t="str">
        <f t="shared" ca="1" si="78"/>
        <v>融合副本6</v>
      </c>
      <c r="AF573" s="28">
        <f t="shared" si="79"/>
        <v>175</v>
      </c>
      <c r="AG573" s="28">
        <f>COUNTIF(AF$3:AF573,AF573)-1</f>
        <v>0</v>
      </c>
    </row>
    <row r="574" spans="27:33" x14ac:dyDescent="0.25">
      <c r="AA574" s="28">
        <f t="shared" si="76"/>
        <v>572</v>
      </c>
      <c r="AB574" s="28">
        <f t="shared" ca="1" si="77"/>
        <v>60006</v>
      </c>
      <c r="AC574" s="28">
        <f t="shared" ca="1" si="74"/>
        <v>48</v>
      </c>
      <c r="AD574" s="29">
        <f t="shared" ca="1" si="75"/>
        <v>4500</v>
      </c>
      <c r="AE574" s="28" t="str">
        <f t="shared" ca="1" si="78"/>
        <v>融合副本6</v>
      </c>
      <c r="AF574" s="28">
        <f t="shared" si="79"/>
        <v>175</v>
      </c>
      <c r="AG574" s="28">
        <f>COUNTIF(AF$3:AF574,AF574)-1</f>
        <v>1</v>
      </c>
    </row>
    <row r="575" spans="27:33" x14ac:dyDescent="0.25">
      <c r="AA575" s="28">
        <f t="shared" si="76"/>
        <v>573</v>
      </c>
      <c r="AB575" s="28">
        <f t="shared" ca="1" si="77"/>
        <v>60006</v>
      </c>
      <c r="AC575" s="28">
        <f t="shared" ca="1" si="74"/>
        <v>49</v>
      </c>
      <c r="AD575" s="29">
        <f t="shared" ca="1" si="75"/>
        <v>4500</v>
      </c>
      <c r="AE575" s="28" t="str">
        <f t="shared" ca="1" si="78"/>
        <v>融合副本6</v>
      </c>
      <c r="AF575" s="28">
        <f t="shared" si="79"/>
        <v>175</v>
      </c>
      <c r="AG575" s="28">
        <f>COUNTIF(AF$3:AF575,AF575)-1</f>
        <v>2</v>
      </c>
    </row>
    <row r="576" spans="27:33" x14ac:dyDescent="0.25">
      <c r="AA576" s="28">
        <f t="shared" si="76"/>
        <v>574</v>
      </c>
      <c r="AB576" s="28">
        <f t="shared" ca="1" si="77"/>
        <v>60006</v>
      </c>
      <c r="AC576" s="28">
        <f t="shared" ca="1" si="74"/>
        <v>50</v>
      </c>
      <c r="AD576" s="29">
        <f t="shared" ca="1" si="75"/>
        <v>4500</v>
      </c>
      <c r="AE576" s="28" t="str">
        <f t="shared" ca="1" si="78"/>
        <v>融合副本6</v>
      </c>
      <c r="AF576" s="28">
        <f t="shared" si="79"/>
        <v>175</v>
      </c>
      <c r="AG576" s="28">
        <f>COUNTIF(AF$3:AF576,AF576)-1</f>
        <v>3</v>
      </c>
    </row>
    <row r="577" spans="27:33" x14ac:dyDescent="0.25">
      <c r="AA577" s="28">
        <f t="shared" si="76"/>
        <v>575</v>
      </c>
      <c r="AB577" s="28">
        <f t="shared" ca="1" si="77"/>
        <v>60007</v>
      </c>
      <c r="AC577" s="28">
        <f t="shared" ca="1" si="74"/>
        <v>32</v>
      </c>
      <c r="AD577" s="29">
        <f t="shared" ca="1" si="75"/>
        <v>10000</v>
      </c>
      <c r="AE577" s="28" t="str">
        <f t="shared" ca="1" si="78"/>
        <v>融合副本7</v>
      </c>
      <c r="AF577" s="28">
        <f t="shared" si="79"/>
        <v>176</v>
      </c>
      <c r="AG577" s="28">
        <f>COUNTIF(AF$3:AF577,AF577)-1</f>
        <v>0</v>
      </c>
    </row>
    <row r="578" spans="27:33" x14ac:dyDescent="0.25">
      <c r="AA578" s="28">
        <f t="shared" si="76"/>
        <v>576</v>
      </c>
      <c r="AB578" s="28">
        <f t="shared" ca="1" si="77"/>
        <v>60007</v>
      </c>
      <c r="AC578" s="28">
        <f t="shared" ca="1" si="74"/>
        <v>51</v>
      </c>
      <c r="AD578" s="29">
        <f t="shared" ca="1" si="75"/>
        <v>4000</v>
      </c>
      <c r="AE578" s="28" t="str">
        <f t="shared" ca="1" si="78"/>
        <v>融合副本7</v>
      </c>
      <c r="AF578" s="28">
        <f t="shared" si="79"/>
        <v>176</v>
      </c>
      <c r="AG578" s="28">
        <f>COUNTIF(AF$3:AF578,AF578)-1</f>
        <v>1</v>
      </c>
    </row>
    <row r="579" spans="27:33" x14ac:dyDescent="0.25">
      <c r="AA579" s="28">
        <f t="shared" si="76"/>
        <v>577</v>
      </c>
      <c r="AB579" s="28">
        <f t="shared" ca="1" si="77"/>
        <v>60007</v>
      </c>
      <c r="AC579" s="28">
        <f t="shared" ref="AC579:AC642" ca="1" si="80">OFFSET($G$2,$AF579,$AG579)</f>
        <v>52</v>
      </c>
      <c r="AD579" s="29">
        <f t="shared" ref="AD579:AD642" ca="1" si="81">OFFSET($Q$2,$AF579,$AG579)*$AD$1</f>
        <v>4000</v>
      </c>
      <c r="AE579" s="28" t="str">
        <f t="shared" ca="1" si="78"/>
        <v>融合副本7</v>
      </c>
      <c r="AF579" s="28">
        <f t="shared" si="79"/>
        <v>176</v>
      </c>
      <c r="AG579" s="28">
        <f>COUNTIF(AF$3:AF579,AF579)-1</f>
        <v>2</v>
      </c>
    </row>
    <row r="580" spans="27:33" x14ac:dyDescent="0.25">
      <c r="AA580" s="28">
        <f t="shared" si="76"/>
        <v>578</v>
      </c>
      <c r="AB580" s="28">
        <f t="shared" ca="1" si="77"/>
        <v>60007</v>
      </c>
      <c r="AC580" s="28">
        <f t="shared" ca="1" si="80"/>
        <v>53</v>
      </c>
      <c r="AD580" s="29">
        <f t="shared" ca="1" si="81"/>
        <v>4000</v>
      </c>
      <c r="AE580" s="28" t="str">
        <f t="shared" ca="1" si="78"/>
        <v>融合副本7</v>
      </c>
      <c r="AF580" s="28">
        <f t="shared" si="79"/>
        <v>176</v>
      </c>
      <c r="AG580" s="28">
        <f>COUNTIF(AF$3:AF580,AF580)-1</f>
        <v>3</v>
      </c>
    </row>
    <row r="581" spans="27:33" x14ac:dyDescent="0.25">
      <c r="AA581" s="28">
        <f t="shared" si="76"/>
        <v>579</v>
      </c>
      <c r="AB581" s="28">
        <f t="shared" ca="1" si="77"/>
        <v>90001</v>
      </c>
      <c r="AC581" s="28">
        <f t="shared" ca="1" si="80"/>
        <v>61</v>
      </c>
      <c r="AD581" s="29">
        <f t="shared" ca="1" si="81"/>
        <v>10000</v>
      </c>
      <c r="AE581" s="28" t="str">
        <f t="shared" ca="1" si="78"/>
        <v>免费银币抽1</v>
      </c>
      <c r="AF581" s="28">
        <f t="shared" si="79"/>
        <v>177</v>
      </c>
      <c r="AG581" s="28">
        <f>COUNTIF(AF$3:AF581,AF581)-1</f>
        <v>0</v>
      </c>
    </row>
    <row r="582" spans="27:33" x14ac:dyDescent="0.25">
      <c r="AA582" s="28">
        <f t="shared" si="76"/>
        <v>580</v>
      </c>
      <c r="AB582" s="28">
        <f t="shared" ca="1" si="77"/>
        <v>90002</v>
      </c>
      <c r="AC582" s="28">
        <f t="shared" ca="1" si="80"/>
        <v>62</v>
      </c>
      <c r="AD582" s="29">
        <f t="shared" ca="1" si="81"/>
        <v>10000</v>
      </c>
      <c r="AE582" s="28" t="str">
        <f t="shared" ca="1" si="78"/>
        <v>免费银币抽2</v>
      </c>
      <c r="AF582" s="28">
        <f t="shared" si="79"/>
        <v>178</v>
      </c>
      <c r="AG582" s="28">
        <f>COUNTIF(AF$3:AF582,AF582)-1</f>
        <v>0</v>
      </c>
    </row>
    <row r="583" spans="27:33" x14ac:dyDescent="0.25">
      <c r="AA583" s="28">
        <f t="shared" si="76"/>
        <v>581</v>
      </c>
      <c r="AB583" s="28">
        <f t="shared" ca="1" si="77"/>
        <v>90003</v>
      </c>
      <c r="AC583" s="28">
        <f t="shared" ca="1" si="80"/>
        <v>63</v>
      </c>
      <c r="AD583" s="29">
        <f t="shared" ca="1" si="81"/>
        <v>10000</v>
      </c>
      <c r="AE583" s="28" t="str">
        <f t="shared" ca="1" si="78"/>
        <v>免费银币抽3</v>
      </c>
      <c r="AF583" s="28">
        <f t="shared" si="79"/>
        <v>179</v>
      </c>
      <c r="AG583" s="28">
        <f>COUNTIF(AF$3:AF583,AF583)-1</f>
        <v>0</v>
      </c>
    </row>
    <row r="584" spans="27:33" x14ac:dyDescent="0.25">
      <c r="AA584" s="28">
        <f t="shared" si="76"/>
        <v>582</v>
      </c>
      <c r="AB584" s="28">
        <f t="shared" ca="1" si="77"/>
        <v>90004</v>
      </c>
      <c r="AC584" s="28">
        <f t="shared" ca="1" si="80"/>
        <v>64</v>
      </c>
      <c r="AD584" s="29">
        <f t="shared" ca="1" si="81"/>
        <v>10000</v>
      </c>
      <c r="AE584" s="28" t="str">
        <f t="shared" ca="1" si="78"/>
        <v>免费银币抽4</v>
      </c>
      <c r="AF584" s="28">
        <f t="shared" si="79"/>
        <v>180</v>
      </c>
      <c r="AG584" s="28">
        <f>COUNTIF(AF$3:AF584,AF584)-1</f>
        <v>0</v>
      </c>
    </row>
    <row r="585" spans="27:33" x14ac:dyDescent="0.25">
      <c r="AA585" s="28">
        <f t="shared" si="76"/>
        <v>583</v>
      </c>
      <c r="AB585" s="28">
        <f t="shared" ca="1" si="77"/>
        <v>90005</v>
      </c>
      <c r="AC585" s="28">
        <f t="shared" ca="1" si="80"/>
        <v>65</v>
      </c>
      <c r="AD585" s="29">
        <f t="shared" ca="1" si="81"/>
        <v>10000</v>
      </c>
      <c r="AE585" s="28" t="str">
        <f t="shared" ca="1" si="78"/>
        <v>免费银币抽5</v>
      </c>
      <c r="AF585" s="28">
        <f t="shared" si="79"/>
        <v>181</v>
      </c>
      <c r="AG585" s="28">
        <f>COUNTIF(AF$3:AF585,AF585)-1</f>
        <v>0</v>
      </c>
    </row>
    <row r="586" spans="27:33" x14ac:dyDescent="0.25">
      <c r="AA586" s="28">
        <f t="shared" si="76"/>
        <v>584</v>
      </c>
      <c r="AB586" s="28">
        <f t="shared" ca="1" si="77"/>
        <v>90006</v>
      </c>
      <c r="AC586" s="28">
        <f t="shared" ca="1" si="80"/>
        <v>66</v>
      </c>
      <c r="AD586" s="29">
        <f t="shared" ca="1" si="81"/>
        <v>10000</v>
      </c>
      <c r="AE586" s="28" t="str">
        <f t="shared" ca="1" si="78"/>
        <v>免费银币抽6</v>
      </c>
      <c r="AF586" s="28">
        <f t="shared" si="79"/>
        <v>182</v>
      </c>
      <c r="AG586" s="28">
        <f>COUNTIF(AF$3:AF586,AF586)-1</f>
        <v>0</v>
      </c>
    </row>
    <row r="587" spans="27:33" x14ac:dyDescent="0.25">
      <c r="AA587" s="28">
        <f t="shared" si="76"/>
        <v>585</v>
      </c>
      <c r="AB587" s="28">
        <f t="shared" ca="1" si="77"/>
        <v>90007</v>
      </c>
      <c r="AC587" s="28">
        <f t="shared" ca="1" si="80"/>
        <v>67</v>
      </c>
      <c r="AD587" s="29">
        <f t="shared" ca="1" si="81"/>
        <v>10000</v>
      </c>
      <c r="AE587" s="28" t="str">
        <f t="shared" ca="1" si="78"/>
        <v>免费银币抽7</v>
      </c>
      <c r="AF587" s="28">
        <f t="shared" si="79"/>
        <v>183</v>
      </c>
      <c r="AG587" s="28">
        <f>COUNTIF(AF$3:AF587,AF587)-1</f>
        <v>0</v>
      </c>
    </row>
    <row r="588" spans="27:33" x14ac:dyDescent="0.25">
      <c r="AA588" s="28">
        <f t="shared" si="76"/>
        <v>586</v>
      </c>
      <c r="AB588" s="28">
        <f t="shared" ca="1" si="77"/>
        <v>90008</v>
      </c>
      <c r="AC588" s="28">
        <f t="shared" ca="1" si="80"/>
        <v>68</v>
      </c>
      <c r="AD588" s="29">
        <f t="shared" ca="1" si="81"/>
        <v>10000</v>
      </c>
      <c r="AE588" s="28" t="str">
        <f t="shared" ca="1" si="78"/>
        <v>免费银币抽8</v>
      </c>
      <c r="AF588" s="28">
        <f t="shared" si="79"/>
        <v>184</v>
      </c>
      <c r="AG588" s="28">
        <f>COUNTIF(AF$3:AF588,AF588)-1</f>
        <v>0</v>
      </c>
    </row>
    <row r="589" spans="27:33" x14ac:dyDescent="0.25">
      <c r="AA589" s="28">
        <f t="shared" si="76"/>
        <v>587</v>
      </c>
      <c r="AB589" s="28">
        <f t="shared" ca="1" si="77"/>
        <v>90009</v>
      </c>
      <c r="AC589" s="28">
        <f t="shared" ca="1" si="80"/>
        <v>69</v>
      </c>
      <c r="AD589" s="29">
        <f t="shared" ca="1" si="81"/>
        <v>10000</v>
      </c>
      <c r="AE589" s="28" t="str">
        <f t="shared" ca="1" si="78"/>
        <v>免费银币抽9</v>
      </c>
      <c r="AF589" s="28">
        <f t="shared" si="79"/>
        <v>185</v>
      </c>
      <c r="AG589" s="28">
        <f>COUNTIF(AF$3:AF589,AF589)-1</f>
        <v>0</v>
      </c>
    </row>
    <row r="590" spans="27:33" x14ac:dyDescent="0.25">
      <c r="AA590" s="28">
        <f t="shared" si="76"/>
        <v>588</v>
      </c>
      <c r="AB590" s="28">
        <f t="shared" ca="1" si="77"/>
        <v>90010</v>
      </c>
      <c r="AC590" s="28">
        <f t="shared" ca="1" si="80"/>
        <v>70</v>
      </c>
      <c r="AD590" s="29">
        <f t="shared" ca="1" si="81"/>
        <v>10000</v>
      </c>
      <c r="AE590" s="28" t="str">
        <f t="shared" ca="1" si="78"/>
        <v>免费银币抽10</v>
      </c>
      <c r="AF590" s="28">
        <f t="shared" si="79"/>
        <v>186</v>
      </c>
      <c r="AG590" s="28">
        <f>COUNTIF(AF$3:AF590,AF590)-1</f>
        <v>0</v>
      </c>
    </row>
    <row r="591" spans="27:33" x14ac:dyDescent="0.25">
      <c r="AA591" s="28">
        <f t="shared" si="76"/>
        <v>589</v>
      </c>
      <c r="AB591" s="28">
        <f t="shared" ca="1" si="77"/>
        <v>90011</v>
      </c>
      <c r="AC591" s="28">
        <f t="shared" ca="1" si="80"/>
        <v>71</v>
      </c>
      <c r="AD591" s="29">
        <f t="shared" ca="1" si="81"/>
        <v>10000</v>
      </c>
      <c r="AE591" s="28" t="str">
        <f t="shared" ca="1" si="78"/>
        <v>免费银币抽11</v>
      </c>
      <c r="AF591" s="28">
        <f t="shared" si="79"/>
        <v>187</v>
      </c>
      <c r="AG591" s="28">
        <f>COUNTIF(AF$3:AF591,AF591)-1</f>
        <v>0</v>
      </c>
    </row>
    <row r="592" spans="27:33" x14ac:dyDescent="0.25">
      <c r="AA592" s="28">
        <f t="shared" si="76"/>
        <v>590</v>
      </c>
      <c r="AB592" s="28">
        <f t="shared" ca="1" si="77"/>
        <v>90012</v>
      </c>
      <c r="AC592" s="28">
        <f t="shared" ca="1" si="80"/>
        <v>84</v>
      </c>
      <c r="AD592" s="29">
        <f t="shared" ca="1" si="81"/>
        <v>10000</v>
      </c>
      <c r="AE592" s="28" t="str">
        <f t="shared" ca="1" si="78"/>
        <v>免费银币抽12</v>
      </c>
      <c r="AF592" s="28">
        <f t="shared" si="79"/>
        <v>188</v>
      </c>
      <c r="AG592" s="28">
        <f>COUNTIF(AF$3:AF592,AF592)-1</f>
        <v>0</v>
      </c>
    </row>
    <row r="593" spans="27:33" x14ac:dyDescent="0.25">
      <c r="AA593" s="28">
        <f t="shared" si="76"/>
        <v>591</v>
      </c>
      <c r="AB593" s="28">
        <f t="shared" ca="1" si="77"/>
        <v>100001</v>
      </c>
      <c r="AC593" s="28">
        <f t="shared" ca="1" si="80"/>
        <v>61</v>
      </c>
      <c r="AD593" s="29">
        <f t="shared" ca="1" si="81"/>
        <v>10000</v>
      </c>
      <c r="AE593" s="28" t="str">
        <f t="shared" ca="1" si="78"/>
        <v>银币抽1</v>
      </c>
      <c r="AF593" s="28">
        <f t="shared" si="79"/>
        <v>189</v>
      </c>
      <c r="AG593" s="28">
        <f>COUNTIF(AF$3:AF593,AF593)-1</f>
        <v>0</v>
      </c>
    </row>
    <row r="594" spans="27:33" x14ac:dyDescent="0.25">
      <c r="AA594" s="28">
        <f t="shared" si="76"/>
        <v>592</v>
      </c>
      <c r="AB594" s="28">
        <f t="shared" ca="1" si="77"/>
        <v>100002</v>
      </c>
      <c r="AC594" s="28">
        <f t="shared" ca="1" si="80"/>
        <v>62</v>
      </c>
      <c r="AD594" s="29">
        <f t="shared" ca="1" si="81"/>
        <v>10000</v>
      </c>
      <c r="AE594" s="28" t="str">
        <f t="shared" ca="1" si="78"/>
        <v>银币抽2</v>
      </c>
      <c r="AF594" s="28">
        <f t="shared" si="79"/>
        <v>190</v>
      </c>
      <c r="AG594" s="28">
        <f>COUNTIF(AF$3:AF594,AF594)-1</f>
        <v>0</v>
      </c>
    </row>
    <row r="595" spans="27:33" x14ac:dyDescent="0.25">
      <c r="AA595" s="28">
        <f t="shared" si="76"/>
        <v>593</v>
      </c>
      <c r="AB595" s="28">
        <f t="shared" ca="1" si="77"/>
        <v>100003</v>
      </c>
      <c r="AC595" s="28">
        <f t="shared" ca="1" si="80"/>
        <v>63</v>
      </c>
      <c r="AD595" s="29">
        <f t="shared" ca="1" si="81"/>
        <v>10000</v>
      </c>
      <c r="AE595" s="28" t="str">
        <f t="shared" ca="1" si="78"/>
        <v>银币抽3</v>
      </c>
      <c r="AF595" s="28">
        <f t="shared" si="79"/>
        <v>191</v>
      </c>
      <c r="AG595" s="28">
        <f>COUNTIF(AF$3:AF595,AF595)-1</f>
        <v>0</v>
      </c>
    </row>
    <row r="596" spans="27:33" x14ac:dyDescent="0.25">
      <c r="AA596" s="28">
        <f t="shared" si="76"/>
        <v>594</v>
      </c>
      <c r="AB596" s="28">
        <f t="shared" ca="1" si="77"/>
        <v>100004</v>
      </c>
      <c r="AC596" s="28">
        <f t="shared" ca="1" si="80"/>
        <v>64</v>
      </c>
      <c r="AD596" s="29">
        <f t="shared" ca="1" si="81"/>
        <v>10000</v>
      </c>
      <c r="AE596" s="28" t="str">
        <f t="shared" ca="1" si="78"/>
        <v>银币抽4</v>
      </c>
      <c r="AF596" s="28">
        <f t="shared" si="79"/>
        <v>192</v>
      </c>
      <c r="AG596" s="28">
        <f>COUNTIF(AF$3:AF596,AF596)-1</f>
        <v>0</v>
      </c>
    </row>
    <row r="597" spans="27:33" x14ac:dyDescent="0.25">
      <c r="AA597" s="28">
        <f t="shared" si="76"/>
        <v>595</v>
      </c>
      <c r="AB597" s="28">
        <f t="shared" ca="1" si="77"/>
        <v>100005</v>
      </c>
      <c r="AC597" s="28">
        <f t="shared" ca="1" si="80"/>
        <v>65</v>
      </c>
      <c r="AD597" s="29">
        <f t="shared" ca="1" si="81"/>
        <v>10000</v>
      </c>
      <c r="AE597" s="28" t="str">
        <f t="shared" ca="1" si="78"/>
        <v>银币抽5</v>
      </c>
      <c r="AF597" s="28">
        <f t="shared" si="79"/>
        <v>193</v>
      </c>
      <c r="AG597" s="28">
        <f>COUNTIF(AF$3:AF597,AF597)-1</f>
        <v>0</v>
      </c>
    </row>
    <row r="598" spans="27:33" x14ac:dyDescent="0.25">
      <c r="AA598" s="28">
        <f t="shared" si="76"/>
        <v>596</v>
      </c>
      <c r="AB598" s="28">
        <f t="shared" ca="1" si="77"/>
        <v>100006</v>
      </c>
      <c r="AC598" s="28">
        <f t="shared" ca="1" si="80"/>
        <v>66</v>
      </c>
      <c r="AD598" s="29">
        <f t="shared" ca="1" si="81"/>
        <v>10000</v>
      </c>
      <c r="AE598" s="28" t="str">
        <f t="shared" ca="1" si="78"/>
        <v>银币抽6</v>
      </c>
      <c r="AF598" s="28">
        <f t="shared" si="79"/>
        <v>194</v>
      </c>
      <c r="AG598" s="28">
        <f>COUNTIF(AF$3:AF598,AF598)-1</f>
        <v>0</v>
      </c>
    </row>
    <row r="599" spans="27:33" x14ac:dyDescent="0.25">
      <c r="AA599" s="28">
        <f t="shared" si="76"/>
        <v>597</v>
      </c>
      <c r="AB599" s="28">
        <f t="shared" ca="1" si="77"/>
        <v>100007</v>
      </c>
      <c r="AC599" s="28">
        <f t="shared" ca="1" si="80"/>
        <v>67</v>
      </c>
      <c r="AD599" s="29">
        <f t="shared" ca="1" si="81"/>
        <v>10000</v>
      </c>
      <c r="AE599" s="28" t="str">
        <f t="shared" ca="1" si="78"/>
        <v>银币抽7</v>
      </c>
      <c r="AF599" s="28">
        <f t="shared" si="79"/>
        <v>195</v>
      </c>
      <c r="AG599" s="28">
        <f>COUNTIF(AF$3:AF599,AF599)-1</f>
        <v>0</v>
      </c>
    </row>
    <row r="600" spans="27:33" x14ac:dyDescent="0.25">
      <c r="AA600" s="28">
        <f t="shared" si="76"/>
        <v>598</v>
      </c>
      <c r="AB600" s="28">
        <f t="shared" ca="1" si="77"/>
        <v>100008</v>
      </c>
      <c r="AC600" s="28">
        <f t="shared" ca="1" si="80"/>
        <v>68</v>
      </c>
      <c r="AD600" s="29">
        <f t="shared" ca="1" si="81"/>
        <v>10000</v>
      </c>
      <c r="AE600" s="28" t="str">
        <f t="shared" ca="1" si="78"/>
        <v>银币抽8</v>
      </c>
      <c r="AF600" s="28">
        <f t="shared" si="79"/>
        <v>196</v>
      </c>
      <c r="AG600" s="28">
        <f>COUNTIF(AF$3:AF600,AF600)-1</f>
        <v>0</v>
      </c>
    </row>
    <row r="601" spans="27:33" x14ac:dyDescent="0.25">
      <c r="AA601" s="28">
        <f t="shared" si="76"/>
        <v>599</v>
      </c>
      <c r="AB601" s="28">
        <f t="shared" ca="1" si="77"/>
        <v>100009</v>
      </c>
      <c r="AC601" s="28">
        <f t="shared" ca="1" si="80"/>
        <v>69</v>
      </c>
      <c r="AD601" s="29">
        <f t="shared" ca="1" si="81"/>
        <v>10000</v>
      </c>
      <c r="AE601" s="28" t="str">
        <f t="shared" ca="1" si="78"/>
        <v>银币抽9</v>
      </c>
      <c r="AF601" s="28">
        <f t="shared" si="79"/>
        <v>197</v>
      </c>
      <c r="AG601" s="28">
        <f>COUNTIF(AF$3:AF601,AF601)-1</f>
        <v>0</v>
      </c>
    </row>
    <row r="602" spans="27:33" x14ac:dyDescent="0.25">
      <c r="AA602" s="28">
        <f t="shared" si="76"/>
        <v>600</v>
      </c>
      <c r="AB602" s="28">
        <f t="shared" ca="1" si="77"/>
        <v>100010</v>
      </c>
      <c r="AC602" s="28">
        <f t="shared" ca="1" si="80"/>
        <v>70</v>
      </c>
      <c r="AD602" s="29">
        <f t="shared" ca="1" si="81"/>
        <v>10000</v>
      </c>
      <c r="AE602" s="28" t="str">
        <f t="shared" ca="1" si="78"/>
        <v>银币抽10</v>
      </c>
      <c r="AF602" s="28">
        <f t="shared" si="79"/>
        <v>198</v>
      </c>
      <c r="AG602" s="28">
        <f>COUNTIF(AF$3:AF602,AF602)-1</f>
        <v>0</v>
      </c>
    </row>
    <row r="603" spans="27:33" x14ac:dyDescent="0.25">
      <c r="AA603" s="28">
        <f t="shared" si="76"/>
        <v>601</v>
      </c>
      <c r="AB603" s="28">
        <f t="shared" ca="1" si="77"/>
        <v>100011</v>
      </c>
      <c r="AC603" s="28">
        <f t="shared" ca="1" si="80"/>
        <v>71</v>
      </c>
      <c r="AD603" s="29">
        <f t="shared" ca="1" si="81"/>
        <v>10000</v>
      </c>
      <c r="AE603" s="28" t="str">
        <f t="shared" ca="1" si="78"/>
        <v>银币抽11</v>
      </c>
      <c r="AF603" s="28">
        <f t="shared" si="79"/>
        <v>199</v>
      </c>
      <c r="AG603" s="28">
        <f>COUNTIF(AF$3:AF603,AF603)-1</f>
        <v>0</v>
      </c>
    </row>
    <row r="604" spans="27:33" x14ac:dyDescent="0.25">
      <c r="AA604" s="28">
        <f t="shared" si="76"/>
        <v>602</v>
      </c>
      <c r="AB604" s="28">
        <f t="shared" ca="1" si="77"/>
        <v>100012</v>
      </c>
      <c r="AC604" s="28">
        <f t="shared" ca="1" si="80"/>
        <v>84</v>
      </c>
      <c r="AD604" s="29">
        <f t="shared" ca="1" si="81"/>
        <v>10000</v>
      </c>
      <c r="AE604" s="28" t="str">
        <f t="shared" ca="1" si="78"/>
        <v>银币抽12</v>
      </c>
      <c r="AF604" s="28">
        <f t="shared" si="79"/>
        <v>200</v>
      </c>
      <c r="AG604" s="28">
        <f>COUNTIF(AF$3:AF604,AF604)-1</f>
        <v>0</v>
      </c>
    </row>
    <row r="605" spans="27:33" x14ac:dyDescent="0.25">
      <c r="AA605" s="28">
        <f t="shared" si="76"/>
        <v>603</v>
      </c>
      <c r="AB605" s="28">
        <f t="shared" ca="1" si="77"/>
        <v>110001</v>
      </c>
      <c r="AC605" s="28">
        <f t="shared" ca="1" si="80"/>
        <v>61</v>
      </c>
      <c r="AD605" s="29">
        <f t="shared" ca="1" si="81"/>
        <v>10000</v>
      </c>
      <c r="AE605" s="28" t="str">
        <f t="shared" ca="1" si="78"/>
        <v>银币十抽1</v>
      </c>
      <c r="AF605" s="28">
        <f t="shared" si="79"/>
        <v>201</v>
      </c>
      <c r="AG605" s="28">
        <f>COUNTIF(AF$3:AF605,AF605)-1</f>
        <v>0</v>
      </c>
    </row>
    <row r="606" spans="27:33" x14ac:dyDescent="0.25">
      <c r="AA606" s="28">
        <f t="shared" si="76"/>
        <v>604</v>
      </c>
      <c r="AB606" s="28">
        <f t="shared" ca="1" si="77"/>
        <v>110002</v>
      </c>
      <c r="AC606" s="28">
        <f t="shared" ca="1" si="80"/>
        <v>62</v>
      </c>
      <c r="AD606" s="29">
        <f t="shared" ca="1" si="81"/>
        <v>10000</v>
      </c>
      <c r="AE606" s="28" t="str">
        <f t="shared" ca="1" si="78"/>
        <v>银币十抽2</v>
      </c>
      <c r="AF606" s="28">
        <f t="shared" si="79"/>
        <v>202</v>
      </c>
      <c r="AG606" s="28">
        <f>COUNTIF(AF$3:AF606,AF606)-1</f>
        <v>0</v>
      </c>
    </row>
    <row r="607" spans="27:33" x14ac:dyDescent="0.25">
      <c r="AA607" s="28">
        <f t="shared" ref="AA607:AA670" si="82">IF(ROW(A605)&gt;MAX(D:D),"",ROW(A605))</f>
        <v>605</v>
      </c>
      <c r="AB607" s="28">
        <f t="shared" ref="AB607:AB670" ca="1" si="83">OFFSET(A$2,$AF607,)</f>
        <v>110003</v>
      </c>
      <c r="AC607" s="28">
        <f t="shared" ca="1" si="80"/>
        <v>63</v>
      </c>
      <c r="AD607" s="29">
        <f t="shared" ca="1" si="81"/>
        <v>10000</v>
      </c>
      <c r="AE607" s="28" t="str">
        <f t="shared" ref="AE607:AE670" ca="1" si="84">OFFSET(B$2,$AF607,)</f>
        <v>银币十抽3</v>
      </c>
      <c r="AF607" s="28">
        <f t="shared" ref="AF607:AF670" si="85">FREQUENCY(D:D,AA607-0.1)+1</f>
        <v>203</v>
      </c>
      <c r="AG607" s="28">
        <f>COUNTIF(AF$3:AF607,AF607)-1</f>
        <v>0</v>
      </c>
    </row>
    <row r="608" spans="27:33" x14ac:dyDescent="0.25">
      <c r="AA608" s="28">
        <f t="shared" si="82"/>
        <v>606</v>
      </c>
      <c r="AB608" s="28">
        <f t="shared" ca="1" si="83"/>
        <v>110004</v>
      </c>
      <c r="AC608" s="28">
        <f t="shared" ca="1" si="80"/>
        <v>64</v>
      </c>
      <c r="AD608" s="29">
        <f t="shared" ca="1" si="81"/>
        <v>10000</v>
      </c>
      <c r="AE608" s="28" t="str">
        <f t="shared" ca="1" si="84"/>
        <v>银币十抽4</v>
      </c>
      <c r="AF608" s="28">
        <f t="shared" si="85"/>
        <v>204</v>
      </c>
      <c r="AG608" s="28">
        <f>COUNTIF(AF$3:AF608,AF608)-1</f>
        <v>0</v>
      </c>
    </row>
    <row r="609" spans="27:33" x14ac:dyDescent="0.25">
      <c r="AA609" s="28">
        <f t="shared" si="82"/>
        <v>607</v>
      </c>
      <c r="AB609" s="28">
        <f t="shared" ca="1" si="83"/>
        <v>110005</v>
      </c>
      <c r="AC609" s="28">
        <f t="shared" ca="1" si="80"/>
        <v>65</v>
      </c>
      <c r="AD609" s="29">
        <f t="shared" ca="1" si="81"/>
        <v>10000</v>
      </c>
      <c r="AE609" s="28" t="str">
        <f t="shared" ca="1" si="84"/>
        <v>银币十抽5</v>
      </c>
      <c r="AF609" s="28">
        <f t="shared" si="85"/>
        <v>205</v>
      </c>
      <c r="AG609" s="28">
        <f>COUNTIF(AF$3:AF609,AF609)-1</f>
        <v>0</v>
      </c>
    </row>
    <row r="610" spans="27:33" x14ac:dyDescent="0.25">
      <c r="AA610" s="28">
        <f t="shared" si="82"/>
        <v>608</v>
      </c>
      <c r="AB610" s="28">
        <f t="shared" ca="1" si="83"/>
        <v>110006</v>
      </c>
      <c r="AC610" s="28">
        <f t="shared" ca="1" si="80"/>
        <v>66</v>
      </c>
      <c r="AD610" s="29">
        <f t="shared" ca="1" si="81"/>
        <v>10000</v>
      </c>
      <c r="AE610" s="28" t="str">
        <f t="shared" ca="1" si="84"/>
        <v>银币十抽6</v>
      </c>
      <c r="AF610" s="28">
        <f t="shared" si="85"/>
        <v>206</v>
      </c>
      <c r="AG610" s="28">
        <f>COUNTIF(AF$3:AF610,AF610)-1</f>
        <v>0</v>
      </c>
    </row>
    <row r="611" spans="27:33" x14ac:dyDescent="0.25">
      <c r="AA611" s="28">
        <f t="shared" si="82"/>
        <v>609</v>
      </c>
      <c r="AB611" s="28">
        <f t="shared" ca="1" si="83"/>
        <v>110007</v>
      </c>
      <c r="AC611" s="28">
        <f t="shared" ca="1" si="80"/>
        <v>67</v>
      </c>
      <c r="AD611" s="29">
        <f t="shared" ca="1" si="81"/>
        <v>10000</v>
      </c>
      <c r="AE611" s="28" t="str">
        <f t="shared" ca="1" si="84"/>
        <v>银币十抽7</v>
      </c>
      <c r="AF611" s="28">
        <f t="shared" si="85"/>
        <v>207</v>
      </c>
      <c r="AG611" s="28">
        <f>COUNTIF(AF$3:AF611,AF611)-1</f>
        <v>0</v>
      </c>
    </row>
    <row r="612" spans="27:33" x14ac:dyDescent="0.25">
      <c r="AA612" s="28">
        <f t="shared" si="82"/>
        <v>610</v>
      </c>
      <c r="AB612" s="28">
        <f t="shared" ca="1" si="83"/>
        <v>110008</v>
      </c>
      <c r="AC612" s="28">
        <f t="shared" ca="1" si="80"/>
        <v>68</v>
      </c>
      <c r="AD612" s="29">
        <f t="shared" ca="1" si="81"/>
        <v>10000</v>
      </c>
      <c r="AE612" s="28" t="str">
        <f t="shared" ca="1" si="84"/>
        <v>银币十抽8</v>
      </c>
      <c r="AF612" s="28">
        <f t="shared" si="85"/>
        <v>208</v>
      </c>
      <c r="AG612" s="28">
        <f>COUNTIF(AF$3:AF612,AF612)-1</f>
        <v>0</v>
      </c>
    </row>
    <row r="613" spans="27:33" x14ac:dyDescent="0.25">
      <c r="AA613" s="28">
        <f t="shared" si="82"/>
        <v>611</v>
      </c>
      <c r="AB613" s="28">
        <f t="shared" ca="1" si="83"/>
        <v>110009</v>
      </c>
      <c r="AC613" s="28">
        <f t="shared" ca="1" si="80"/>
        <v>69</v>
      </c>
      <c r="AD613" s="29">
        <f t="shared" ca="1" si="81"/>
        <v>10000</v>
      </c>
      <c r="AE613" s="28" t="str">
        <f t="shared" ca="1" si="84"/>
        <v>银币十抽9</v>
      </c>
      <c r="AF613" s="28">
        <f t="shared" si="85"/>
        <v>209</v>
      </c>
      <c r="AG613" s="28">
        <f>COUNTIF(AF$3:AF613,AF613)-1</f>
        <v>0</v>
      </c>
    </row>
    <row r="614" spans="27:33" x14ac:dyDescent="0.25">
      <c r="AA614" s="28">
        <f t="shared" si="82"/>
        <v>612</v>
      </c>
      <c r="AB614" s="28">
        <f t="shared" ca="1" si="83"/>
        <v>110010</v>
      </c>
      <c r="AC614" s="28">
        <f t="shared" ca="1" si="80"/>
        <v>70</v>
      </c>
      <c r="AD614" s="29">
        <f t="shared" ca="1" si="81"/>
        <v>10000</v>
      </c>
      <c r="AE614" s="28" t="str">
        <f t="shared" ca="1" si="84"/>
        <v>银币十抽10</v>
      </c>
      <c r="AF614" s="28">
        <f t="shared" si="85"/>
        <v>210</v>
      </c>
      <c r="AG614" s="28">
        <f>COUNTIF(AF$3:AF614,AF614)-1</f>
        <v>0</v>
      </c>
    </row>
    <row r="615" spans="27:33" x14ac:dyDescent="0.25">
      <c r="AA615" s="28">
        <f t="shared" si="82"/>
        <v>613</v>
      </c>
      <c r="AB615" s="28">
        <f t="shared" ca="1" si="83"/>
        <v>110011</v>
      </c>
      <c r="AC615" s="28">
        <f t="shared" ca="1" si="80"/>
        <v>71</v>
      </c>
      <c r="AD615" s="29">
        <f t="shared" ca="1" si="81"/>
        <v>10000</v>
      </c>
      <c r="AE615" s="28" t="str">
        <f t="shared" ca="1" si="84"/>
        <v>银币十抽11</v>
      </c>
      <c r="AF615" s="28">
        <f t="shared" si="85"/>
        <v>211</v>
      </c>
      <c r="AG615" s="28">
        <f>COUNTIF(AF$3:AF615,AF615)-1</f>
        <v>0</v>
      </c>
    </row>
    <row r="616" spans="27:33" x14ac:dyDescent="0.25">
      <c r="AA616" s="28">
        <f t="shared" si="82"/>
        <v>614</v>
      </c>
      <c r="AB616" s="28">
        <f t="shared" ca="1" si="83"/>
        <v>110012</v>
      </c>
      <c r="AC616" s="28">
        <f t="shared" ca="1" si="80"/>
        <v>84</v>
      </c>
      <c r="AD616" s="29">
        <f t="shared" ca="1" si="81"/>
        <v>10000</v>
      </c>
      <c r="AE616" s="28" t="str">
        <f t="shared" ca="1" si="84"/>
        <v>银币十抽12</v>
      </c>
      <c r="AF616" s="28">
        <f t="shared" si="85"/>
        <v>212</v>
      </c>
      <c r="AG616" s="28">
        <f>COUNTIF(AF$3:AF616,AF616)-1</f>
        <v>0</v>
      </c>
    </row>
    <row r="617" spans="27:33" x14ac:dyDescent="0.25">
      <c r="AA617" s="28">
        <f t="shared" si="82"/>
        <v>615</v>
      </c>
      <c r="AB617" s="28">
        <f t="shared" ca="1" si="83"/>
        <v>120001</v>
      </c>
      <c r="AC617" s="28">
        <f t="shared" ca="1" si="80"/>
        <v>72</v>
      </c>
      <c r="AD617" s="29">
        <f t="shared" ca="1" si="81"/>
        <v>10000</v>
      </c>
      <c r="AE617" s="28" t="str">
        <f t="shared" ca="1" si="84"/>
        <v>免费金币抽1</v>
      </c>
      <c r="AF617" s="28">
        <f t="shared" si="85"/>
        <v>213</v>
      </c>
      <c r="AG617" s="28">
        <f>COUNTIF(AF$3:AF617,AF617)-1</f>
        <v>0</v>
      </c>
    </row>
    <row r="618" spans="27:33" x14ac:dyDescent="0.25">
      <c r="AA618" s="28">
        <f t="shared" si="82"/>
        <v>616</v>
      </c>
      <c r="AB618" s="28">
        <f t="shared" ca="1" si="83"/>
        <v>120002</v>
      </c>
      <c r="AC618" s="28">
        <f t="shared" ca="1" si="80"/>
        <v>73</v>
      </c>
      <c r="AD618" s="29">
        <f t="shared" ca="1" si="81"/>
        <v>10000</v>
      </c>
      <c r="AE618" s="28" t="str">
        <f t="shared" ca="1" si="84"/>
        <v>免费金币抽2</v>
      </c>
      <c r="AF618" s="28">
        <f t="shared" si="85"/>
        <v>214</v>
      </c>
      <c r="AG618" s="28">
        <f>COUNTIF(AF$3:AF618,AF618)-1</f>
        <v>0</v>
      </c>
    </row>
    <row r="619" spans="27:33" x14ac:dyDescent="0.25">
      <c r="AA619" s="28">
        <f t="shared" si="82"/>
        <v>617</v>
      </c>
      <c r="AB619" s="28">
        <f t="shared" ca="1" si="83"/>
        <v>120003</v>
      </c>
      <c r="AC619" s="28">
        <f t="shared" ca="1" si="80"/>
        <v>74</v>
      </c>
      <c r="AD619" s="29">
        <f t="shared" ca="1" si="81"/>
        <v>10000</v>
      </c>
      <c r="AE619" s="28" t="str">
        <f t="shared" ca="1" si="84"/>
        <v>免费金币抽3</v>
      </c>
      <c r="AF619" s="28">
        <f t="shared" si="85"/>
        <v>215</v>
      </c>
      <c r="AG619" s="28">
        <f>COUNTIF(AF$3:AF619,AF619)-1</f>
        <v>0</v>
      </c>
    </row>
    <row r="620" spans="27:33" x14ac:dyDescent="0.25">
      <c r="AA620" s="28">
        <f t="shared" si="82"/>
        <v>618</v>
      </c>
      <c r="AB620" s="28">
        <f t="shared" ca="1" si="83"/>
        <v>120004</v>
      </c>
      <c r="AC620" s="28">
        <f t="shared" ca="1" si="80"/>
        <v>75</v>
      </c>
      <c r="AD620" s="29">
        <f t="shared" ca="1" si="81"/>
        <v>10000</v>
      </c>
      <c r="AE620" s="28" t="str">
        <f t="shared" ca="1" si="84"/>
        <v>免费金币抽4</v>
      </c>
      <c r="AF620" s="28">
        <f t="shared" si="85"/>
        <v>216</v>
      </c>
      <c r="AG620" s="28">
        <f>COUNTIF(AF$3:AF620,AF620)-1</f>
        <v>0</v>
      </c>
    </row>
    <row r="621" spans="27:33" x14ac:dyDescent="0.25">
      <c r="AA621" s="28">
        <f t="shared" si="82"/>
        <v>619</v>
      </c>
      <c r="AB621" s="28">
        <f t="shared" ca="1" si="83"/>
        <v>120005</v>
      </c>
      <c r="AC621" s="28">
        <f t="shared" ca="1" si="80"/>
        <v>76</v>
      </c>
      <c r="AD621" s="29">
        <f t="shared" ca="1" si="81"/>
        <v>10000</v>
      </c>
      <c r="AE621" s="28" t="str">
        <f t="shared" ca="1" si="84"/>
        <v>免费金币抽5</v>
      </c>
      <c r="AF621" s="28">
        <f t="shared" si="85"/>
        <v>217</v>
      </c>
      <c r="AG621" s="28">
        <f>COUNTIF(AF$3:AF621,AF621)-1</f>
        <v>0</v>
      </c>
    </row>
    <row r="622" spans="27:33" x14ac:dyDescent="0.25">
      <c r="AA622" s="28">
        <f t="shared" si="82"/>
        <v>620</v>
      </c>
      <c r="AB622" s="28">
        <f t="shared" ca="1" si="83"/>
        <v>120006</v>
      </c>
      <c r="AC622" s="28">
        <f t="shared" ca="1" si="80"/>
        <v>77</v>
      </c>
      <c r="AD622" s="29">
        <f t="shared" ca="1" si="81"/>
        <v>10000</v>
      </c>
      <c r="AE622" s="28" t="str">
        <f t="shared" ca="1" si="84"/>
        <v>免费金币抽6</v>
      </c>
      <c r="AF622" s="28">
        <f t="shared" si="85"/>
        <v>218</v>
      </c>
      <c r="AG622" s="28">
        <f>COUNTIF(AF$3:AF622,AF622)-1</f>
        <v>0</v>
      </c>
    </row>
    <row r="623" spans="27:33" x14ac:dyDescent="0.25">
      <c r="AA623" s="28">
        <f t="shared" si="82"/>
        <v>621</v>
      </c>
      <c r="AB623" s="28">
        <f t="shared" ca="1" si="83"/>
        <v>120007</v>
      </c>
      <c r="AC623" s="28">
        <f t="shared" ca="1" si="80"/>
        <v>78</v>
      </c>
      <c r="AD623" s="29">
        <f t="shared" ca="1" si="81"/>
        <v>10000</v>
      </c>
      <c r="AE623" s="28" t="str">
        <f t="shared" ca="1" si="84"/>
        <v>免费金币抽7</v>
      </c>
      <c r="AF623" s="28">
        <f t="shared" si="85"/>
        <v>219</v>
      </c>
      <c r="AG623" s="28">
        <f>COUNTIF(AF$3:AF623,AF623)-1</f>
        <v>0</v>
      </c>
    </row>
    <row r="624" spans="27:33" x14ac:dyDescent="0.25">
      <c r="AA624" s="28">
        <f t="shared" si="82"/>
        <v>622</v>
      </c>
      <c r="AB624" s="28">
        <f t="shared" ca="1" si="83"/>
        <v>120008</v>
      </c>
      <c r="AC624" s="28">
        <f t="shared" ca="1" si="80"/>
        <v>79</v>
      </c>
      <c r="AD624" s="29">
        <f t="shared" ca="1" si="81"/>
        <v>10000</v>
      </c>
      <c r="AE624" s="28" t="str">
        <f t="shared" ca="1" si="84"/>
        <v>免费金币抽8</v>
      </c>
      <c r="AF624" s="28">
        <f t="shared" si="85"/>
        <v>220</v>
      </c>
      <c r="AG624" s="28">
        <f>COUNTIF(AF$3:AF624,AF624)-1</f>
        <v>0</v>
      </c>
    </row>
    <row r="625" spans="27:33" x14ac:dyDescent="0.25">
      <c r="AA625" s="28">
        <f t="shared" si="82"/>
        <v>623</v>
      </c>
      <c r="AB625" s="28">
        <f t="shared" ca="1" si="83"/>
        <v>120009</v>
      </c>
      <c r="AC625" s="28">
        <f t="shared" ca="1" si="80"/>
        <v>80</v>
      </c>
      <c r="AD625" s="29">
        <f t="shared" ca="1" si="81"/>
        <v>10000</v>
      </c>
      <c r="AE625" s="28" t="str">
        <f t="shared" ca="1" si="84"/>
        <v>免费金币抽9</v>
      </c>
      <c r="AF625" s="28">
        <f t="shared" si="85"/>
        <v>221</v>
      </c>
      <c r="AG625" s="28">
        <f>COUNTIF(AF$3:AF625,AF625)-1</f>
        <v>0</v>
      </c>
    </row>
    <row r="626" spans="27:33" x14ac:dyDescent="0.25">
      <c r="AA626" s="28">
        <f t="shared" si="82"/>
        <v>624</v>
      </c>
      <c r="AB626" s="28">
        <f t="shared" ca="1" si="83"/>
        <v>120010</v>
      </c>
      <c r="AC626" s="28">
        <f t="shared" ca="1" si="80"/>
        <v>81</v>
      </c>
      <c r="AD626" s="29">
        <f t="shared" ca="1" si="81"/>
        <v>10000</v>
      </c>
      <c r="AE626" s="28" t="str">
        <f t="shared" ca="1" si="84"/>
        <v>免费金币抽10</v>
      </c>
      <c r="AF626" s="28">
        <f t="shared" si="85"/>
        <v>222</v>
      </c>
      <c r="AG626" s="28">
        <f>COUNTIF(AF$3:AF626,AF626)-1</f>
        <v>0</v>
      </c>
    </row>
    <row r="627" spans="27:33" x14ac:dyDescent="0.25">
      <c r="AA627" s="28">
        <f t="shared" si="82"/>
        <v>625</v>
      </c>
      <c r="AB627" s="28">
        <f t="shared" ca="1" si="83"/>
        <v>120011</v>
      </c>
      <c r="AC627" s="28">
        <f t="shared" ca="1" si="80"/>
        <v>82</v>
      </c>
      <c r="AD627" s="29">
        <f t="shared" ca="1" si="81"/>
        <v>10000</v>
      </c>
      <c r="AE627" s="28" t="str">
        <f t="shared" ca="1" si="84"/>
        <v>免费金币抽11</v>
      </c>
      <c r="AF627" s="28">
        <f t="shared" si="85"/>
        <v>223</v>
      </c>
      <c r="AG627" s="28">
        <f>COUNTIF(AF$3:AF627,AF627)-1</f>
        <v>0</v>
      </c>
    </row>
    <row r="628" spans="27:33" x14ac:dyDescent="0.25">
      <c r="AA628" s="28">
        <f t="shared" si="82"/>
        <v>626</v>
      </c>
      <c r="AB628" s="28">
        <f t="shared" ca="1" si="83"/>
        <v>120012</v>
      </c>
      <c r="AC628" s="28">
        <f t="shared" ca="1" si="80"/>
        <v>83</v>
      </c>
      <c r="AD628" s="29">
        <f t="shared" ca="1" si="81"/>
        <v>10000</v>
      </c>
      <c r="AE628" s="28" t="str">
        <f t="shared" ca="1" si="84"/>
        <v>免费金币抽12</v>
      </c>
      <c r="AF628" s="28">
        <f t="shared" si="85"/>
        <v>224</v>
      </c>
      <c r="AG628" s="28">
        <f>COUNTIF(AF$3:AF628,AF628)-1</f>
        <v>0</v>
      </c>
    </row>
    <row r="629" spans="27:33" x14ac:dyDescent="0.25">
      <c r="AA629" s="28">
        <f t="shared" si="82"/>
        <v>627</v>
      </c>
      <c r="AB629" s="28">
        <f t="shared" ca="1" si="83"/>
        <v>120013</v>
      </c>
      <c r="AC629" s="28">
        <f t="shared" ca="1" si="80"/>
        <v>84</v>
      </c>
      <c r="AD629" s="29">
        <f t="shared" ca="1" si="81"/>
        <v>10000</v>
      </c>
      <c r="AE629" s="28" t="str">
        <f t="shared" ca="1" si="84"/>
        <v>免费金币抽13</v>
      </c>
      <c r="AF629" s="28">
        <f t="shared" si="85"/>
        <v>225</v>
      </c>
      <c r="AG629" s="28">
        <f>COUNTIF(AF$3:AF629,AF629)-1</f>
        <v>0</v>
      </c>
    </row>
    <row r="630" spans="27:33" x14ac:dyDescent="0.25">
      <c r="AA630" s="28">
        <f t="shared" si="82"/>
        <v>628</v>
      </c>
      <c r="AB630" s="28">
        <f t="shared" ca="1" si="83"/>
        <v>130001</v>
      </c>
      <c r="AC630" s="28">
        <f t="shared" ca="1" si="80"/>
        <v>72</v>
      </c>
      <c r="AD630" s="29">
        <f t="shared" ca="1" si="81"/>
        <v>10000</v>
      </c>
      <c r="AE630" s="28" t="str">
        <f t="shared" ca="1" si="84"/>
        <v>金币抽1</v>
      </c>
      <c r="AF630" s="28">
        <f t="shared" si="85"/>
        <v>226</v>
      </c>
      <c r="AG630" s="28">
        <f>COUNTIF(AF$3:AF630,AF630)-1</f>
        <v>0</v>
      </c>
    </row>
    <row r="631" spans="27:33" x14ac:dyDescent="0.25">
      <c r="AA631" s="28">
        <f t="shared" si="82"/>
        <v>629</v>
      </c>
      <c r="AB631" s="28">
        <f t="shared" ca="1" si="83"/>
        <v>130002</v>
      </c>
      <c r="AC631" s="28">
        <f t="shared" ca="1" si="80"/>
        <v>73</v>
      </c>
      <c r="AD631" s="29">
        <f t="shared" ca="1" si="81"/>
        <v>10000</v>
      </c>
      <c r="AE631" s="28" t="str">
        <f t="shared" ca="1" si="84"/>
        <v>金币抽2</v>
      </c>
      <c r="AF631" s="28">
        <f t="shared" si="85"/>
        <v>227</v>
      </c>
      <c r="AG631" s="28">
        <f>COUNTIF(AF$3:AF631,AF631)-1</f>
        <v>0</v>
      </c>
    </row>
    <row r="632" spans="27:33" x14ac:dyDescent="0.25">
      <c r="AA632" s="28">
        <f t="shared" si="82"/>
        <v>630</v>
      </c>
      <c r="AB632" s="28">
        <f t="shared" ca="1" si="83"/>
        <v>130003</v>
      </c>
      <c r="AC632" s="28">
        <f t="shared" ca="1" si="80"/>
        <v>74</v>
      </c>
      <c r="AD632" s="29">
        <f t="shared" ca="1" si="81"/>
        <v>10000</v>
      </c>
      <c r="AE632" s="28" t="str">
        <f t="shared" ca="1" si="84"/>
        <v>金币抽3</v>
      </c>
      <c r="AF632" s="28">
        <f t="shared" si="85"/>
        <v>228</v>
      </c>
      <c r="AG632" s="28">
        <f>COUNTIF(AF$3:AF632,AF632)-1</f>
        <v>0</v>
      </c>
    </row>
    <row r="633" spans="27:33" x14ac:dyDescent="0.25">
      <c r="AA633" s="28">
        <f t="shared" si="82"/>
        <v>631</v>
      </c>
      <c r="AB633" s="28">
        <f t="shared" ca="1" si="83"/>
        <v>130004</v>
      </c>
      <c r="AC633" s="28">
        <f t="shared" ca="1" si="80"/>
        <v>75</v>
      </c>
      <c r="AD633" s="29">
        <f t="shared" ca="1" si="81"/>
        <v>10000</v>
      </c>
      <c r="AE633" s="28" t="str">
        <f t="shared" ca="1" si="84"/>
        <v>金币抽4</v>
      </c>
      <c r="AF633" s="28">
        <f t="shared" si="85"/>
        <v>229</v>
      </c>
      <c r="AG633" s="28">
        <f>COUNTIF(AF$3:AF633,AF633)-1</f>
        <v>0</v>
      </c>
    </row>
    <row r="634" spans="27:33" x14ac:dyDescent="0.25">
      <c r="AA634" s="28">
        <f t="shared" si="82"/>
        <v>632</v>
      </c>
      <c r="AB634" s="28">
        <f t="shared" ca="1" si="83"/>
        <v>130005</v>
      </c>
      <c r="AC634" s="28">
        <f t="shared" ca="1" si="80"/>
        <v>76</v>
      </c>
      <c r="AD634" s="29">
        <f t="shared" ca="1" si="81"/>
        <v>10000</v>
      </c>
      <c r="AE634" s="28" t="str">
        <f t="shared" ca="1" si="84"/>
        <v>金币抽5</v>
      </c>
      <c r="AF634" s="28">
        <f t="shared" si="85"/>
        <v>230</v>
      </c>
      <c r="AG634" s="28">
        <f>COUNTIF(AF$3:AF634,AF634)-1</f>
        <v>0</v>
      </c>
    </row>
    <row r="635" spans="27:33" x14ac:dyDescent="0.25">
      <c r="AA635" s="28">
        <f t="shared" si="82"/>
        <v>633</v>
      </c>
      <c r="AB635" s="28">
        <f t="shared" ca="1" si="83"/>
        <v>130006</v>
      </c>
      <c r="AC635" s="28">
        <f t="shared" ca="1" si="80"/>
        <v>77</v>
      </c>
      <c r="AD635" s="29">
        <f t="shared" ca="1" si="81"/>
        <v>10000</v>
      </c>
      <c r="AE635" s="28" t="str">
        <f t="shared" ca="1" si="84"/>
        <v>金币抽6</v>
      </c>
      <c r="AF635" s="28">
        <f t="shared" si="85"/>
        <v>231</v>
      </c>
      <c r="AG635" s="28">
        <f>COUNTIF(AF$3:AF635,AF635)-1</f>
        <v>0</v>
      </c>
    </row>
    <row r="636" spans="27:33" x14ac:dyDescent="0.25">
      <c r="AA636" s="28">
        <f t="shared" si="82"/>
        <v>634</v>
      </c>
      <c r="AB636" s="28">
        <f t="shared" ca="1" si="83"/>
        <v>130007</v>
      </c>
      <c r="AC636" s="28">
        <f t="shared" ca="1" si="80"/>
        <v>78</v>
      </c>
      <c r="AD636" s="29">
        <f t="shared" ca="1" si="81"/>
        <v>10000</v>
      </c>
      <c r="AE636" s="28" t="str">
        <f t="shared" ca="1" si="84"/>
        <v>金币抽7</v>
      </c>
      <c r="AF636" s="28">
        <f t="shared" si="85"/>
        <v>232</v>
      </c>
      <c r="AG636" s="28">
        <f>COUNTIF(AF$3:AF636,AF636)-1</f>
        <v>0</v>
      </c>
    </row>
    <row r="637" spans="27:33" x14ac:dyDescent="0.25">
      <c r="AA637" s="28">
        <f t="shared" si="82"/>
        <v>635</v>
      </c>
      <c r="AB637" s="28">
        <f t="shared" ca="1" si="83"/>
        <v>130008</v>
      </c>
      <c r="AC637" s="28">
        <f t="shared" ca="1" si="80"/>
        <v>79</v>
      </c>
      <c r="AD637" s="29">
        <f t="shared" ca="1" si="81"/>
        <v>10000</v>
      </c>
      <c r="AE637" s="28" t="str">
        <f t="shared" ca="1" si="84"/>
        <v>金币抽8</v>
      </c>
      <c r="AF637" s="28">
        <f t="shared" si="85"/>
        <v>233</v>
      </c>
      <c r="AG637" s="28">
        <f>COUNTIF(AF$3:AF637,AF637)-1</f>
        <v>0</v>
      </c>
    </row>
    <row r="638" spans="27:33" x14ac:dyDescent="0.25">
      <c r="AA638" s="28">
        <f t="shared" si="82"/>
        <v>636</v>
      </c>
      <c r="AB638" s="28">
        <f t="shared" ca="1" si="83"/>
        <v>130009</v>
      </c>
      <c r="AC638" s="28">
        <f t="shared" ca="1" si="80"/>
        <v>80</v>
      </c>
      <c r="AD638" s="29">
        <f t="shared" ca="1" si="81"/>
        <v>10000</v>
      </c>
      <c r="AE638" s="28" t="str">
        <f t="shared" ca="1" si="84"/>
        <v>金币抽9</v>
      </c>
      <c r="AF638" s="28">
        <f t="shared" si="85"/>
        <v>234</v>
      </c>
      <c r="AG638" s="28">
        <f>COUNTIF(AF$3:AF638,AF638)-1</f>
        <v>0</v>
      </c>
    </row>
    <row r="639" spans="27:33" x14ac:dyDescent="0.25">
      <c r="AA639" s="28">
        <f t="shared" si="82"/>
        <v>637</v>
      </c>
      <c r="AB639" s="28">
        <f t="shared" ca="1" si="83"/>
        <v>130010</v>
      </c>
      <c r="AC639" s="28">
        <f t="shared" ca="1" si="80"/>
        <v>81</v>
      </c>
      <c r="AD639" s="29">
        <f t="shared" ca="1" si="81"/>
        <v>10000</v>
      </c>
      <c r="AE639" s="28" t="str">
        <f t="shared" ca="1" si="84"/>
        <v>金币抽10</v>
      </c>
      <c r="AF639" s="28">
        <f t="shared" si="85"/>
        <v>235</v>
      </c>
      <c r="AG639" s="28">
        <f>COUNTIF(AF$3:AF639,AF639)-1</f>
        <v>0</v>
      </c>
    </row>
    <row r="640" spans="27:33" x14ac:dyDescent="0.25">
      <c r="AA640" s="28">
        <f t="shared" si="82"/>
        <v>638</v>
      </c>
      <c r="AB640" s="28">
        <f t="shared" ca="1" si="83"/>
        <v>130011</v>
      </c>
      <c r="AC640" s="28">
        <f t="shared" ca="1" si="80"/>
        <v>82</v>
      </c>
      <c r="AD640" s="29">
        <f t="shared" ca="1" si="81"/>
        <v>10000</v>
      </c>
      <c r="AE640" s="28" t="str">
        <f t="shared" ca="1" si="84"/>
        <v>金币抽11</v>
      </c>
      <c r="AF640" s="28">
        <f t="shared" si="85"/>
        <v>236</v>
      </c>
      <c r="AG640" s="28">
        <f>COUNTIF(AF$3:AF640,AF640)-1</f>
        <v>0</v>
      </c>
    </row>
    <row r="641" spans="27:33" x14ac:dyDescent="0.25">
      <c r="AA641" s="28">
        <f t="shared" si="82"/>
        <v>639</v>
      </c>
      <c r="AB641" s="28">
        <f t="shared" ca="1" si="83"/>
        <v>130012</v>
      </c>
      <c r="AC641" s="28">
        <f t="shared" ca="1" si="80"/>
        <v>83</v>
      </c>
      <c r="AD641" s="29">
        <f t="shared" ca="1" si="81"/>
        <v>10000</v>
      </c>
      <c r="AE641" s="28" t="str">
        <f t="shared" ca="1" si="84"/>
        <v>金币抽12</v>
      </c>
      <c r="AF641" s="28">
        <f t="shared" si="85"/>
        <v>237</v>
      </c>
      <c r="AG641" s="28">
        <f>COUNTIF(AF$3:AF641,AF641)-1</f>
        <v>0</v>
      </c>
    </row>
    <row r="642" spans="27:33" x14ac:dyDescent="0.25">
      <c r="AA642" s="28">
        <f t="shared" si="82"/>
        <v>640</v>
      </c>
      <c r="AB642" s="28">
        <f t="shared" ca="1" si="83"/>
        <v>130013</v>
      </c>
      <c r="AC642" s="28">
        <f t="shared" ca="1" si="80"/>
        <v>84</v>
      </c>
      <c r="AD642" s="29">
        <f t="shared" ca="1" si="81"/>
        <v>10000</v>
      </c>
      <c r="AE642" s="28" t="str">
        <f t="shared" ca="1" si="84"/>
        <v>金币抽13</v>
      </c>
      <c r="AF642" s="28">
        <f t="shared" si="85"/>
        <v>238</v>
      </c>
      <c r="AG642" s="28">
        <f>COUNTIF(AF$3:AF642,AF642)-1</f>
        <v>0</v>
      </c>
    </row>
    <row r="643" spans="27:33" x14ac:dyDescent="0.25">
      <c r="AA643" s="28">
        <f t="shared" si="82"/>
        <v>641</v>
      </c>
      <c r="AB643" s="28">
        <f t="shared" ca="1" si="83"/>
        <v>140001</v>
      </c>
      <c r="AC643" s="28">
        <f t="shared" ref="AC643:AC706" ca="1" si="86">OFFSET($G$2,$AF643,$AG643)</f>
        <v>72</v>
      </c>
      <c r="AD643" s="29">
        <f t="shared" ref="AD643:AD706" ca="1" si="87">OFFSET($Q$2,$AF643,$AG643)*$AD$1</f>
        <v>10000</v>
      </c>
      <c r="AE643" s="28" t="str">
        <f t="shared" ca="1" si="84"/>
        <v>金币十抽1</v>
      </c>
      <c r="AF643" s="28">
        <f t="shared" si="85"/>
        <v>239</v>
      </c>
      <c r="AG643" s="28">
        <f>COUNTIF(AF$3:AF643,AF643)-1</f>
        <v>0</v>
      </c>
    </row>
    <row r="644" spans="27:33" x14ac:dyDescent="0.25">
      <c r="AA644" s="28">
        <f t="shared" si="82"/>
        <v>642</v>
      </c>
      <c r="AB644" s="28">
        <f t="shared" ca="1" si="83"/>
        <v>140002</v>
      </c>
      <c r="AC644" s="28">
        <f t="shared" ca="1" si="86"/>
        <v>73</v>
      </c>
      <c r="AD644" s="29">
        <f t="shared" ca="1" si="87"/>
        <v>10000</v>
      </c>
      <c r="AE644" s="28" t="str">
        <f t="shared" ca="1" si="84"/>
        <v>金币十抽2</v>
      </c>
      <c r="AF644" s="28">
        <f t="shared" si="85"/>
        <v>240</v>
      </c>
      <c r="AG644" s="28">
        <f>COUNTIF(AF$3:AF644,AF644)-1</f>
        <v>0</v>
      </c>
    </row>
    <row r="645" spans="27:33" x14ac:dyDescent="0.25">
      <c r="AA645" s="28">
        <f t="shared" si="82"/>
        <v>643</v>
      </c>
      <c r="AB645" s="28">
        <f t="shared" ca="1" si="83"/>
        <v>140003</v>
      </c>
      <c r="AC645" s="28">
        <f t="shared" ca="1" si="86"/>
        <v>74</v>
      </c>
      <c r="AD645" s="29">
        <f t="shared" ca="1" si="87"/>
        <v>10000</v>
      </c>
      <c r="AE645" s="28" t="str">
        <f t="shared" ca="1" si="84"/>
        <v>金币十抽3</v>
      </c>
      <c r="AF645" s="28">
        <f t="shared" si="85"/>
        <v>241</v>
      </c>
      <c r="AG645" s="28">
        <f>COUNTIF(AF$3:AF645,AF645)-1</f>
        <v>0</v>
      </c>
    </row>
    <row r="646" spans="27:33" x14ac:dyDescent="0.25">
      <c r="AA646" s="28">
        <f t="shared" si="82"/>
        <v>644</v>
      </c>
      <c r="AB646" s="28">
        <f t="shared" ca="1" si="83"/>
        <v>140004</v>
      </c>
      <c r="AC646" s="28">
        <f t="shared" ca="1" si="86"/>
        <v>75</v>
      </c>
      <c r="AD646" s="29">
        <f t="shared" ca="1" si="87"/>
        <v>10000</v>
      </c>
      <c r="AE646" s="28" t="str">
        <f t="shared" ca="1" si="84"/>
        <v>金币十抽4</v>
      </c>
      <c r="AF646" s="28">
        <f t="shared" si="85"/>
        <v>242</v>
      </c>
      <c r="AG646" s="28">
        <f>COUNTIF(AF$3:AF646,AF646)-1</f>
        <v>0</v>
      </c>
    </row>
    <row r="647" spans="27:33" x14ac:dyDescent="0.25">
      <c r="AA647" s="28">
        <f t="shared" si="82"/>
        <v>645</v>
      </c>
      <c r="AB647" s="28">
        <f t="shared" ca="1" si="83"/>
        <v>140005</v>
      </c>
      <c r="AC647" s="28">
        <f t="shared" ca="1" si="86"/>
        <v>76</v>
      </c>
      <c r="AD647" s="29">
        <f t="shared" ca="1" si="87"/>
        <v>10000</v>
      </c>
      <c r="AE647" s="28" t="str">
        <f t="shared" ca="1" si="84"/>
        <v>金币十抽5</v>
      </c>
      <c r="AF647" s="28">
        <f t="shared" si="85"/>
        <v>243</v>
      </c>
      <c r="AG647" s="28">
        <f>COUNTIF(AF$3:AF647,AF647)-1</f>
        <v>0</v>
      </c>
    </row>
    <row r="648" spans="27:33" x14ac:dyDescent="0.25">
      <c r="AA648" s="28">
        <f t="shared" si="82"/>
        <v>646</v>
      </c>
      <c r="AB648" s="28">
        <f t="shared" ca="1" si="83"/>
        <v>140006</v>
      </c>
      <c r="AC648" s="28">
        <f t="shared" ca="1" si="86"/>
        <v>77</v>
      </c>
      <c r="AD648" s="29">
        <f t="shared" ca="1" si="87"/>
        <v>10000</v>
      </c>
      <c r="AE648" s="28" t="str">
        <f t="shared" ca="1" si="84"/>
        <v>金币十抽6</v>
      </c>
      <c r="AF648" s="28">
        <f t="shared" si="85"/>
        <v>244</v>
      </c>
      <c r="AG648" s="28">
        <f>COUNTIF(AF$3:AF648,AF648)-1</f>
        <v>0</v>
      </c>
    </row>
    <row r="649" spans="27:33" x14ac:dyDescent="0.25">
      <c r="AA649" s="28">
        <f t="shared" si="82"/>
        <v>647</v>
      </c>
      <c r="AB649" s="28">
        <f t="shared" ca="1" si="83"/>
        <v>140007</v>
      </c>
      <c r="AC649" s="28">
        <f t="shared" ca="1" si="86"/>
        <v>78</v>
      </c>
      <c r="AD649" s="29">
        <f t="shared" ca="1" si="87"/>
        <v>10000</v>
      </c>
      <c r="AE649" s="28" t="str">
        <f t="shared" ca="1" si="84"/>
        <v>金币十抽7</v>
      </c>
      <c r="AF649" s="28">
        <f t="shared" si="85"/>
        <v>245</v>
      </c>
      <c r="AG649" s="28">
        <f>COUNTIF(AF$3:AF649,AF649)-1</f>
        <v>0</v>
      </c>
    </row>
    <row r="650" spans="27:33" x14ac:dyDescent="0.25">
      <c r="AA650" s="28">
        <f t="shared" si="82"/>
        <v>648</v>
      </c>
      <c r="AB650" s="28">
        <f t="shared" ca="1" si="83"/>
        <v>140008</v>
      </c>
      <c r="AC650" s="28">
        <f t="shared" ca="1" si="86"/>
        <v>79</v>
      </c>
      <c r="AD650" s="29">
        <f t="shared" ca="1" si="87"/>
        <v>10000</v>
      </c>
      <c r="AE650" s="28" t="str">
        <f t="shared" ca="1" si="84"/>
        <v>金币十抽8</v>
      </c>
      <c r="AF650" s="28">
        <f t="shared" si="85"/>
        <v>246</v>
      </c>
      <c r="AG650" s="28">
        <f>COUNTIF(AF$3:AF650,AF650)-1</f>
        <v>0</v>
      </c>
    </row>
    <row r="651" spans="27:33" x14ac:dyDescent="0.25">
      <c r="AA651" s="28">
        <f t="shared" si="82"/>
        <v>649</v>
      </c>
      <c r="AB651" s="28">
        <f t="shared" ca="1" si="83"/>
        <v>140009</v>
      </c>
      <c r="AC651" s="28">
        <f t="shared" ca="1" si="86"/>
        <v>80</v>
      </c>
      <c r="AD651" s="29">
        <f t="shared" ca="1" si="87"/>
        <v>10000</v>
      </c>
      <c r="AE651" s="28" t="str">
        <f t="shared" ca="1" si="84"/>
        <v>金币十抽9</v>
      </c>
      <c r="AF651" s="28">
        <f t="shared" si="85"/>
        <v>247</v>
      </c>
      <c r="AG651" s="28">
        <f>COUNTIF(AF$3:AF651,AF651)-1</f>
        <v>0</v>
      </c>
    </row>
    <row r="652" spans="27:33" x14ac:dyDescent="0.25">
      <c r="AA652" s="28">
        <f t="shared" si="82"/>
        <v>650</v>
      </c>
      <c r="AB652" s="28">
        <f t="shared" ca="1" si="83"/>
        <v>140010</v>
      </c>
      <c r="AC652" s="28">
        <f t="shared" ca="1" si="86"/>
        <v>81</v>
      </c>
      <c r="AD652" s="29">
        <f t="shared" ca="1" si="87"/>
        <v>10000</v>
      </c>
      <c r="AE652" s="28" t="str">
        <f t="shared" ca="1" si="84"/>
        <v>金币十抽10</v>
      </c>
      <c r="AF652" s="28">
        <f t="shared" si="85"/>
        <v>248</v>
      </c>
      <c r="AG652" s="28">
        <f>COUNTIF(AF$3:AF652,AF652)-1</f>
        <v>0</v>
      </c>
    </row>
    <row r="653" spans="27:33" x14ac:dyDescent="0.25">
      <c r="AA653" s="28">
        <f t="shared" si="82"/>
        <v>651</v>
      </c>
      <c r="AB653" s="28">
        <f t="shared" ca="1" si="83"/>
        <v>140011</v>
      </c>
      <c r="AC653" s="28">
        <f t="shared" ca="1" si="86"/>
        <v>82</v>
      </c>
      <c r="AD653" s="29">
        <f t="shared" ca="1" si="87"/>
        <v>10000</v>
      </c>
      <c r="AE653" s="28" t="str">
        <f t="shared" ca="1" si="84"/>
        <v>金币十抽11</v>
      </c>
      <c r="AF653" s="28">
        <f t="shared" si="85"/>
        <v>249</v>
      </c>
      <c r="AG653" s="28">
        <f>COUNTIF(AF$3:AF653,AF653)-1</f>
        <v>0</v>
      </c>
    </row>
    <row r="654" spans="27:33" x14ac:dyDescent="0.25">
      <c r="AA654" s="28">
        <f t="shared" si="82"/>
        <v>652</v>
      </c>
      <c r="AB654" s="28">
        <f t="shared" ca="1" si="83"/>
        <v>140012</v>
      </c>
      <c r="AC654" s="28">
        <f t="shared" ca="1" si="86"/>
        <v>83</v>
      </c>
      <c r="AD654" s="29">
        <f t="shared" ca="1" si="87"/>
        <v>10000</v>
      </c>
      <c r="AE654" s="28" t="str">
        <f t="shared" ca="1" si="84"/>
        <v>金币十抽12</v>
      </c>
      <c r="AF654" s="28">
        <f t="shared" si="85"/>
        <v>250</v>
      </c>
      <c r="AG654" s="28">
        <f>COUNTIF(AF$3:AF654,AF654)-1</f>
        <v>0</v>
      </c>
    </row>
    <row r="655" spans="27:33" x14ac:dyDescent="0.25">
      <c r="AA655" s="28">
        <f t="shared" si="82"/>
        <v>653</v>
      </c>
      <c r="AB655" s="28">
        <f t="shared" ca="1" si="83"/>
        <v>140013</v>
      </c>
      <c r="AC655" s="28">
        <f t="shared" ca="1" si="86"/>
        <v>84</v>
      </c>
      <c r="AD655" s="29">
        <f t="shared" ca="1" si="87"/>
        <v>10000</v>
      </c>
      <c r="AE655" s="28" t="str">
        <f t="shared" ca="1" si="84"/>
        <v>金币十抽13</v>
      </c>
      <c r="AF655" s="28">
        <f t="shared" si="85"/>
        <v>251</v>
      </c>
      <c r="AG655" s="28">
        <f>COUNTIF(AF$3:AF655,AF655)-1</f>
        <v>0</v>
      </c>
    </row>
    <row r="656" spans="27:33" x14ac:dyDescent="0.25">
      <c r="AA656" s="28">
        <f t="shared" si="82"/>
        <v>654</v>
      </c>
      <c r="AB656" s="28">
        <f t="shared" ca="1" si="83"/>
        <v>150001</v>
      </c>
      <c r="AC656" s="28">
        <f t="shared" ca="1" si="86"/>
        <v>72</v>
      </c>
      <c r="AD656" s="29">
        <f t="shared" ca="1" si="87"/>
        <v>10000</v>
      </c>
      <c r="AE656" s="28" t="str">
        <f t="shared" ca="1" si="84"/>
        <v>VIP金币十抽1</v>
      </c>
      <c r="AF656" s="28">
        <f t="shared" si="85"/>
        <v>252</v>
      </c>
      <c r="AG656" s="28">
        <f>COUNTIF(AF$3:AF656,AF656)-1</f>
        <v>0</v>
      </c>
    </row>
    <row r="657" spans="27:33" x14ac:dyDescent="0.25">
      <c r="AA657" s="28">
        <f t="shared" si="82"/>
        <v>655</v>
      </c>
      <c r="AB657" s="28">
        <f t="shared" ca="1" si="83"/>
        <v>150002</v>
      </c>
      <c r="AC657" s="28">
        <f t="shared" ca="1" si="86"/>
        <v>73</v>
      </c>
      <c r="AD657" s="29">
        <f t="shared" ca="1" si="87"/>
        <v>10000</v>
      </c>
      <c r="AE657" s="28" t="str">
        <f t="shared" ca="1" si="84"/>
        <v>VIP金币十抽2</v>
      </c>
      <c r="AF657" s="28">
        <f t="shared" si="85"/>
        <v>253</v>
      </c>
      <c r="AG657" s="28">
        <f>COUNTIF(AF$3:AF657,AF657)-1</f>
        <v>0</v>
      </c>
    </row>
    <row r="658" spans="27:33" x14ac:dyDescent="0.25">
      <c r="AA658" s="28">
        <f t="shared" si="82"/>
        <v>656</v>
      </c>
      <c r="AB658" s="28">
        <f t="shared" ca="1" si="83"/>
        <v>150003</v>
      </c>
      <c r="AC658" s="28">
        <f t="shared" ca="1" si="86"/>
        <v>74</v>
      </c>
      <c r="AD658" s="29">
        <f t="shared" ca="1" si="87"/>
        <v>10000</v>
      </c>
      <c r="AE658" s="28" t="str">
        <f t="shared" ca="1" si="84"/>
        <v>VIP金币十抽3</v>
      </c>
      <c r="AF658" s="28">
        <f t="shared" si="85"/>
        <v>254</v>
      </c>
      <c r="AG658" s="28">
        <f>COUNTIF(AF$3:AF658,AF658)-1</f>
        <v>0</v>
      </c>
    </row>
    <row r="659" spans="27:33" x14ac:dyDescent="0.25">
      <c r="AA659" s="28">
        <f t="shared" si="82"/>
        <v>657</v>
      </c>
      <c r="AB659" s="28">
        <f t="shared" ca="1" si="83"/>
        <v>150004</v>
      </c>
      <c r="AC659" s="28">
        <f t="shared" ca="1" si="86"/>
        <v>75</v>
      </c>
      <c r="AD659" s="29">
        <f t="shared" ca="1" si="87"/>
        <v>10000</v>
      </c>
      <c r="AE659" s="28" t="str">
        <f t="shared" ca="1" si="84"/>
        <v>VIP金币十抽4</v>
      </c>
      <c r="AF659" s="28">
        <f t="shared" si="85"/>
        <v>255</v>
      </c>
      <c r="AG659" s="28">
        <f>COUNTIF(AF$3:AF659,AF659)-1</f>
        <v>0</v>
      </c>
    </row>
    <row r="660" spans="27:33" x14ac:dyDescent="0.25">
      <c r="AA660" s="28">
        <f t="shared" si="82"/>
        <v>658</v>
      </c>
      <c r="AB660" s="28">
        <f t="shared" ca="1" si="83"/>
        <v>150005</v>
      </c>
      <c r="AC660" s="28">
        <f t="shared" ca="1" si="86"/>
        <v>76</v>
      </c>
      <c r="AD660" s="29">
        <f t="shared" ca="1" si="87"/>
        <v>10000</v>
      </c>
      <c r="AE660" s="28" t="str">
        <f t="shared" ca="1" si="84"/>
        <v>VIP金币十抽5</v>
      </c>
      <c r="AF660" s="28">
        <f t="shared" si="85"/>
        <v>256</v>
      </c>
      <c r="AG660" s="28">
        <f>COUNTIF(AF$3:AF660,AF660)-1</f>
        <v>0</v>
      </c>
    </row>
    <row r="661" spans="27:33" x14ac:dyDescent="0.25">
      <c r="AA661" s="28">
        <f t="shared" si="82"/>
        <v>659</v>
      </c>
      <c r="AB661" s="28">
        <f t="shared" ca="1" si="83"/>
        <v>150006</v>
      </c>
      <c r="AC661" s="28">
        <f t="shared" ca="1" si="86"/>
        <v>77</v>
      </c>
      <c r="AD661" s="29">
        <f t="shared" ca="1" si="87"/>
        <v>10000</v>
      </c>
      <c r="AE661" s="28" t="str">
        <f t="shared" ca="1" si="84"/>
        <v>VIP金币十抽6</v>
      </c>
      <c r="AF661" s="28">
        <f t="shared" si="85"/>
        <v>257</v>
      </c>
      <c r="AG661" s="28">
        <f>COUNTIF(AF$3:AF661,AF661)-1</f>
        <v>0</v>
      </c>
    </row>
    <row r="662" spans="27:33" x14ac:dyDescent="0.25">
      <c r="AA662" s="28">
        <f t="shared" si="82"/>
        <v>660</v>
      </c>
      <c r="AB662" s="28">
        <f t="shared" ca="1" si="83"/>
        <v>150007</v>
      </c>
      <c r="AC662" s="28">
        <f t="shared" ca="1" si="86"/>
        <v>78</v>
      </c>
      <c r="AD662" s="29">
        <f t="shared" ca="1" si="87"/>
        <v>10000</v>
      </c>
      <c r="AE662" s="28" t="str">
        <f t="shared" ca="1" si="84"/>
        <v>VIP金币十抽7</v>
      </c>
      <c r="AF662" s="28">
        <f t="shared" si="85"/>
        <v>258</v>
      </c>
      <c r="AG662" s="28">
        <f>COUNTIF(AF$3:AF662,AF662)-1</f>
        <v>0</v>
      </c>
    </row>
    <row r="663" spans="27:33" x14ac:dyDescent="0.25">
      <c r="AA663" s="28">
        <f t="shared" si="82"/>
        <v>661</v>
      </c>
      <c r="AB663" s="28">
        <f t="shared" ca="1" si="83"/>
        <v>150008</v>
      </c>
      <c r="AC663" s="28">
        <f t="shared" ca="1" si="86"/>
        <v>79</v>
      </c>
      <c r="AD663" s="29">
        <f t="shared" ca="1" si="87"/>
        <v>10000</v>
      </c>
      <c r="AE663" s="28" t="str">
        <f t="shared" ca="1" si="84"/>
        <v>VIP金币十抽8</v>
      </c>
      <c r="AF663" s="28">
        <f t="shared" si="85"/>
        <v>259</v>
      </c>
      <c r="AG663" s="28">
        <f>COUNTIF(AF$3:AF663,AF663)-1</f>
        <v>0</v>
      </c>
    </row>
    <row r="664" spans="27:33" x14ac:dyDescent="0.25">
      <c r="AA664" s="28">
        <f t="shared" si="82"/>
        <v>662</v>
      </c>
      <c r="AB664" s="28">
        <f t="shared" ca="1" si="83"/>
        <v>150009</v>
      </c>
      <c r="AC664" s="28">
        <f t="shared" ca="1" si="86"/>
        <v>80</v>
      </c>
      <c r="AD664" s="29">
        <f t="shared" ca="1" si="87"/>
        <v>10000</v>
      </c>
      <c r="AE664" s="28" t="str">
        <f t="shared" ca="1" si="84"/>
        <v>VIP金币十抽9</v>
      </c>
      <c r="AF664" s="28">
        <f t="shared" si="85"/>
        <v>260</v>
      </c>
      <c r="AG664" s="28">
        <f>COUNTIF(AF$3:AF664,AF664)-1</f>
        <v>0</v>
      </c>
    </row>
    <row r="665" spans="27:33" x14ac:dyDescent="0.25">
      <c r="AA665" s="28">
        <f t="shared" si="82"/>
        <v>663</v>
      </c>
      <c r="AB665" s="28">
        <f t="shared" ca="1" si="83"/>
        <v>150010</v>
      </c>
      <c r="AC665" s="28">
        <f t="shared" ca="1" si="86"/>
        <v>81</v>
      </c>
      <c r="AD665" s="29">
        <f t="shared" ca="1" si="87"/>
        <v>10000</v>
      </c>
      <c r="AE665" s="28" t="str">
        <f t="shared" ca="1" si="84"/>
        <v>VIP金币十抽10</v>
      </c>
      <c r="AF665" s="28">
        <f t="shared" si="85"/>
        <v>261</v>
      </c>
      <c r="AG665" s="28">
        <f>COUNTIF(AF$3:AF665,AF665)-1</f>
        <v>0</v>
      </c>
    </row>
    <row r="666" spans="27:33" x14ac:dyDescent="0.25">
      <c r="AA666" s="28">
        <f t="shared" si="82"/>
        <v>664</v>
      </c>
      <c r="AB666" s="28">
        <f t="shared" ca="1" si="83"/>
        <v>150011</v>
      </c>
      <c r="AC666" s="28">
        <f t="shared" ca="1" si="86"/>
        <v>82</v>
      </c>
      <c r="AD666" s="29">
        <f t="shared" ca="1" si="87"/>
        <v>10000</v>
      </c>
      <c r="AE666" s="28" t="str">
        <f t="shared" ca="1" si="84"/>
        <v>VIP金币十抽11</v>
      </c>
      <c r="AF666" s="28">
        <f t="shared" si="85"/>
        <v>262</v>
      </c>
      <c r="AG666" s="28">
        <f>COUNTIF(AF$3:AF666,AF666)-1</f>
        <v>0</v>
      </c>
    </row>
    <row r="667" spans="27:33" x14ac:dyDescent="0.25">
      <c r="AA667" s="28">
        <f t="shared" si="82"/>
        <v>665</v>
      </c>
      <c r="AB667" s="28">
        <f t="shared" ca="1" si="83"/>
        <v>150012</v>
      </c>
      <c r="AC667" s="28">
        <f t="shared" ca="1" si="86"/>
        <v>83</v>
      </c>
      <c r="AD667" s="29">
        <f t="shared" ca="1" si="87"/>
        <v>10000</v>
      </c>
      <c r="AE667" s="28" t="str">
        <f t="shared" ca="1" si="84"/>
        <v>VIP金币十抽12</v>
      </c>
      <c r="AF667" s="28">
        <f t="shared" si="85"/>
        <v>263</v>
      </c>
      <c r="AG667" s="28">
        <f>COUNTIF(AF$3:AF667,AF667)-1</f>
        <v>0</v>
      </c>
    </row>
    <row r="668" spans="27:33" x14ac:dyDescent="0.25">
      <c r="AA668" s="28">
        <f t="shared" si="82"/>
        <v>666</v>
      </c>
      <c r="AB668" s="28">
        <f t="shared" ca="1" si="83"/>
        <v>150013</v>
      </c>
      <c r="AC668" s="28">
        <f t="shared" ca="1" si="86"/>
        <v>84</v>
      </c>
      <c r="AD668" s="29">
        <f t="shared" ca="1" si="87"/>
        <v>10000</v>
      </c>
      <c r="AE668" s="28" t="str">
        <f t="shared" ca="1" si="84"/>
        <v>VIP金币十抽13</v>
      </c>
      <c r="AF668" s="28">
        <f t="shared" si="85"/>
        <v>264</v>
      </c>
      <c r="AG668" s="28">
        <f>COUNTIF(AF$3:AF668,AF668)-1</f>
        <v>0</v>
      </c>
    </row>
    <row r="669" spans="27:33" x14ac:dyDescent="0.25">
      <c r="AA669" s="28" t="str">
        <f t="shared" si="82"/>
        <v/>
      </c>
      <c r="AB669" s="28" t="e">
        <f t="shared" ca="1" si="83"/>
        <v>#VALUE!</v>
      </c>
      <c r="AC669" s="28" t="e">
        <f t="shared" ca="1" si="86"/>
        <v>#VALUE!</v>
      </c>
      <c r="AD669" s="29" t="e">
        <f t="shared" ca="1" si="87"/>
        <v>#VALUE!</v>
      </c>
      <c r="AE669" s="28" t="e">
        <f t="shared" ca="1" si="84"/>
        <v>#VALUE!</v>
      </c>
      <c r="AF669" s="28" t="e">
        <f t="shared" si="85"/>
        <v>#VALUE!</v>
      </c>
      <c r="AG669" s="28">
        <f>COUNTIF(AF$3:AF669,AF669)-1</f>
        <v>0</v>
      </c>
    </row>
    <row r="670" spans="27:33" x14ac:dyDescent="0.25">
      <c r="AA670" s="28" t="str">
        <f t="shared" si="82"/>
        <v/>
      </c>
      <c r="AB670" s="28" t="e">
        <f t="shared" ca="1" si="83"/>
        <v>#VALUE!</v>
      </c>
      <c r="AC670" s="28" t="e">
        <f t="shared" ca="1" si="86"/>
        <v>#VALUE!</v>
      </c>
      <c r="AD670" s="29" t="e">
        <f t="shared" ca="1" si="87"/>
        <v>#VALUE!</v>
      </c>
      <c r="AE670" s="28" t="e">
        <f t="shared" ca="1" si="84"/>
        <v>#VALUE!</v>
      </c>
      <c r="AF670" s="28" t="e">
        <f t="shared" si="85"/>
        <v>#VALUE!</v>
      </c>
      <c r="AG670" s="28">
        <f>COUNTIF(AF$3:AF670,AF670)-1</f>
        <v>1</v>
      </c>
    </row>
    <row r="671" spans="27:33" x14ac:dyDescent="0.25">
      <c r="AA671" s="28" t="str">
        <f t="shared" ref="AA671:AA734" si="88">IF(ROW(A669)&gt;MAX(D:D),"",ROW(A669))</f>
        <v/>
      </c>
      <c r="AB671" s="28" t="e">
        <f t="shared" ref="AB671:AB734" ca="1" si="89">OFFSET(A$2,$AF671,)</f>
        <v>#VALUE!</v>
      </c>
      <c r="AC671" s="28" t="e">
        <f t="shared" ca="1" si="86"/>
        <v>#VALUE!</v>
      </c>
      <c r="AD671" s="29" t="e">
        <f t="shared" ca="1" si="87"/>
        <v>#VALUE!</v>
      </c>
      <c r="AE671" s="28" t="e">
        <f t="shared" ref="AE671:AE734" ca="1" si="90">OFFSET(B$2,$AF671,)</f>
        <v>#VALUE!</v>
      </c>
      <c r="AF671" s="28" t="e">
        <f t="shared" ref="AF671:AF734" si="91">FREQUENCY(D:D,AA671-0.1)+1</f>
        <v>#VALUE!</v>
      </c>
      <c r="AG671" s="28">
        <f>COUNTIF(AF$3:AF671,AF671)-1</f>
        <v>2</v>
      </c>
    </row>
    <row r="672" spans="27:33" x14ac:dyDescent="0.25">
      <c r="AA672" s="28" t="str">
        <f t="shared" si="88"/>
        <v/>
      </c>
      <c r="AB672" s="28" t="e">
        <f t="shared" ca="1" si="89"/>
        <v>#VALUE!</v>
      </c>
      <c r="AC672" s="28" t="e">
        <f t="shared" ca="1" si="86"/>
        <v>#VALUE!</v>
      </c>
      <c r="AD672" s="29" t="e">
        <f t="shared" ca="1" si="87"/>
        <v>#VALUE!</v>
      </c>
      <c r="AE672" s="28" t="e">
        <f t="shared" ca="1" si="90"/>
        <v>#VALUE!</v>
      </c>
      <c r="AF672" s="28" t="e">
        <f t="shared" si="91"/>
        <v>#VALUE!</v>
      </c>
      <c r="AG672" s="28">
        <f>COUNTIF(AF$3:AF672,AF672)-1</f>
        <v>3</v>
      </c>
    </row>
    <row r="673" spans="27:33" x14ac:dyDescent="0.25">
      <c r="AA673" s="28" t="str">
        <f t="shared" si="88"/>
        <v/>
      </c>
      <c r="AB673" s="28" t="e">
        <f t="shared" ca="1" si="89"/>
        <v>#VALUE!</v>
      </c>
      <c r="AC673" s="28" t="e">
        <f t="shared" ca="1" si="86"/>
        <v>#VALUE!</v>
      </c>
      <c r="AD673" s="29" t="e">
        <f t="shared" ca="1" si="87"/>
        <v>#VALUE!</v>
      </c>
      <c r="AE673" s="28" t="e">
        <f t="shared" ca="1" si="90"/>
        <v>#VALUE!</v>
      </c>
      <c r="AF673" s="28" t="e">
        <f t="shared" si="91"/>
        <v>#VALUE!</v>
      </c>
      <c r="AG673" s="28">
        <f>COUNTIF(AF$3:AF673,AF673)-1</f>
        <v>4</v>
      </c>
    </row>
    <row r="674" spans="27:33" x14ac:dyDescent="0.25">
      <c r="AA674" s="28" t="str">
        <f t="shared" si="88"/>
        <v/>
      </c>
      <c r="AB674" s="28" t="e">
        <f t="shared" ca="1" si="89"/>
        <v>#VALUE!</v>
      </c>
      <c r="AC674" s="28" t="e">
        <f t="shared" ca="1" si="86"/>
        <v>#VALUE!</v>
      </c>
      <c r="AD674" s="29" t="e">
        <f t="shared" ca="1" si="87"/>
        <v>#VALUE!</v>
      </c>
      <c r="AE674" s="28" t="e">
        <f t="shared" ca="1" si="90"/>
        <v>#VALUE!</v>
      </c>
      <c r="AF674" s="28" t="e">
        <f t="shared" si="91"/>
        <v>#VALUE!</v>
      </c>
      <c r="AG674" s="28">
        <f>COUNTIF(AF$3:AF674,AF674)-1</f>
        <v>5</v>
      </c>
    </row>
    <row r="675" spans="27:33" x14ac:dyDescent="0.25">
      <c r="AA675" s="28" t="str">
        <f t="shared" si="88"/>
        <v/>
      </c>
      <c r="AB675" s="28" t="e">
        <f t="shared" ca="1" si="89"/>
        <v>#VALUE!</v>
      </c>
      <c r="AC675" s="28" t="e">
        <f t="shared" ca="1" si="86"/>
        <v>#VALUE!</v>
      </c>
      <c r="AD675" s="29" t="e">
        <f t="shared" ca="1" si="87"/>
        <v>#VALUE!</v>
      </c>
      <c r="AE675" s="28" t="e">
        <f t="shared" ca="1" si="90"/>
        <v>#VALUE!</v>
      </c>
      <c r="AF675" s="28" t="e">
        <f t="shared" si="91"/>
        <v>#VALUE!</v>
      </c>
      <c r="AG675" s="28">
        <f>COUNTIF(AF$3:AF675,AF675)-1</f>
        <v>6</v>
      </c>
    </row>
    <row r="676" spans="27:33" x14ac:dyDescent="0.25">
      <c r="AA676" s="28" t="str">
        <f t="shared" si="88"/>
        <v/>
      </c>
      <c r="AB676" s="28" t="e">
        <f t="shared" ca="1" si="89"/>
        <v>#VALUE!</v>
      </c>
      <c r="AC676" s="28" t="e">
        <f t="shared" ca="1" si="86"/>
        <v>#VALUE!</v>
      </c>
      <c r="AD676" s="29" t="e">
        <f t="shared" ca="1" si="87"/>
        <v>#VALUE!</v>
      </c>
      <c r="AE676" s="28" t="e">
        <f t="shared" ca="1" si="90"/>
        <v>#VALUE!</v>
      </c>
      <c r="AF676" s="28" t="e">
        <f t="shared" si="91"/>
        <v>#VALUE!</v>
      </c>
      <c r="AG676" s="28">
        <f>COUNTIF(AF$3:AF676,AF676)-1</f>
        <v>7</v>
      </c>
    </row>
    <row r="677" spans="27:33" x14ac:dyDescent="0.25">
      <c r="AA677" s="28" t="str">
        <f t="shared" si="88"/>
        <v/>
      </c>
      <c r="AB677" s="28" t="e">
        <f t="shared" ca="1" si="89"/>
        <v>#VALUE!</v>
      </c>
      <c r="AC677" s="28" t="e">
        <f t="shared" ca="1" si="86"/>
        <v>#VALUE!</v>
      </c>
      <c r="AD677" s="29" t="e">
        <f t="shared" ca="1" si="87"/>
        <v>#VALUE!</v>
      </c>
      <c r="AE677" s="28" t="e">
        <f t="shared" ca="1" si="90"/>
        <v>#VALUE!</v>
      </c>
      <c r="AF677" s="28" t="e">
        <f t="shared" si="91"/>
        <v>#VALUE!</v>
      </c>
      <c r="AG677" s="28">
        <f>COUNTIF(AF$3:AF677,AF677)-1</f>
        <v>8</v>
      </c>
    </row>
    <row r="678" spans="27:33" x14ac:dyDescent="0.25">
      <c r="AA678" s="28" t="str">
        <f t="shared" si="88"/>
        <v/>
      </c>
      <c r="AB678" s="28" t="e">
        <f t="shared" ca="1" si="89"/>
        <v>#VALUE!</v>
      </c>
      <c r="AC678" s="28" t="e">
        <f t="shared" ca="1" si="86"/>
        <v>#VALUE!</v>
      </c>
      <c r="AD678" s="29" t="e">
        <f t="shared" ca="1" si="87"/>
        <v>#VALUE!</v>
      </c>
      <c r="AE678" s="28" t="e">
        <f t="shared" ca="1" si="90"/>
        <v>#VALUE!</v>
      </c>
      <c r="AF678" s="28" t="e">
        <f t="shared" si="91"/>
        <v>#VALUE!</v>
      </c>
      <c r="AG678" s="28">
        <f>COUNTIF(AF$3:AF678,AF678)-1</f>
        <v>9</v>
      </c>
    </row>
    <row r="679" spans="27:33" x14ac:dyDescent="0.25">
      <c r="AA679" s="28" t="str">
        <f t="shared" si="88"/>
        <v/>
      </c>
      <c r="AB679" s="28" t="e">
        <f t="shared" ca="1" si="89"/>
        <v>#VALUE!</v>
      </c>
      <c r="AC679" s="28" t="e">
        <f t="shared" ca="1" si="86"/>
        <v>#VALUE!</v>
      </c>
      <c r="AD679" s="29" t="e">
        <f t="shared" ca="1" si="87"/>
        <v>#VALUE!</v>
      </c>
      <c r="AE679" s="28" t="e">
        <f t="shared" ca="1" si="90"/>
        <v>#VALUE!</v>
      </c>
      <c r="AF679" s="28" t="e">
        <f t="shared" si="91"/>
        <v>#VALUE!</v>
      </c>
      <c r="AG679" s="28">
        <f>COUNTIF(AF$3:AF679,AF679)-1</f>
        <v>10</v>
      </c>
    </row>
    <row r="680" spans="27:33" x14ac:dyDescent="0.25">
      <c r="AA680" s="28" t="str">
        <f t="shared" si="88"/>
        <v/>
      </c>
      <c r="AB680" s="28" t="e">
        <f t="shared" ca="1" si="89"/>
        <v>#VALUE!</v>
      </c>
      <c r="AC680" s="28" t="e">
        <f t="shared" ca="1" si="86"/>
        <v>#VALUE!</v>
      </c>
      <c r="AD680" s="29" t="e">
        <f t="shared" ca="1" si="87"/>
        <v>#VALUE!</v>
      </c>
      <c r="AE680" s="28" t="e">
        <f t="shared" ca="1" si="90"/>
        <v>#VALUE!</v>
      </c>
      <c r="AF680" s="28" t="e">
        <f t="shared" si="91"/>
        <v>#VALUE!</v>
      </c>
      <c r="AG680" s="28">
        <f>COUNTIF(AF$3:AF680,AF680)-1</f>
        <v>11</v>
      </c>
    </row>
    <row r="681" spans="27:33" x14ac:dyDescent="0.25">
      <c r="AA681" s="28" t="str">
        <f t="shared" si="88"/>
        <v/>
      </c>
      <c r="AB681" s="28" t="e">
        <f t="shared" ca="1" si="89"/>
        <v>#VALUE!</v>
      </c>
      <c r="AC681" s="28" t="e">
        <f t="shared" ca="1" si="86"/>
        <v>#VALUE!</v>
      </c>
      <c r="AD681" s="29" t="e">
        <f t="shared" ca="1" si="87"/>
        <v>#VALUE!</v>
      </c>
      <c r="AE681" s="28" t="e">
        <f t="shared" ca="1" si="90"/>
        <v>#VALUE!</v>
      </c>
      <c r="AF681" s="28" t="e">
        <f t="shared" si="91"/>
        <v>#VALUE!</v>
      </c>
      <c r="AG681" s="28">
        <f>COUNTIF(AF$3:AF681,AF681)-1</f>
        <v>12</v>
      </c>
    </row>
    <row r="682" spans="27:33" x14ac:dyDescent="0.25">
      <c r="AA682" s="28" t="str">
        <f t="shared" si="88"/>
        <v/>
      </c>
      <c r="AB682" s="28" t="e">
        <f t="shared" ca="1" si="89"/>
        <v>#VALUE!</v>
      </c>
      <c r="AC682" s="28" t="e">
        <f t="shared" ca="1" si="86"/>
        <v>#VALUE!</v>
      </c>
      <c r="AD682" s="29" t="e">
        <f t="shared" ca="1" si="87"/>
        <v>#VALUE!</v>
      </c>
      <c r="AE682" s="28" t="e">
        <f t="shared" ca="1" si="90"/>
        <v>#VALUE!</v>
      </c>
      <c r="AF682" s="28" t="e">
        <f t="shared" si="91"/>
        <v>#VALUE!</v>
      </c>
      <c r="AG682" s="28">
        <f>COUNTIF(AF$3:AF682,AF682)-1</f>
        <v>13</v>
      </c>
    </row>
    <row r="683" spans="27:33" x14ac:dyDescent="0.25">
      <c r="AA683" s="28" t="str">
        <f t="shared" si="88"/>
        <v/>
      </c>
      <c r="AB683" s="28" t="e">
        <f t="shared" ca="1" si="89"/>
        <v>#VALUE!</v>
      </c>
      <c r="AC683" s="28" t="e">
        <f t="shared" ca="1" si="86"/>
        <v>#VALUE!</v>
      </c>
      <c r="AD683" s="29" t="e">
        <f t="shared" ca="1" si="87"/>
        <v>#VALUE!</v>
      </c>
      <c r="AE683" s="28" t="e">
        <f t="shared" ca="1" si="90"/>
        <v>#VALUE!</v>
      </c>
      <c r="AF683" s="28" t="e">
        <f t="shared" si="91"/>
        <v>#VALUE!</v>
      </c>
      <c r="AG683" s="28">
        <f>COUNTIF(AF$3:AF683,AF683)-1</f>
        <v>14</v>
      </c>
    </row>
    <row r="684" spans="27:33" x14ac:dyDescent="0.25">
      <c r="AA684" s="28" t="str">
        <f t="shared" si="88"/>
        <v/>
      </c>
      <c r="AB684" s="28" t="e">
        <f t="shared" ca="1" si="89"/>
        <v>#VALUE!</v>
      </c>
      <c r="AC684" s="28" t="e">
        <f t="shared" ca="1" si="86"/>
        <v>#VALUE!</v>
      </c>
      <c r="AD684" s="29" t="e">
        <f t="shared" ca="1" si="87"/>
        <v>#VALUE!</v>
      </c>
      <c r="AE684" s="28" t="e">
        <f t="shared" ca="1" si="90"/>
        <v>#VALUE!</v>
      </c>
      <c r="AF684" s="28" t="e">
        <f t="shared" si="91"/>
        <v>#VALUE!</v>
      </c>
      <c r="AG684" s="28">
        <f>COUNTIF(AF$3:AF684,AF684)-1</f>
        <v>15</v>
      </c>
    </row>
    <row r="685" spans="27:33" x14ac:dyDescent="0.25">
      <c r="AA685" s="28" t="str">
        <f t="shared" si="88"/>
        <v/>
      </c>
      <c r="AB685" s="28" t="e">
        <f t="shared" ca="1" si="89"/>
        <v>#VALUE!</v>
      </c>
      <c r="AC685" s="28" t="e">
        <f t="shared" ca="1" si="86"/>
        <v>#VALUE!</v>
      </c>
      <c r="AD685" s="29" t="e">
        <f t="shared" ca="1" si="87"/>
        <v>#VALUE!</v>
      </c>
      <c r="AE685" s="28" t="e">
        <f t="shared" ca="1" si="90"/>
        <v>#VALUE!</v>
      </c>
      <c r="AF685" s="28" t="e">
        <f t="shared" si="91"/>
        <v>#VALUE!</v>
      </c>
      <c r="AG685" s="28">
        <f>COUNTIF(AF$3:AF685,AF685)-1</f>
        <v>16</v>
      </c>
    </row>
    <row r="686" spans="27:33" x14ac:dyDescent="0.25">
      <c r="AA686" s="28" t="str">
        <f t="shared" si="88"/>
        <v/>
      </c>
      <c r="AB686" s="28" t="e">
        <f t="shared" ca="1" si="89"/>
        <v>#VALUE!</v>
      </c>
      <c r="AC686" s="28" t="e">
        <f t="shared" ca="1" si="86"/>
        <v>#VALUE!</v>
      </c>
      <c r="AD686" s="29" t="e">
        <f t="shared" ca="1" si="87"/>
        <v>#VALUE!</v>
      </c>
      <c r="AE686" s="28" t="e">
        <f t="shared" ca="1" si="90"/>
        <v>#VALUE!</v>
      </c>
      <c r="AF686" s="28" t="e">
        <f t="shared" si="91"/>
        <v>#VALUE!</v>
      </c>
      <c r="AG686" s="28">
        <f>COUNTIF(AF$3:AF686,AF686)-1</f>
        <v>17</v>
      </c>
    </row>
    <row r="687" spans="27:33" x14ac:dyDescent="0.25">
      <c r="AA687" s="28" t="str">
        <f t="shared" si="88"/>
        <v/>
      </c>
      <c r="AB687" s="28" t="e">
        <f t="shared" ca="1" si="89"/>
        <v>#VALUE!</v>
      </c>
      <c r="AC687" s="28" t="e">
        <f t="shared" ca="1" si="86"/>
        <v>#VALUE!</v>
      </c>
      <c r="AD687" s="29" t="e">
        <f t="shared" ca="1" si="87"/>
        <v>#VALUE!</v>
      </c>
      <c r="AE687" s="28" t="e">
        <f t="shared" ca="1" si="90"/>
        <v>#VALUE!</v>
      </c>
      <c r="AF687" s="28" t="e">
        <f t="shared" si="91"/>
        <v>#VALUE!</v>
      </c>
      <c r="AG687" s="28">
        <f>COUNTIF(AF$3:AF687,AF687)-1</f>
        <v>18</v>
      </c>
    </row>
    <row r="688" spans="27:33" x14ac:dyDescent="0.25">
      <c r="AA688" s="28" t="str">
        <f t="shared" si="88"/>
        <v/>
      </c>
      <c r="AB688" s="28" t="e">
        <f t="shared" ca="1" si="89"/>
        <v>#VALUE!</v>
      </c>
      <c r="AC688" s="28" t="e">
        <f t="shared" ca="1" si="86"/>
        <v>#VALUE!</v>
      </c>
      <c r="AD688" s="29" t="e">
        <f t="shared" ca="1" si="87"/>
        <v>#VALUE!</v>
      </c>
      <c r="AE688" s="28" t="e">
        <f t="shared" ca="1" si="90"/>
        <v>#VALUE!</v>
      </c>
      <c r="AF688" s="28" t="e">
        <f t="shared" si="91"/>
        <v>#VALUE!</v>
      </c>
      <c r="AG688" s="28">
        <f>COUNTIF(AF$3:AF688,AF688)-1</f>
        <v>19</v>
      </c>
    </row>
    <row r="689" spans="27:33" x14ac:dyDescent="0.25">
      <c r="AA689" s="28" t="str">
        <f t="shared" si="88"/>
        <v/>
      </c>
      <c r="AB689" s="28" t="e">
        <f t="shared" ca="1" si="89"/>
        <v>#VALUE!</v>
      </c>
      <c r="AC689" s="28" t="e">
        <f t="shared" ca="1" si="86"/>
        <v>#VALUE!</v>
      </c>
      <c r="AD689" s="29" t="e">
        <f t="shared" ca="1" si="87"/>
        <v>#VALUE!</v>
      </c>
      <c r="AE689" s="28" t="e">
        <f t="shared" ca="1" si="90"/>
        <v>#VALUE!</v>
      </c>
      <c r="AF689" s="28" t="e">
        <f t="shared" si="91"/>
        <v>#VALUE!</v>
      </c>
      <c r="AG689" s="28">
        <f>COUNTIF(AF$3:AF689,AF689)-1</f>
        <v>20</v>
      </c>
    </row>
    <row r="690" spans="27:33" x14ac:dyDescent="0.25">
      <c r="AA690" s="28" t="str">
        <f t="shared" si="88"/>
        <v/>
      </c>
      <c r="AB690" s="28" t="e">
        <f t="shared" ca="1" si="89"/>
        <v>#VALUE!</v>
      </c>
      <c r="AC690" s="28" t="e">
        <f t="shared" ca="1" si="86"/>
        <v>#VALUE!</v>
      </c>
      <c r="AD690" s="29" t="e">
        <f t="shared" ca="1" si="87"/>
        <v>#VALUE!</v>
      </c>
      <c r="AE690" s="28" t="e">
        <f t="shared" ca="1" si="90"/>
        <v>#VALUE!</v>
      </c>
      <c r="AF690" s="28" t="e">
        <f t="shared" si="91"/>
        <v>#VALUE!</v>
      </c>
      <c r="AG690" s="28">
        <f>COUNTIF(AF$3:AF690,AF690)-1</f>
        <v>21</v>
      </c>
    </row>
    <row r="691" spans="27:33" x14ac:dyDescent="0.25">
      <c r="AA691" s="28" t="str">
        <f t="shared" si="88"/>
        <v/>
      </c>
      <c r="AB691" s="28" t="e">
        <f t="shared" ca="1" si="89"/>
        <v>#VALUE!</v>
      </c>
      <c r="AC691" s="28" t="e">
        <f t="shared" ca="1" si="86"/>
        <v>#VALUE!</v>
      </c>
      <c r="AD691" s="29" t="e">
        <f t="shared" ca="1" si="87"/>
        <v>#VALUE!</v>
      </c>
      <c r="AE691" s="28" t="e">
        <f t="shared" ca="1" si="90"/>
        <v>#VALUE!</v>
      </c>
      <c r="AF691" s="28" t="e">
        <f t="shared" si="91"/>
        <v>#VALUE!</v>
      </c>
      <c r="AG691" s="28">
        <f>COUNTIF(AF$3:AF691,AF691)-1</f>
        <v>22</v>
      </c>
    </row>
    <row r="692" spans="27:33" x14ac:dyDescent="0.25">
      <c r="AA692" s="28" t="str">
        <f t="shared" si="88"/>
        <v/>
      </c>
      <c r="AB692" s="28" t="e">
        <f t="shared" ca="1" si="89"/>
        <v>#VALUE!</v>
      </c>
      <c r="AC692" s="28" t="e">
        <f t="shared" ca="1" si="86"/>
        <v>#VALUE!</v>
      </c>
      <c r="AD692" s="29" t="e">
        <f t="shared" ca="1" si="87"/>
        <v>#VALUE!</v>
      </c>
      <c r="AE692" s="28" t="e">
        <f t="shared" ca="1" si="90"/>
        <v>#VALUE!</v>
      </c>
      <c r="AF692" s="28" t="e">
        <f t="shared" si="91"/>
        <v>#VALUE!</v>
      </c>
      <c r="AG692" s="28">
        <f>COUNTIF(AF$3:AF692,AF692)-1</f>
        <v>23</v>
      </c>
    </row>
    <row r="693" spans="27:33" x14ac:dyDescent="0.25">
      <c r="AA693" s="28" t="str">
        <f t="shared" si="88"/>
        <v/>
      </c>
      <c r="AB693" s="28" t="e">
        <f t="shared" ca="1" si="89"/>
        <v>#VALUE!</v>
      </c>
      <c r="AC693" s="28" t="e">
        <f t="shared" ca="1" si="86"/>
        <v>#VALUE!</v>
      </c>
      <c r="AD693" s="29" t="e">
        <f t="shared" ca="1" si="87"/>
        <v>#VALUE!</v>
      </c>
      <c r="AE693" s="28" t="e">
        <f t="shared" ca="1" si="90"/>
        <v>#VALUE!</v>
      </c>
      <c r="AF693" s="28" t="e">
        <f t="shared" si="91"/>
        <v>#VALUE!</v>
      </c>
      <c r="AG693" s="28">
        <f>COUNTIF(AF$3:AF693,AF693)-1</f>
        <v>24</v>
      </c>
    </row>
    <row r="694" spans="27:33" x14ac:dyDescent="0.25">
      <c r="AA694" s="28" t="str">
        <f t="shared" si="88"/>
        <v/>
      </c>
      <c r="AB694" s="28" t="e">
        <f t="shared" ca="1" si="89"/>
        <v>#VALUE!</v>
      </c>
      <c r="AC694" s="28" t="e">
        <f t="shared" ca="1" si="86"/>
        <v>#VALUE!</v>
      </c>
      <c r="AD694" s="29" t="e">
        <f t="shared" ca="1" si="87"/>
        <v>#VALUE!</v>
      </c>
      <c r="AE694" s="28" t="e">
        <f t="shared" ca="1" si="90"/>
        <v>#VALUE!</v>
      </c>
      <c r="AF694" s="28" t="e">
        <f t="shared" si="91"/>
        <v>#VALUE!</v>
      </c>
      <c r="AG694" s="28">
        <f>COUNTIF(AF$3:AF694,AF694)-1</f>
        <v>25</v>
      </c>
    </row>
    <row r="695" spans="27:33" x14ac:dyDescent="0.25">
      <c r="AA695" s="28" t="str">
        <f t="shared" si="88"/>
        <v/>
      </c>
      <c r="AB695" s="28" t="e">
        <f t="shared" ca="1" si="89"/>
        <v>#VALUE!</v>
      </c>
      <c r="AC695" s="28" t="e">
        <f t="shared" ca="1" si="86"/>
        <v>#VALUE!</v>
      </c>
      <c r="AD695" s="29" t="e">
        <f t="shared" ca="1" si="87"/>
        <v>#VALUE!</v>
      </c>
      <c r="AE695" s="28" t="e">
        <f t="shared" ca="1" si="90"/>
        <v>#VALUE!</v>
      </c>
      <c r="AF695" s="28" t="e">
        <f t="shared" si="91"/>
        <v>#VALUE!</v>
      </c>
      <c r="AG695" s="28">
        <f>COUNTIF(AF$3:AF695,AF695)-1</f>
        <v>26</v>
      </c>
    </row>
    <row r="696" spans="27:33" x14ac:dyDescent="0.25">
      <c r="AA696" s="28" t="str">
        <f t="shared" si="88"/>
        <v/>
      </c>
      <c r="AB696" s="28" t="e">
        <f t="shared" ca="1" si="89"/>
        <v>#VALUE!</v>
      </c>
      <c r="AC696" s="28" t="e">
        <f t="shared" ca="1" si="86"/>
        <v>#VALUE!</v>
      </c>
      <c r="AD696" s="29" t="e">
        <f t="shared" ca="1" si="87"/>
        <v>#VALUE!</v>
      </c>
      <c r="AE696" s="28" t="e">
        <f t="shared" ca="1" si="90"/>
        <v>#VALUE!</v>
      </c>
      <c r="AF696" s="28" t="e">
        <f t="shared" si="91"/>
        <v>#VALUE!</v>
      </c>
      <c r="AG696" s="28">
        <f>COUNTIF(AF$3:AF696,AF696)-1</f>
        <v>27</v>
      </c>
    </row>
    <row r="697" spans="27:33" x14ac:dyDescent="0.25">
      <c r="AA697" s="28" t="str">
        <f t="shared" si="88"/>
        <v/>
      </c>
      <c r="AB697" s="28" t="e">
        <f t="shared" ca="1" si="89"/>
        <v>#VALUE!</v>
      </c>
      <c r="AC697" s="28" t="e">
        <f t="shared" ca="1" si="86"/>
        <v>#VALUE!</v>
      </c>
      <c r="AD697" s="29" t="e">
        <f t="shared" ca="1" si="87"/>
        <v>#VALUE!</v>
      </c>
      <c r="AE697" s="28" t="e">
        <f t="shared" ca="1" si="90"/>
        <v>#VALUE!</v>
      </c>
      <c r="AF697" s="28" t="e">
        <f t="shared" si="91"/>
        <v>#VALUE!</v>
      </c>
      <c r="AG697" s="28">
        <f>COUNTIF(AF$3:AF697,AF697)-1</f>
        <v>28</v>
      </c>
    </row>
    <row r="698" spans="27:33" x14ac:dyDescent="0.25">
      <c r="AA698" s="28" t="str">
        <f t="shared" si="88"/>
        <v/>
      </c>
      <c r="AB698" s="28" t="e">
        <f t="shared" ca="1" si="89"/>
        <v>#VALUE!</v>
      </c>
      <c r="AC698" s="28" t="e">
        <f t="shared" ca="1" si="86"/>
        <v>#VALUE!</v>
      </c>
      <c r="AD698" s="29" t="e">
        <f t="shared" ca="1" si="87"/>
        <v>#VALUE!</v>
      </c>
      <c r="AE698" s="28" t="e">
        <f t="shared" ca="1" si="90"/>
        <v>#VALUE!</v>
      </c>
      <c r="AF698" s="28" t="e">
        <f t="shared" si="91"/>
        <v>#VALUE!</v>
      </c>
      <c r="AG698" s="28">
        <f>COUNTIF(AF$3:AF698,AF698)-1</f>
        <v>29</v>
      </c>
    </row>
    <row r="699" spans="27:33" x14ac:dyDescent="0.25">
      <c r="AA699" s="28" t="str">
        <f t="shared" si="88"/>
        <v/>
      </c>
      <c r="AB699" s="28" t="e">
        <f t="shared" ca="1" si="89"/>
        <v>#VALUE!</v>
      </c>
      <c r="AC699" s="28" t="e">
        <f t="shared" ca="1" si="86"/>
        <v>#VALUE!</v>
      </c>
      <c r="AD699" s="29" t="e">
        <f t="shared" ca="1" si="87"/>
        <v>#VALUE!</v>
      </c>
      <c r="AE699" s="28" t="e">
        <f t="shared" ca="1" si="90"/>
        <v>#VALUE!</v>
      </c>
      <c r="AF699" s="28" t="e">
        <f t="shared" si="91"/>
        <v>#VALUE!</v>
      </c>
      <c r="AG699" s="28">
        <f>COUNTIF(AF$3:AF699,AF699)-1</f>
        <v>30</v>
      </c>
    </row>
    <row r="700" spans="27:33" x14ac:dyDescent="0.25">
      <c r="AA700" s="28" t="str">
        <f t="shared" si="88"/>
        <v/>
      </c>
      <c r="AB700" s="28" t="e">
        <f t="shared" ca="1" si="89"/>
        <v>#VALUE!</v>
      </c>
      <c r="AC700" s="28" t="e">
        <f t="shared" ca="1" si="86"/>
        <v>#VALUE!</v>
      </c>
      <c r="AD700" s="29" t="e">
        <f t="shared" ca="1" si="87"/>
        <v>#VALUE!</v>
      </c>
      <c r="AE700" s="28" t="e">
        <f t="shared" ca="1" si="90"/>
        <v>#VALUE!</v>
      </c>
      <c r="AF700" s="28" t="e">
        <f t="shared" si="91"/>
        <v>#VALUE!</v>
      </c>
      <c r="AG700" s="28">
        <f>COUNTIF(AF$3:AF700,AF700)-1</f>
        <v>31</v>
      </c>
    </row>
    <row r="701" spans="27:33" x14ac:dyDescent="0.25">
      <c r="AA701" s="28" t="str">
        <f t="shared" si="88"/>
        <v/>
      </c>
      <c r="AB701" s="28" t="e">
        <f t="shared" ca="1" si="89"/>
        <v>#VALUE!</v>
      </c>
      <c r="AC701" s="28" t="e">
        <f t="shared" ca="1" si="86"/>
        <v>#VALUE!</v>
      </c>
      <c r="AD701" s="29" t="e">
        <f t="shared" ca="1" si="87"/>
        <v>#VALUE!</v>
      </c>
      <c r="AE701" s="28" t="e">
        <f t="shared" ca="1" si="90"/>
        <v>#VALUE!</v>
      </c>
      <c r="AF701" s="28" t="e">
        <f t="shared" si="91"/>
        <v>#VALUE!</v>
      </c>
      <c r="AG701" s="28">
        <f>COUNTIF(AF$3:AF701,AF701)-1</f>
        <v>32</v>
      </c>
    </row>
    <row r="702" spans="27:33" x14ac:dyDescent="0.25">
      <c r="AA702" s="28" t="str">
        <f t="shared" si="88"/>
        <v/>
      </c>
      <c r="AB702" s="28" t="e">
        <f t="shared" ca="1" si="89"/>
        <v>#VALUE!</v>
      </c>
      <c r="AC702" s="28" t="e">
        <f t="shared" ca="1" si="86"/>
        <v>#VALUE!</v>
      </c>
      <c r="AD702" s="29" t="e">
        <f t="shared" ca="1" si="87"/>
        <v>#VALUE!</v>
      </c>
      <c r="AE702" s="28" t="e">
        <f t="shared" ca="1" si="90"/>
        <v>#VALUE!</v>
      </c>
      <c r="AF702" s="28" t="e">
        <f t="shared" si="91"/>
        <v>#VALUE!</v>
      </c>
      <c r="AG702" s="28">
        <f>COUNTIF(AF$3:AF702,AF702)-1</f>
        <v>33</v>
      </c>
    </row>
    <row r="703" spans="27:33" x14ac:dyDescent="0.25">
      <c r="AA703" s="28" t="str">
        <f t="shared" si="88"/>
        <v/>
      </c>
      <c r="AB703" s="28" t="e">
        <f t="shared" ca="1" si="89"/>
        <v>#VALUE!</v>
      </c>
      <c r="AC703" s="28" t="e">
        <f t="shared" ca="1" si="86"/>
        <v>#VALUE!</v>
      </c>
      <c r="AD703" s="29" t="e">
        <f t="shared" ca="1" si="87"/>
        <v>#VALUE!</v>
      </c>
      <c r="AE703" s="28" t="e">
        <f t="shared" ca="1" si="90"/>
        <v>#VALUE!</v>
      </c>
      <c r="AF703" s="28" t="e">
        <f t="shared" si="91"/>
        <v>#VALUE!</v>
      </c>
      <c r="AG703" s="28">
        <f>COUNTIF(AF$3:AF703,AF703)-1</f>
        <v>34</v>
      </c>
    </row>
    <row r="704" spans="27:33" x14ac:dyDescent="0.25">
      <c r="AA704" s="28" t="str">
        <f t="shared" si="88"/>
        <v/>
      </c>
      <c r="AB704" s="28" t="e">
        <f t="shared" ca="1" si="89"/>
        <v>#VALUE!</v>
      </c>
      <c r="AC704" s="28" t="e">
        <f t="shared" ca="1" si="86"/>
        <v>#VALUE!</v>
      </c>
      <c r="AD704" s="29" t="e">
        <f t="shared" ca="1" si="87"/>
        <v>#VALUE!</v>
      </c>
      <c r="AE704" s="28" t="e">
        <f t="shared" ca="1" si="90"/>
        <v>#VALUE!</v>
      </c>
      <c r="AF704" s="28" t="e">
        <f t="shared" si="91"/>
        <v>#VALUE!</v>
      </c>
      <c r="AG704" s="28">
        <f>COUNTIF(AF$3:AF704,AF704)-1</f>
        <v>35</v>
      </c>
    </row>
    <row r="705" spans="27:33" x14ac:dyDescent="0.25">
      <c r="AA705" s="28" t="str">
        <f t="shared" si="88"/>
        <v/>
      </c>
      <c r="AB705" s="28" t="e">
        <f t="shared" ca="1" si="89"/>
        <v>#VALUE!</v>
      </c>
      <c r="AC705" s="28" t="e">
        <f t="shared" ca="1" si="86"/>
        <v>#VALUE!</v>
      </c>
      <c r="AD705" s="29" t="e">
        <f t="shared" ca="1" si="87"/>
        <v>#VALUE!</v>
      </c>
      <c r="AE705" s="28" t="e">
        <f t="shared" ca="1" si="90"/>
        <v>#VALUE!</v>
      </c>
      <c r="AF705" s="28" t="e">
        <f t="shared" si="91"/>
        <v>#VALUE!</v>
      </c>
      <c r="AG705" s="28">
        <f>COUNTIF(AF$3:AF705,AF705)-1</f>
        <v>36</v>
      </c>
    </row>
    <row r="706" spans="27:33" x14ac:dyDescent="0.25">
      <c r="AA706" s="28" t="str">
        <f t="shared" si="88"/>
        <v/>
      </c>
      <c r="AB706" s="28" t="e">
        <f t="shared" ca="1" si="89"/>
        <v>#VALUE!</v>
      </c>
      <c r="AC706" s="28" t="e">
        <f t="shared" ca="1" si="86"/>
        <v>#VALUE!</v>
      </c>
      <c r="AD706" s="29" t="e">
        <f t="shared" ca="1" si="87"/>
        <v>#VALUE!</v>
      </c>
      <c r="AE706" s="28" t="e">
        <f t="shared" ca="1" si="90"/>
        <v>#VALUE!</v>
      </c>
      <c r="AF706" s="28" t="e">
        <f t="shared" si="91"/>
        <v>#VALUE!</v>
      </c>
      <c r="AG706" s="28">
        <f>COUNTIF(AF$3:AF706,AF706)-1</f>
        <v>37</v>
      </c>
    </row>
    <row r="707" spans="27:33" x14ac:dyDescent="0.25">
      <c r="AA707" s="28" t="str">
        <f t="shared" si="88"/>
        <v/>
      </c>
      <c r="AB707" s="28" t="e">
        <f t="shared" ca="1" si="89"/>
        <v>#VALUE!</v>
      </c>
      <c r="AC707" s="28" t="e">
        <f t="shared" ref="AC707:AC770" ca="1" si="92">OFFSET($G$2,$AF707,$AG707)</f>
        <v>#VALUE!</v>
      </c>
      <c r="AD707" s="29" t="e">
        <f t="shared" ref="AD707:AD770" ca="1" si="93">OFFSET($Q$2,$AF707,$AG707)*$AD$1</f>
        <v>#VALUE!</v>
      </c>
      <c r="AE707" s="28" t="e">
        <f t="shared" ca="1" si="90"/>
        <v>#VALUE!</v>
      </c>
      <c r="AF707" s="28" t="e">
        <f t="shared" si="91"/>
        <v>#VALUE!</v>
      </c>
      <c r="AG707" s="28">
        <f>COUNTIF(AF$3:AF707,AF707)-1</f>
        <v>38</v>
      </c>
    </row>
    <row r="708" spans="27:33" x14ac:dyDescent="0.25">
      <c r="AA708" s="28" t="str">
        <f t="shared" si="88"/>
        <v/>
      </c>
      <c r="AB708" s="28" t="e">
        <f t="shared" ca="1" si="89"/>
        <v>#VALUE!</v>
      </c>
      <c r="AC708" s="28" t="e">
        <f t="shared" ca="1" si="92"/>
        <v>#VALUE!</v>
      </c>
      <c r="AD708" s="29" t="e">
        <f t="shared" ca="1" si="93"/>
        <v>#VALUE!</v>
      </c>
      <c r="AE708" s="28" t="e">
        <f t="shared" ca="1" si="90"/>
        <v>#VALUE!</v>
      </c>
      <c r="AF708" s="28" t="e">
        <f t="shared" si="91"/>
        <v>#VALUE!</v>
      </c>
      <c r="AG708" s="28">
        <f>COUNTIF(AF$3:AF708,AF708)-1</f>
        <v>39</v>
      </c>
    </row>
    <row r="709" spans="27:33" x14ac:dyDescent="0.25">
      <c r="AA709" s="28" t="str">
        <f t="shared" si="88"/>
        <v/>
      </c>
      <c r="AB709" s="28" t="e">
        <f t="shared" ca="1" si="89"/>
        <v>#VALUE!</v>
      </c>
      <c r="AC709" s="28" t="e">
        <f t="shared" ca="1" si="92"/>
        <v>#VALUE!</v>
      </c>
      <c r="AD709" s="29" t="e">
        <f t="shared" ca="1" si="93"/>
        <v>#VALUE!</v>
      </c>
      <c r="AE709" s="28" t="e">
        <f t="shared" ca="1" si="90"/>
        <v>#VALUE!</v>
      </c>
      <c r="AF709" s="28" t="e">
        <f t="shared" si="91"/>
        <v>#VALUE!</v>
      </c>
      <c r="AG709" s="28">
        <f>COUNTIF(AF$3:AF709,AF709)-1</f>
        <v>40</v>
      </c>
    </row>
    <row r="710" spans="27:33" x14ac:dyDescent="0.25">
      <c r="AA710" s="28" t="str">
        <f t="shared" si="88"/>
        <v/>
      </c>
      <c r="AB710" s="28" t="e">
        <f t="shared" ca="1" si="89"/>
        <v>#VALUE!</v>
      </c>
      <c r="AC710" s="28" t="e">
        <f t="shared" ca="1" si="92"/>
        <v>#VALUE!</v>
      </c>
      <c r="AD710" s="29" t="e">
        <f t="shared" ca="1" si="93"/>
        <v>#VALUE!</v>
      </c>
      <c r="AE710" s="28" t="e">
        <f t="shared" ca="1" si="90"/>
        <v>#VALUE!</v>
      </c>
      <c r="AF710" s="28" t="e">
        <f t="shared" si="91"/>
        <v>#VALUE!</v>
      </c>
      <c r="AG710" s="28">
        <f>COUNTIF(AF$3:AF710,AF710)-1</f>
        <v>41</v>
      </c>
    </row>
    <row r="711" spans="27:33" x14ac:dyDescent="0.25">
      <c r="AA711" s="28" t="str">
        <f t="shared" si="88"/>
        <v/>
      </c>
      <c r="AB711" s="28" t="e">
        <f t="shared" ca="1" si="89"/>
        <v>#VALUE!</v>
      </c>
      <c r="AC711" s="28" t="e">
        <f t="shared" ca="1" si="92"/>
        <v>#VALUE!</v>
      </c>
      <c r="AD711" s="29" t="e">
        <f t="shared" ca="1" si="93"/>
        <v>#VALUE!</v>
      </c>
      <c r="AE711" s="28" t="e">
        <f t="shared" ca="1" si="90"/>
        <v>#VALUE!</v>
      </c>
      <c r="AF711" s="28" t="e">
        <f t="shared" si="91"/>
        <v>#VALUE!</v>
      </c>
      <c r="AG711" s="28">
        <f>COUNTIF(AF$3:AF711,AF711)-1</f>
        <v>42</v>
      </c>
    </row>
    <row r="712" spans="27:33" x14ac:dyDescent="0.25">
      <c r="AA712" s="28" t="str">
        <f t="shared" si="88"/>
        <v/>
      </c>
      <c r="AB712" s="28" t="e">
        <f t="shared" ca="1" si="89"/>
        <v>#VALUE!</v>
      </c>
      <c r="AC712" s="28" t="e">
        <f t="shared" ca="1" si="92"/>
        <v>#VALUE!</v>
      </c>
      <c r="AD712" s="29" t="e">
        <f t="shared" ca="1" si="93"/>
        <v>#VALUE!</v>
      </c>
      <c r="AE712" s="28" t="e">
        <f t="shared" ca="1" si="90"/>
        <v>#VALUE!</v>
      </c>
      <c r="AF712" s="28" t="e">
        <f t="shared" si="91"/>
        <v>#VALUE!</v>
      </c>
      <c r="AG712" s="28">
        <f>COUNTIF(AF$3:AF712,AF712)-1</f>
        <v>43</v>
      </c>
    </row>
    <row r="713" spans="27:33" x14ac:dyDescent="0.25">
      <c r="AA713" s="28" t="str">
        <f t="shared" si="88"/>
        <v/>
      </c>
      <c r="AB713" s="28" t="e">
        <f t="shared" ca="1" si="89"/>
        <v>#VALUE!</v>
      </c>
      <c r="AC713" s="28" t="e">
        <f t="shared" ca="1" si="92"/>
        <v>#VALUE!</v>
      </c>
      <c r="AD713" s="29" t="e">
        <f t="shared" ca="1" si="93"/>
        <v>#VALUE!</v>
      </c>
      <c r="AE713" s="28" t="e">
        <f t="shared" ca="1" si="90"/>
        <v>#VALUE!</v>
      </c>
      <c r="AF713" s="28" t="e">
        <f t="shared" si="91"/>
        <v>#VALUE!</v>
      </c>
      <c r="AG713" s="28">
        <f>COUNTIF(AF$3:AF713,AF713)-1</f>
        <v>44</v>
      </c>
    </row>
    <row r="714" spans="27:33" x14ac:dyDescent="0.25">
      <c r="AA714" s="28" t="str">
        <f t="shared" si="88"/>
        <v/>
      </c>
      <c r="AB714" s="28" t="e">
        <f t="shared" ca="1" si="89"/>
        <v>#VALUE!</v>
      </c>
      <c r="AC714" s="28" t="e">
        <f t="shared" ca="1" si="92"/>
        <v>#VALUE!</v>
      </c>
      <c r="AD714" s="29" t="e">
        <f t="shared" ca="1" si="93"/>
        <v>#VALUE!</v>
      </c>
      <c r="AE714" s="28" t="e">
        <f t="shared" ca="1" si="90"/>
        <v>#VALUE!</v>
      </c>
      <c r="AF714" s="28" t="e">
        <f t="shared" si="91"/>
        <v>#VALUE!</v>
      </c>
      <c r="AG714" s="28">
        <f>COUNTIF(AF$3:AF714,AF714)-1</f>
        <v>45</v>
      </c>
    </row>
    <row r="715" spans="27:33" x14ac:dyDescent="0.25">
      <c r="AA715" s="28" t="str">
        <f t="shared" si="88"/>
        <v/>
      </c>
      <c r="AB715" s="28" t="e">
        <f t="shared" ca="1" si="89"/>
        <v>#VALUE!</v>
      </c>
      <c r="AC715" s="28" t="e">
        <f t="shared" ca="1" si="92"/>
        <v>#VALUE!</v>
      </c>
      <c r="AD715" s="29" t="e">
        <f t="shared" ca="1" si="93"/>
        <v>#VALUE!</v>
      </c>
      <c r="AE715" s="28" t="e">
        <f t="shared" ca="1" si="90"/>
        <v>#VALUE!</v>
      </c>
      <c r="AF715" s="28" t="e">
        <f t="shared" si="91"/>
        <v>#VALUE!</v>
      </c>
      <c r="AG715" s="28">
        <f>COUNTIF(AF$3:AF715,AF715)-1</f>
        <v>46</v>
      </c>
    </row>
    <row r="716" spans="27:33" x14ac:dyDescent="0.25">
      <c r="AA716" s="28" t="str">
        <f t="shared" si="88"/>
        <v/>
      </c>
      <c r="AB716" s="28" t="e">
        <f t="shared" ca="1" si="89"/>
        <v>#VALUE!</v>
      </c>
      <c r="AC716" s="28" t="e">
        <f t="shared" ca="1" si="92"/>
        <v>#VALUE!</v>
      </c>
      <c r="AD716" s="29" t="e">
        <f t="shared" ca="1" si="93"/>
        <v>#VALUE!</v>
      </c>
      <c r="AE716" s="28" t="e">
        <f t="shared" ca="1" si="90"/>
        <v>#VALUE!</v>
      </c>
      <c r="AF716" s="28" t="e">
        <f t="shared" si="91"/>
        <v>#VALUE!</v>
      </c>
      <c r="AG716" s="28">
        <f>COUNTIF(AF$3:AF716,AF716)-1</f>
        <v>47</v>
      </c>
    </row>
    <row r="717" spans="27:33" x14ac:dyDescent="0.25">
      <c r="AA717" s="28" t="str">
        <f t="shared" si="88"/>
        <v/>
      </c>
      <c r="AB717" s="28" t="e">
        <f t="shared" ca="1" si="89"/>
        <v>#VALUE!</v>
      </c>
      <c r="AC717" s="28" t="e">
        <f t="shared" ca="1" si="92"/>
        <v>#VALUE!</v>
      </c>
      <c r="AD717" s="29" t="e">
        <f t="shared" ca="1" si="93"/>
        <v>#VALUE!</v>
      </c>
      <c r="AE717" s="28" t="e">
        <f t="shared" ca="1" si="90"/>
        <v>#VALUE!</v>
      </c>
      <c r="AF717" s="28" t="e">
        <f t="shared" si="91"/>
        <v>#VALUE!</v>
      </c>
      <c r="AG717" s="28">
        <f>COUNTIF(AF$3:AF717,AF717)-1</f>
        <v>48</v>
      </c>
    </row>
    <row r="718" spans="27:33" x14ac:dyDescent="0.25">
      <c r="AA718" s="28" t="str">
        <f t="shared" si="88"/>
        <v/>
      </c>
      <c r="AB718" s="28" t="e">
        <f t="shared" ca="1" si="89"/>
        <v>#VALUE!</v>
      </c>
      <c r="AC718" s="28" t="e">
        <f t="shared" ca="1" si="92"/>
        <v>#VALUE!</v>
      </c>
      <c r="AD718" s="29" t="e">
        <f t="shared" ca="1" si="93"/>
        <v>#VALUE!</v>
      </c>
      <c r="AE718" s="28" t="e">
        <f t="shared" ca="1" si="90"/>
        <v>#VALUE!</v>
      </c>
      <c r="AF718" s="28" t="e">
        <f t="shared" si="91"/>
        <v>#VALUE!</v>
      </c>
      <c r="AG718" s="28">
        <f>COUNTIF(AF$3:AF718,AF718)-1</f>
        <v>49</v>
      </c>
    </row>
    <row r="719" spans="27:33" x14ac:dyDescent="0.25">
      <c r="AA719" s="28" t="str">
        <f t="shared" si="88"/>
        <v/>
      </c>
      <c r="AB719" s="28" t="e">
        <f t="shared" ca="1" si="89"/>
        <v>#VALUE!</v>
      </c>
      <c r="AC719" s="28" t="e">
        <f t="shared" ca="1" si="92"/>
        <v>#VALUE!</v>
      </c>
      <c r="AD719" s="29" t="e">
        <f t="shared" ca="1" si="93"/>
        <v>#VALUE!</v>
      </c>
      <c r="AE719" s="28" t="e">
        <f t="shared" ca="1" si="90"/>
        <v>#VALUE!</v>
      </c>
      <c r="AF719" s="28" t="e">
        <f t="shared" si="91"/>
        <v>#VALUE!</v>
      </c>
      <c r="AG719" s="28">
        <f>COUNTIF(AF$3:AF719,AF719)-1</f>
        <v>50</v>
      </c>
    </row>
    <row r="720" spans="27:33" x14ac:dyDescent="0.25">
      <c r="AA720" s="28" t="str">
        <f t="shared" si="88"/>
        <v/>
      </c>
      <c r="AB720" s="28" t="e">
        <f t="shared" ca="1" si="89"/>
        <v>#VALUE!</v>
      </c>
      <c r="AC720" s="28" t="e">
        <f t="shared" ca="1" si="92"/>
        <v>#VALUE!</v>
      </c>
      <c r="AD720" s="29" t="e">
        <f t="shared" ca="1" si="93"/>
        <v>#VALUE!</v>
      </c>
      <c r="AE720" s="28" t="e">
        <f t="shared" ca="1" si="90"/>
        <v>#VALUE!</v>
      </c>
      <c r="AF720" s="28" t="e">
        <f t="shared" si="91"/>
        <v>#VALUE!</v>
      </c>
      <c r="AG720" s="28">
        <f>COUNTIF(AF$3:AF720,AF720)-1</f>
        <v>51</v>
      </c>
    </row>
    <row r="721" spans="27:33" x14ac:dyDescent="0.25">
      <c r="AA721" s="28" t="str">
        <f t="shared" si="88"/>
        <v/>
      </c>
      <c r="AB721" s="28" t="e">
        <f t="shared" ca="1" si="89"/>
        <v>#VALUE!</v>
      </c>
      <c r="AC721" s="28" t="e">
        <f t="shared" ca="1" si="92"/>
        <v>#VALUE!</v>
      </c>
      <c r="AD721" s="29" t="e">
        <f t="shared" ca="1" si="93"/>
        <v>#VALUE!</v>
      </c>
      <c r="AE721" s="28" t="e">
        <f t="shared" ca="1" si="90"/>
        <v>#VALUE!</v>
      </c>
      <c r="AF721" s="28" t="e">
        <f t="shared" si="91"/>
        <v>#VALUE!</v>
      </c>
      <c r="AG721" s="28">
        <f>COUNTIF(AF$3:AF721,AF721)-1</f>
        <v>52</v>
      </c>
    </row>
    <row r="722" spans="27:33" x14ac:dyDescent="0.25">
      <c r="AA722" s="28" t="str">
        <f t="shared" si="88"/>
        <v/>
      </c>
      <c r="AB722" s="28" t="e">
        <f t="shared" ca="1" si="89"/>
        <v>#VALUE!</v>
      </c>
      <c r="AC722" s="28" t="e">
        <f t="shared" ca="1" si="92"/>
        <v>#VALUE!</v>
      </c>
      <c r="AD722" s="29" t="e">
        <f t="shared" ca="1" si="93"/>
        <v>#VALUE!</v>
      </c>
      <c r="AE722" s="28" t="e">
        <f t="shared" ca="1" si="90"/>
        <v>#VALUE!</v>
      </c>
      <c r="AF722" s="28" t="e">
        <f t="shared" si="91"/>
        <v>#VALUE!</v>
      </c>
      <c r="AG722" s="28">
        <f>COUNTIF(AF$3:AF722,AF722)-1</f>
        <v>53</v>
      </c>
    </row>
    <row r="723" spans="27:33" x14ac:dyDescent="0.25">
      <c r="AA723" s="28" t="str">
        <f t="shared" si="88"/>
        <v/>
      </c>
      <c r="AB723" s="28" t="e">
        <f t="shared" ca="1" si="89"/>
        <v>#VALUE!</v>
      </c>
      <c r="AC723" s="28" t="e">
        <f t="shared" ca="1" si="92"/>
        <v>#VALUE!</v>
      </c>
      <c r="AD723" s="29" t="e">
        <f t="shared" ca="1" si="93"/>
        <v>#VALUE!</v>
      </c>
      <c r="AE723" s="28" t="e">
        <f t="shared" ca="1" si="90"/>
        <v>#VALUE!</v>
      </c>
      <c r="AF723" s="28" t="e">
        <f t="shared" si="91"/>
        <v>#VALUE!</v>
      </c>
      <c r="AG723" s="28">
        <f>COUNTIF(AF$3:AF723,AF723)-1</f>
        <v>54</v>
      </c>
    </row>
    <row r="724" spans="27:33" x14ac:dyDescent="0.25">
      <c r="AA724" s="28" t="str">
        <f t="shared" si="88"/>
        <v/>
      </c>
      <c r="AB724" s="28" t="e">
        <f t="shared" ca="1" si="89"/>
        <v>#VALUE!</v>
      </c>
      <c r="AC724" s="28" t="e">
        <f t="shared" ca="1" si="92"/>
        <v>#VALUE!</v>
      </c>
      <c r="AD724" s="29" t="e">
        <f t="shared" ca="1" si="93"/>
        <v>#VALUE!</v>
      </c>
      <c r="AE724" s="28" t="e">
        <f t="shared" ca="1" si="90"/>
        <v>#VALUE!</v>
      </c>
      <c r="AF724" s="28" t="e">
        <f t="shared" si="91"/>
        <v>#VALUE!</v>
      </c>
      <c r="AG724" s="28">
        <f>COUNTIF(AF$3:AF724,AF724)-1</f>
        <v>55</v>
      </c>
    </row>
    <row r="725" spans="27:33" x14ac:dyDescent="0.25">
      <c r="AA725" s="28" t="str">
        <f t="shared" si="88"/>
        <v/>
      </c>
      <c r="AB725" s="28" t="e">
        <f t="shared" ca="1" si="89"/>
        <v>#VALUE!</v>
      </c>
      <c r="AC725" s="28" t="e">
        <f t="shared" ca="1" si="92"/>
        <v>#VALUE!</v>
      </c>
      <c r="AD725" s="29" t="e">
        <f t="shared" ca="1" si="93"/>
        <v>#VALUE!</v>
      </c>
      <c r="AE725" s="28" t="e">
        <f t="shared" ca="1" si="90"/>
        <v>#VALUE!</v>
      </c>
      <c r="AF725" s="28" t="e">
        <f t="shared" si="91"/>
        <v>#VALUE!</v>
      </c>
      <c r="AG725" s="28">
        <f>COUNTIF(AF$3:AF725,AF725)-1</f>
        <v>56</v>
      </c>
    </row>
    <row r="726" spans="27:33" x14ac:dyDescent="0.25">
      <c r="AA726" s="28" t="str">
        <f t="shared" si="88"/>
        <v/>
      </c>
      <c r="AB726" s="28" t="e">
        <f t="shared" ca="1" si="89"/>
        <v>#VALUE!</v>
      </c>
      <c r="AC726" s="28" t="e">
        <f t="shared" ca="1" si="92"/>
        <v>#VALUE!</v>
      </c>
      <c r="AD726" s="29" t="e">
        <f t="shared" ca="1" si="93"/>
        <v>#VALUE!</v>
      </c>
      <c r="AE726" s="28" t="e">
        <f t="shared" ca="1" si="90"/>
        <v>#VALUE!</v>
      </c>
      <c r="AF726" s="28" t="e">
        <f t="shared" si="91"/>
        <v>#VALUE!</v>
      </c>
      <c r="AG726" s="28">
        <f>COUNTIF(AF$3:AF726,AF726)-1</f>
        <v>57</v>
      </c>
    </row>
    <row r="727" spans="27:33" x14ac:dyDescent="0.25">
      <c r="AA727" s="28" t="str">
        <f t="shared" si="88"/>
        <v/>
      </c>
      <c r="AB727" s="28" t="e">
        <f t="shared" ca="1" si="89"/>
        <v>#VALUE!</v>
      </c>
      <c r="AC727" s="28" t="e">
        <f t="shared" ca="1" si="92"/>
        <v>#VALUE!</v>
      </c>
      <c r="AD727" s="29" t="e">
        <f t="shared" ca="1" si="93"/>
        <v>#VALUE!</v>
      </c>
      <c r="AE727" s="28" t="e">
        <f t="shared" ca="1" si="90"/>
        <v>#VALUE!</v>
      </c>
      <c r="AF727" s="28" t="e">
        <f t="shared" si="91"/>
        <v>#VALUE!</v>
      </c>
      <c r="AG727" s="28">
        <f>COUNTIF(AF$3:AF727,AF727)-1</f>
        <v>58</v>
      </c>
    </row>
    <row r="728" spans="27:33" x14ac:dyDescent="0.25">
      <c r="AA728" s="28" t="str">
        <f t="shared" si="88"/>
        <v/>
      </c>
      <c r="AB728" s="28" t="e">
        <f t="shared" ca="1" si="89"/>
        <v>#VALUE!</v>
      </c>
      <c r="AC728" s="28" t="e">
        <f t="shared" ca="1" si="92"/>
        <v>#VALUE!</v>
      </c>
      <c r="AD728" s="29" t="e">
        <f t="shared" ca="1" si="93"/>
        <v>#VALUE!</v>
      </c>
      <c r="AE728" s="28" t="e">
        <f t="shared" ca="1" si="90"/>
        <v>#VALUE!</v>
      </c>
      <c r="AF728" s="28" t="e">
        <f t="shared" si="91"/>
        <v>#VALUE!</v>
      </c>
      <c r="AG728" s="28">
        <f>COUNTIF(AF$3:AF728,AF728)-1</f>
        <v>59</v>
      </c>
    </row>
    <row r="729" spans="27:33" x14ac:dyDescent="0.25">
      <c r="AA729" s="28" t="str">
        <f t="shared" si="88"/>
        <v/>
      </c>
      <c r="AB729" s="28" t="e">
        <f t="shared" ca="1" si="89"/>
        <v>#VALUE!</v>
      </c>
      <c r="AC729" s="28" t="e">
        <f t="shared" ca="1" si="92"/>
        <v>#VALUE!</v>
      </c>
      <c r="AD729" s="29" t="e">
        <f t="shared" ca="1" si="93"/>
        <v>#VALUE!</v>
      </c>
      <c r="AE729" s="28" t="e">
        <f t="shared" ca="1" si="90"/>
        <v>#VALUE!</v>
      </c>
      <c r="AF729" s="28" t="e">
        <f t="shared" si="91"/>
        <v>#VALUE!</v>
      </c>
      <c r="AG729" s="28">
        <f>COUNTIF(AF$3:AF729,AF729)-1</f>
        <v>60</v>
      </c>
    </row>
    <row r="730" spans="27:33" x14ac:dyDescent="0.25">
      <c r="AA730" s="28" t="str">
        <f t="shared" si="88"/>
        <v/>
      </c>
      <c r="AB730" s="28" t="e">
        <f t="shared" ca="1" si="89"/>
        <v>#VALUE!</v>
      </c>
      <c r="AC730" s="28" t="e">
        <f t="shared" ca="1" si="92"/>
        <v>#VALUE!</v>
      </c>
      <c r="AD730" s="29" t="e">
        <f t="shared" ca="1" si="93"/>
        <v>#VALUE!</v>
      </c>
      <c r="AE730" s="28" t="e">
        <f t="shared" ca="1" si="90"/>
        <v>#VALUE!</v>
      </c>
      <c r="AF730" s="28" t="e">
        <f t="shared" si="91"/>
        <v>#VALUE!</v>
      </c>
      <c r="AG730" s="28">
        <f>COUNTIF(AF$3:AF730,AF730)-1</f>
        <v>61</v>
      </c>
    </row>
    <row r="731" spans="27:33" x14ac:dyDescent="0.25">
      <c r="AA731" s="28" t="str">
        <f t="shared" si="88"/>
        <v/>
      </c>
      <c r="AB731" s="28" t="e">
        <f t="shared" ca="1" si="89"/>
        <v>#VALUE!</v>
      </c>
      <c r="AC731" s="28" t="e">
        <f t="shared" ca="1" si="92"/>
        <v>#VALUE!</v>
      </c>
      <c r="AD731" s="29" t="e">
        <f t="shared" ca="1" si="93"/>
        <v>#VALUE!</v>
      </c>
      <c r="AE731" s="28" t="e">
        <f t="shared" ca="1" si="90"/>
        <v>#VALUE!</v>
      </c>
      <c r="AF731" s="28" t="e">
        <f t="shared" si="91"/>
        <v>#VALUE!</v>
      </c>
      <c r="AG731" s="28">
        <f>COUNTIF(AF$3:AF731,AF731)-1</f>
        <v>62</v>
      </c>
    </row>
    <row r="732" spans="27:33" x14ac:dyDescent="0.25">
      <c r="AA732" s="28" t="str">
        <f t="shared" si="88"/>
        <v/>
      </c>
      <c r="AB732" s="28" t="e">
        <f t="shared" ca="1" si="89"/>
        <v>#VALUE!</v>
      </c>
      <c r="AC732" s="28" t="e">
        <f t="shared" ca="1" si="92"/>
        <v>#VALUE!</v>
      </c>
      <c r="AD732" s="29" t="e">
        <f t="shared" ca="1" si="93"/>
        <v>#VALUE!</v>
      </c>
      <c r="AE732" s="28" t="e">
        <f t="shared" ca="1" si="90"/>
        <v>#VALUE!</v>
      </c>
      <c r="AF732" s="28" t="e">
        <f t="shared" si="91"/>
        <v>#VALUE!</v>
      </c>
      <c r="AG732" s="28">
        <f>COUNTIF(AF$3:AF732,AF732)-1</f>
        <v>63</v>
      </c>
    </row>
    <row r="733" spans="27:33" x14ac:dyDescent="0.25">
      <c r="AA733" s="28" t="str">
        <f t="shared" si="88"/>
        <v/>
      </c>
      <c r="AB733" s="28" t="e">
        <f t="shared" ca="1" si="89"/>
        <v>#VALUE!</v>
      </c>
      <c r="AC733" s="28" t="e">
        <f t="shared" ca="1" si="92"/>
        <v>#VALUE!</v>
      </c>
      <c r="AD733" s="29" t="e">
        <f t="shared" ca="1" si="93"/>
        <v>#VALUE!</v>
      </c>
      <c r="AE733" s="28" t="e">
        <f t="shared" ca="1" si="90"/>
        <v>#VALUE!</v>
      </c>
      <c r="AF733" s="28" t="e">
        <f t="shared" si="91"/>
        <v>#VALUE!</v>
      </c>
      <c r="AG733" s="28">
        <f>COUNTIF(AF$3:AF733,AF733)-1</f>
        <v>64</v>
      </c>
    </row>
    <row r="734" spans="27:33" x14ac:dyDescent="0.25">
      <c r="AA734" s="28" t="str">
        <f t="shared" si="88"/>
        <v/>
      </c>
      <c r="AB734" s="28" t="e">
        <f t="shared" ca="1" si="89"/>
        <v>#VALUE!</v>
      </c>
      <c r="AC734" s="28" t="e">
        <f t="shared" ca="1" si="92"/>
        <v>#VALUE!</v>
      </c>
      <c r="AD734" s="29" t="e">
        <f t="shared" ca="1" si="93"/>
        <v>#VALUE!</v>
      </c>
      <c r="AE734" s="28" t="e">
        <f t="shared" ca="1" si="90"/>
        <v>#VALUE!</v>
      </c>
      <c r="AF734" s="28" t="e">
        <f t="shared" si="91"/>
        <v>#VALUE!</v>
      </c>
      <c r="AG734" s="28">
        <f>COUNTIF(AF$3:AF734,AF734)-1</f>
        <v>65</v>
      </c>
    </row>
    <row r="735" spans="27:33" x14ac:dyDescent="0.25">
      <c r="AA735" s="28" t="str">
        <f t="shared" ref="AA735:AA798" si="94">IF(ROW(A733)&gt;MAX(D:D),"",ROW(A733))</f>
        <v/>
      </c>
      <c r="AB735" s="28" t="e">
        <f t="shared" ref="AB735:AB798" ca="1" si="95">OFFSET(A$2,$AF735,)</f>
        <v>#VALUE!</v>
      </c>
      <c r="AC735" s="28" t="e">
        <f t="shared" ca="1" si="92"/>
        <v>#VALUE!</v>
      </c>
      <c r="AD735" s="29" t="e">
        <f t="shared" ca="1" si="93"/>
        <v>#VALUE!</v>
      </c>
      <c r="AE735" s="28" t="e">
        <f t="shared" ref="AE735:AE798" ca="1" si="96">OFFSET(B$2,$AF735,)</f>
        <v>#VALUE!</v>
      </c>
      <c r="AF735" s="28" t="e">
        <f t="shared" ref="AF735:AF798" si="97">FREQUENCY(D:D,AA735-0.1)+1</f>
        <v>#VALUE!</v>
      </c>
      <c r="AG735" s="28">
        <f>COUNTIF(AF$3:AF735,AF735)-1</f>
        <v>66</v>
      </c>
    </row>
    <row r="736" spans="27:33" x14ac:dyDescent="0.25">
      <c r="AA736" s="28" t="str">
        <f t="shared" si="94"/>
        <v/>
      </c>
      <c r="AB736" s="28" t="e">
        <f t="shared" ca="1" si="95"/>
        <v>#VALUE!</v>
      </c>
      <c r="AC736" s="28" t="e">
        <f t="shared" ca="1" si="92"/>
        <v>#VALUE!</v>
      </c>
      <c r="AD736" s="29" t="e">
        <f t="shared" ca="1" si="93"/>
        <v>#VALUE!</v>
      </c>
      <c r="AE736" s="28" t="e">
        <f t="shared" ca="1" si="96"/>
        <v>#VALUE!</v>
      </c>
      <c r="AF736" s="28" t="e">
        <f t="shared" si="97"/>
        <v>#VALUE!</v>
      </c>
      <c r="AG736" s="28">
        <f>COUNTIF(AF$3:AF736,AF736)-1</f>
        <v>67</v>
      </c>
    </row>
    <row r="737" spans="27:33" x14ac:dyDescent="0.25">
      <c r="AA737" s="28" t="str">
        <f t="shared" si="94"/>
        <v/>
      </c>
      <c r="AB737" s="28" t="e">
        <f t="shared" ca="1" si="95"/>
        <v>#VALUE!</v>
      </c>
      <c r="AC737" s="28" t="e">
        <f t="shared" ca="1" si="92"/>
        <v>#VALUE!</v>
      </c>
      <c r="AD737" s="29" t="e">
        <f t="shared" ca="1" si="93"/>
        <v>#VALUE!</v>
      </c>
      <c r="AE737" s="28" t="e">
        <f t="shared" ca="1" si="96"/>
        <v>#VALUE!</v>
      </c>
      <c r="AF737" s="28" t="e">
        <f t="shared" si="97"/>
        <v>#VALUE!</v>
      </c>
      <c r="AG737" s="28">
        <f>COUNTIF(AF$3:AF737,AF737)-1</f>
        <v>68</v>
      </c>
    </row>
    <row r="738" spans="27:33" x14ac:dyDescent="0.25">
      <c r="AA738" s="28" t="str">
        <f t="shared" si="94"/>
        <v/>
      </c>
      <c r="AB738" s="28" t="e">
        <f t="shared" ca="1" si="95"/>
        <v>#VALUE!</v>
      </c>
      <c r="AC738" s="28" t="e">
        <f t="shared" ca="1" si="92"/>
        <v>#VALUE!</v>
      </c>
      <c r="AD738" s="29" t="e">
        <f t="shared" ca="1" si="93"/>
        <v>#VALUE!</v>
      </c>
      <c r="AE738" s="28" t="e">
        <f t="shared" ca="1" si="96"/>
        <v>#VALUE!</v>
      </c>
      <c r="AF738" s="28" t="e">
        <f t="shared" si="97"/>
        <v>#VALUE!</v>
      </c>
      <c r="AG738" s="28">
        <f>COUNTIF(AF$3:AF738,AF738)-1</f>
        <v>69</v>
      </c>
    </row>
    <row r="739" spans="27:33" x14ac:dyDescent="0.25">
      <c r="AA739" s="28" t="str">
        <f t="shared" si="94"/>
        <v/>
      </c>
      <c r="AB739" s="28" t="e">
        <f t="shared" ca="1" si="95"/>
        <v>#VALUE!</v>
      </c>
      <c r="AC739" s="28" t="e">
        <f t="shared" ca="1" si="92"/>
        <v>#VALUE!</v>
      </c>
      <c r="AD739" s="29" t="e">
        <f t="shared" ca="1" si="93"/>
        <v>#VALUE!</v>
      </c>
      <c r="AE739" s="28" t="e">
        <f t="shared" ca="1" si="96"/>
        <v>#VALUE!</v>
      </c>
      <c r="AF739" s="28" t="e">
        <f t="shared" si="97"/>
        <v>#VALUE!</v>
      </c>
      <c r="AG739" s="28">
        <f>COUNTIF(AF$3:AF739,AF739)-1</f>
        <v>70</v>
      </c>
    </row>
    <row r="740" spans="27:33" x14ac:dyDescent="0.25">
      <c r="AA740" s="28" t="str">
        <f t="shared" si="94"/>
        <v/>
      </c>
      <c r="AB740" s="28" t="e">
        <f t="shared" ca="1" si="95"/>
        <v>#VALUE!</v>
      </c>
      <c r="AC740" s="28" t="e">
        <f t="shared" ca="1" si="92"/>
        <v>#VALUE!</v>
      </c>
      <c r="AD740" s="29" t="e">
        <f t="shared" ca="1" si="93"/>
        <v>#VALUE!</v>
      </c>
      <c r="AE740" s="28" t="e">
        <f t="shared" ca="1" si="96"/>
        <v>#VALUE!</v>
      </c>
      <c r="AF740" s="28" t="e">
        <f t="shared" si="97"/>
        <v>#VALUE!</v>
      </c>
      <c r="AG740" s="28">
        <f>COUNTIF(AF$3:AF740,AF740)-1</f>
        <v>71</v>
      </c>
    </row>
    <row r="741" spans="27:33" x14ac:dyDescent="0.25">
      <c r="AA741" s="28" t="str">
        <f t="shared" si="94"/>
        <v/>
      </c>
      <c r="AB741" s="28" t="e">
        <f t="shared" ca="1" si="95"/>
        <v>#VALUE!</v>
      </c>
      <c r="AC741" s="28" t="e">
        <f t="shared" ca="1" si="92"/>
        <v>#VALUE!</v>
      </c>
      <c r="AD741" s="29" t="e">
        <f t="shared" ca="1" si="93"/>
        <v>#VALUE!</v>
      </c>
      <c r="AE741" s="28" t="e">
        <f t="shared" ca="1" si="96"/>
        <v>#VALUE!</v>
      </c>
      <c r="AF741" s="28" t="e">
        <f t="shared" si="97"/>
        <v>#VALUE!</v>
      </c>
      <c r="AG741" s="28">
        <f>COUNTIF(AF$3:AF741,AF741)-1</f>
        <v>72</v>
      </c>
    </row>
    <row r="742" spans="27:33" x14ac:dyDescent="0.25">
      <c r="AA742" s="28" t="str">
        <f t="shared" si="94"/>
        <v/>
      </c>
      <c r="AB742" s="28" t="e">
        <f t="shared" ca="1" si="95"/>
        <v>#VALUE!</v>
      </c>
      <c r="AC742" s="28" t="e">
        <f t="shared" ca="1" si="92"/>
        <v>#VALUE!</v>
      </c>
      <c r="AD742" s="29" t="e">
        <f t="shared" ca="1" si="93"/>
        <v>#VALUE!</v>
      </c>
      <c r="AE742" s="28" t="e">
        <f t="shared" ca="1" si="96"/>
        <v>#VALUE!</v>
      </c>
      <c r="AF742" s="28" t="e">
        <f t="shared" si="97"/>
        <v>#VALUE!</v>
      </c>
      <c r="AG742" s="28">
        <f>COUNTIF(AF$3:AF742,AF742)-1</f>
        <v>73</v>
      </c>
    </row>
    <row r="743" spans="27:33" x14ac:dyDescent="0.25">
      <c r="AA743" s="28" t="str">
        <f t="shared" si="94"/>
        <v/>
      </c>
      <c r="AB743" s="28" t="e">
        <f t="shared" ca="1" si="95"/>
        <v>#VALUE!</v>
      </c>
      <c r="AC743" s="28" t="e">
        <f t="shared" ca="1" si="92"/>
        <v>#VALUE!</v>
      </c>
      <c r="AD743" s="29" t="e">
        <f t="shared" ca="1" si="93"/>
        <v>#VALUE!</v>
      </c>
      <c r="AE743" s="28" t="e">
        <f t="shared" ca="1" si="96"/>
        <v>#VALUE!</v>
      </c>
      <c r="AF743" s="28" t="e">
        <f t="shared" si="97"/>
        <v>#VALUE!</v>
      </c>
      <c r="AG743" s="28">
        <f>COUNTIF(AF$3:AF743,AF743)-1</f>
        <v>74</v>
      </c>
    </row>
    <row r="744" spans="27:33" x14ac:dyDescent="0.25">
      <c r="AA744" s="28" t="str">
        <f t="shared" si="94"/>
        <v/>
      </c>
      <c r="AB744" s="28" t="e">
        <f t="shared" ca="1" si="95"/>
        <v>#VALUE!</v>
      </c>
      <c r="AC744" s="28" t="e">
        <f t="shared" ca="1" si="92"/>
        <v>#VALUE!</v>
      </c>
      <c r="AD744" s="29" t="e">
        <f t="shared" ca="1" si="93"/>
        <v>#VALUE!</v>
      </c>
      <c r="AE744" s="28" t="e">
        <f t="shared" ca="1" si="96"/>
        <v>#VALUE!</v>
      </c>
      <c r="AF744" s="28" t="e">
        <f t="shared" si="97"/>
        <v>#VALUE!</v>
      </c>
      <c r="AG744" s="28">
        <f>COUNTIF(AF$3:AF744,AF744)-1</f>
        <v>75</v>
      </c>
    </row>
    <row r="745" spans="27:33" x14ac:dyDescent="0.25">
      <c r="AA745" s="28" t="str">
        <f t="shared" si="94"/>
        <v/>
      </c>
      <c r="AB745" s="28" t="e">
        <f t="shared" ca="1" si="95"/>
        <v>#VALUE!</v>
      </c>
      <c r="AC745" s="28" t="e">
        <f t="shared" ca="1" si="92"/>
        <v>#VALUE!</v>
      </c>
      <c r="AD745" s="29" t="e">
        <f t="shared" ca="1" si="93"/>
        <v>#VALUE!</v>
      </c>
      <c r="AE745" s="28" t="e">
        <f t="shared" ca="1" si="96"/>
        <v>#VALUE!</v>
      </c>
      <c r="AF745" s="28" t="e">
        <f t="shared" si="97"/>
        <v>#VALUE!</v>
      </c>
      <c r="AG745" s="28">
        <f>COUNTIF(AF$3:AF745,AF745)-1</f>
        <v>76</v>
      </c>
    </row>
    <row r="746" spans="27:33" x14ac:dyDescent="0.25">
      <c r="AA746" s="28" t="str">
        <f t="shared" si="94"/>
        <v/>
      </c>
      <c r="AB746" s="28" t="e">
        <f t="shared" ca="1" si="95"/>
        <v>#VALUE!</v>
      </c>
      <c r="AC746" s="28" t="e">
        <f t="shared" ca="1" si="92"/>
        <v>#VALUE!</v>
      </c>
      <c r="AD746" s="29" t="e">
        <f t="shared" ca="1" si="93"/>
        <v>#VALUE!</v>
      </c>
      <c r="AE746" s="28" t="e">
        <f t="shared" ca="1" si="96"/>
        <v>#VALUE!</v>
      </c>
      <c r="AF746" s="28" t="e">
        <f t="shared" si="97"/>
        <v>#VALUE!</v>
      </c>
      <c r="AG746" s="28">
        <f>COUNTIF(AF$3:AF746,AF746)-1</f>
        <v>77</v>
      </c>
    </row>
    <row r="747" spans="27:33" x14ac:dyDescent="0.25">
      <c r="AA747" s="28" t="str">
        <f t="shared" si="94"/>
        <v/>
      </c>
      <c r="AB747" s="28" t="e">
        <f t="shared" ca="1" si="95"/>
        <v>#VALUE!</v>
      </c>
      <c r="AC747" s="28" t="e">
        <f t="shared" ca="1" si="92"/>
        <v>#VALUE!</v>
      </c>
      <c r="AD747" s="29" t="e">
        <f t="shared" ca="1" si="93"/>
        <v>#VALUE!</v>
      </c>
      <c r="AE747" s="28" t="e">
        <f t="shared" ca="1" si="96"/>
        <v>#VALUE!</v>
      </c>
      <c r="AF747" s="28" t="e">
        <f t="shared" si="97"/>
        <v>#VALUE!</v>
      </c>
      <c r="AG747" s="28">
        <f>COUNTIF(AF$3:AF747,AF747)-1</f>
        <v>78</v>
      </c>
    </row>
    <row r="748" spans="27:33" x14ac:dyDescent="0.25">
      <c r="AA748" s="28" t="str">
        <f t="shared" si="94"/>
        <v/>
      </c>
      <c r="AB748" s="28" t="e">
        <f t="shared" ca="1" si="95"/>
        <v>#VALUE!</v>
      </c>
      <c r="AC748" s="28" t="e">
        <f t="shared" ca="1" si="92"/>
        <v>#VALUE!</v>
      </c>
      <c r="AD748" s="29" t="e">
        <f t="shared" ca="1" si="93"/>
        <v>#VALUE!</v>
      </c>
      <c r="AE748" s="28" t="e">
        <f t="shared" ca="1" si="96"/>
        <v>#VALUE!</v>
      </c>
      <c r="AF748" s="28" t="e">
        <f t="shared" si="97"/>
        <v>#VALUE!</v>
      </c>
      <c r="AG748" s="28">
        <f>COUNTIF(AF$3:AF748,AF748)-1</f>
        <v>79</v>
      </c>
    </row>
    <row r="749" spans="27:33" x14ac:dyDescent="0.25">
      <c r="AA749" s="28" t="str">
        <f t="shared" si="94"/>
        <v/>
      </c>
      <c r="AB749" s="28" t="e">
        <f t="shared" ca="1" si="95"/>
        <v>#VALUE!</v>
      </c>
      <c r="AC749" s="28" t="e">
        <f t="shared" ca="1" si="92"/>
        <v>#VALUE!</v>
      </c>
      <c r="AD749" s="29" t="e">
        <f t="shared" ca="1" si="93"/>
        <v>#VALUE!</v>
      </c>
      <c r="AE749" s="28" t="e">
        <f t="shared" ca="1" si="96"/>
        <v>#VALUE!</v>
      </c>
      <c r="AF749" s="28" t="e">
        <f t="shared" si="97"/>
        <v>#VALUE!</v>
      </c>
      <c r="AG749" s="28">
        <f>COUNTIF(AF$3:AF749,AF749)-1</f>
        <v>80</v>
      </c>
    </row>
    <row r="750" spans="27:33" x14ac:dyDescent="0.25">
      <c r="AA750" s="28" t="str">
        <f t="shared" si="94"/>
        <v/>
      </c>
      <c r="AB750" s="28" t="e">
        <f t="shared" ca="1" si="95"/>
        <v>#VALUE!</v>
      </c>
      <c r="AC750" s="28" t="e">
        <f t="shared" ca="1" si="92"/>
        <v>#VALUE!</v>
      </c>
      <c r="AD750" s="29" t="e">
        <f t="shared" ca="1" si="93"/>
        <v>#VALUE!</v>
      </c>
      <c r="AE750" s="28" t="e">
        <f t="shared" ca="1" si="96"/>
        <v>#VALUE!</v>
      </c>
      <c r="AF750" s="28" t="e">
        <f t="shared" si="97"/>
        <v>#VALUE!</v>
      </c>
      <c r="AG750" s="28">
        <f>COUNTIF(AF$3:AF750,AF750)-1</f>
        <v>81</v>
      </c>
    </row>
    <row r="751" spans="27:33" x14ac:dyDescent="0.25">
      <c r="AA751" s="28" t="str">
        <f t="shared" si="94"/>
        <v/>
      </c>
      <c r="AB751" s="28" t="e">
        <f t="shared" ca="1" si="95"/>
        <v>#VALUE!</v>
      </c>
      <c r="AC751" s="28" t="e">
        <f t="shared" ca="1" si="92"/>
        <v>#VALUE!</v>
      </c>
      <c r="AD751" s="29" t="e">
        <f t="shared" ca="1" si="93"/>
        <v>#VALUE!</v>
      </c>
      <c r="AE751" s="28" t="e">
        <f t="shared" ca="1" si="96"/>
        <v>#VALUE!</v>
      </c>
      <c r="AF751" s="28" t="e">
        <f t="shared" si="97"/>
        <v>#VALUE!</v>
      </c>
      <c r="AG751" s="28">
        <f>COUNTIF(AF$3:AF751,AF751)-1</f>
        <v>82</v>
      </c>
    </row>
    <row r="752" spans="27:33" x14ac:dyDescent="0.25">
      <c r="AA752" s="28" t="str">
        <f t="shared" si="94"/>
        <v/>
      </c>
      <c r="AB752" s="28" t="e">
        <f t="shared" ca="1" si="95"/>
        <v>#VALUE!</v>
      </c>
      <c r="AC752" s="28" t="e">
        <f t="shared" ca="1" si="92"/>
        <v>#VALUE!</v>
      </c>
      <c r="AD752" s="29" t="e">
        <f t="shared" ca="1" si="93"/>
        <v>#VALUE!</v>
      </c>
      <c r="AE752" s="28" t="e">
        <f t="shared" ca="1" si="96"/>
        <v>#VALUE!</v>
      </c>
      <c r="AF752" s="28" t="e">
        <f t="shared" si="97"/>
        <v>#VALUE!</v>
      </c>
      <c r="AG752" s="28">
        <f>COUNTIF(AF$3:AF752,AF752)-1</f>
        <v>83</v>
      </c>
    </row>
    <row r="753" spans="27:33" x14ac:dyDescent="0.25">
      <c r="AA753" s="28" t="str">
        <f t="shared" si="94"/>
        <v/>
      </c>
      <c r="AB753" s="28" t="e">
        <f t="shared" ca="1" si="95"/>
        <v>#VALUE!</v>
      </c>
      <c r="AC753" s="28" t="e">
        <f t="shared" ca="1" si="92"/>
        <v>#VALUE!</v>
      </c>
      <c r="AD753" s="29" t="e">
        <f t="shared" ca="1" si="93"/>
        <v>#VALUE!</v>
      </c>
      <c r="AE753" s="28" t="e">
        <f t="shared" ca="1" si="96"/>
        <v>#VALUE!</v>
      </c>
      <c r="AF753" s="28" t="e">
        <f t="shared" si="97"/>
        <v>#VALUE!</v>
      </c>
      <c r="AG753" s="28">
        <f>COUNTIF(AF$3:AF753,AF753)-1</f>
        <v>84</v>
      </c>
    </row>
    <row r="754" spans="27:33" x14ac:dyDescent="0.25">
      <c r="AA754" s="28" t="str">
        <f t="shared" si="94"/>
        <v/>
      </c>
      <c r="AB754" s="28" t="e">
        <f t="shared" ca="1" si="95"/>
        <v>#VALUE!</v>
      </c>
      <c r="AC754" s="28" t="e">
        <f t="shared" ca="1" si="92"/>
        <v>#VALUE!</v>
      </c>
      <c r="AD754" s="29" t="e">
        <f t="shared" ca="1" si="93"/>
        <v>#VALUE!</v>
      </c>
      <c r="AE754" s="28" t="e">
        <f t="shared" ca="1" si="96"/>
        <v>#VALUE!</v>
      </c>
      <c r="AF754" s="28" t="e">
        <f t="shared" si="97"/>
        <v>#VALUE!</v>
      </c>
      <c r="AG754" s="28">
        <f>COUNTIF(AF$3:AF754,AF754)-1</f>
        <v>85</v>
      </c>
    </row>
    <row r="755" spans="27:33" x14ac:dyDescent="0.25">
      <c r="AA755" s="28" t="str">
        <f t="shared" si="94"/>
        <v/>
      </c>
      <c r="AB755" s="28" t="e">
        <f t="shared" ca="1" si="95"/>
        <v>#VALUE!</v>
      </c>
      <c r="AC755" s="28" t="e">
        <f t="shared" ca="1" si="92"/>
        <v>#VALUE!</v>
      </c>
      <c r="AD755" s="29" t="e">
        <f t="shared" ca="1" si="93"/>
        <v>#VALUE!</v>
      </c>
      <c r="AE755" s="28" t="e">
        <f t="shared" ca="1" si="96"/>
        <v>#VALUE!</v>
      </c>
      <c r="AF755" s="28" t="e">
        <f t="shared" si="97"/>
        <v>#VALUE!</v>
      </c>
      <c r="AG755" s="28">
        <f>COUNTIF(AF$3:AF755,AF755)-1</f>
        <v>86</v>
      </c>
    </row>
    <row r="756" spans="27:33" x14ac:dyDescent="0.25">
      <c r="AA756" s="28" t="str">
        <f t="shared" si="94"/>
        <v/>
      </c>
      <c r="AB756" s="28" t="e">
        <f t="shared" ca="1" si="95"/>
        <v>#VALUE!</v>
      </c>
      <c r="AC756" s="28" t="e">
        <f t="shared" ca="1" si="92"/>
        <v>#VALUE!</v>
      </c>
      <c r="AD756" s="29" t="e">
        <f t="shared" ca="1" si="93"/>
        <v>#VALUE!</v>
      </c>
      <c r="AE756" s="28" t="e">
        <f t="shared" ca="1" si="96"/>
        <v>#VALUE!</v>
      </c>
      <c r="AF756" s="28" t="e">
        <f t="shared" si="97"/>
        <v>#VALUE!</v>
      </c>
      <c r="AG756" s="28">
        <f>COUNTIF(AF$3:AF756,AF756)-1</f>
        <v>87</v>
      </c>
    </row>
    <row r="757" spans="27:33" x14ac:dyDescent="0.25">
      <c r="AA757" s="28" t="str">
        <f t="shared" si="94"/>
        <v/>
      </c>
      <c r="AB757" s="28" t="e">
        <f t="shared" ca="1" si="95"/>
        <v>#VALUE!</v>
      </c>
      <c r="AC757" s="28" t="e">
        <f t="shared" ca="1" si="92"/>
        <v>#VALUE!</v>
      </c>
      <c r="AD757" s="29" t="e">
        <f t="shared" ca="1" si="93"/>
        <v>#VALUE!</v>
      </c>
      <c r="AE757" s="28" t="e">
        <f t="shared" ca="1" si="96"/>
        <v>#VALUE!</v>
      </c>
      <c r="AF757" s="28" t="e">
        <f t="shared" si="97"/>
        <v>#VALUE!</v>
      </c>
      <c r="AG757" s="28">
        <f>COUNTIF(AF$3:AF757,AF757)-1</f>
        <v>88</v>
      </c>
    </row>
    <row r="758" spans="27:33" x14ac:dyDescent="0.25">
      <c r="AA758" s="28" t="str">
        <f t="shared" si="94"/>
        <v/>
      </c>
      <c r="AB758" s="28" t="e">
        <f t="shared" ca="1" si="95"/>
        <v>#VALUE!</v>
      </c>
      <c r="AC758" s="28" t="e">
        <f t="shared" ca="1" si="92"/>
        <v>#VALUE!</v>
      </c>
      <c r="AD758" s="29" t="e">
        <f t="shared" ca="1" si="93"/>
        <v>#VALUE!</v>
      </c>
      <c r="AE758" s="28" t="e">
        <f t="shared" ca="1" si="96"/>
        <v>#VALUE!</v>
      </c>
      <c r="AF758" s="28" t="e">
        <f t="shared" si="97"/>
        <v>#VALUE!</v>
      </c>
      <c r="AG758" s="28">
        <f>COUNTIF(AF$3:AF758,AF758)-1</f>
        <v>89</v>
      </c>
    </row>
    <row r="759" spans="27:33" x14ac:dyDescent="0.25">
      <c r="AA759" s="28" t="str">
        <f t="shared" si="94"/>
        <v/>
      </c>
      <c r="AB759" s="28" t="e">
        <f t="shared" ca="1" si="95"/>
        <v>#VALUE!</v>
      </c>
      <c r="AC759" s="28" t="e">
        <f t="shared" ca="1" si="92"/>
        <v>#VALUE!</v>
      </c>
      <c r="AD759" s="29" t="e">
        <f t="shared" ca="1" si="93"/>
        <v>#VALUE!</v>
      </c>
      <c r="AE759" s="28" t="e">
        <f t="shared" ca="1" si="96"/>
        <v>#VALUE!</v>
      </c>
      <c r="AF759" s="28" t="e">
        <f t="shared" si="97"/>
        <v>#VALUE!</v>
      </c>
      <c r="AG759" s="28">
        <f>COUNTIF(AF$3:AF759,AF759)-1</f>
        <v>90</v>
      </c>
    </row>
    <row r="760" spans="27:33" x14ac:dyDescent="0.25">
      <c r="AA760" s="28" t="str">
        <f t="shared" si="94"/>
        <v/>
      </c>
      <c r="AB760" s="28" t="e">
        <f t="shared" ca="1" si="95"/>
        <v>#VALUE!</v>
      </c>
      <c r="AC760" s="28" t="e">
        <f t="shared" ca="1" si="92"/>
        <v>#VALUE!</v>
      </c>
      <c r="AD760" s="29" t="e">
        <f t="shared" ca="1" si="93"/>
        <v>#VALUE!</v>
      </c>
      <c r="AE760" s="28" t="e">
        <f t="shared" ca="1" si="96"/>
        <v>#VALUE!</v>
      </c>
      <c r="AF760" s="28" t="e">
        <f t="shared" si="97"/>
        <v>#VALUE!</v>
      </c>
      <c r="AG760" s="28">
        <f>COUNTIF(AF$3:AF760,AF760)-1</f>
        <v>91</v>
      </c>
    </row>
    <row r="761" spans="27:33" x14ac:dyDescent="0.25">
      <c r="AA761" s="28" t="str">
        <f t="shared" si="94"/>
        <v/>
      </c>
      <c r="AB761" s="28" t="e">
        <f t="shared" ca="1" si="95"/>
        <v>#VALUE!</v>
      </c>
      <c r="AC761" s="28" t="e">
        <f t="shared" ca="1" si="92"/>
        <v>#VALUE!</v>
      </c>
      <c r="AD761" s="29" t="e">
        <f t="shared" ca="1" si="93"/>
        <v>#VALUE!</v>
      </c>
      <c r="AE761" s="28" t="e">
        <f t="shared" ca="1" si="96"/>
        <v>#VALUE!</v>
      </c>
      <c r="AF761" s="28" t="e">
        <f t="shared" si="97"/>
        <v>#VALUE!</v>
      </c>
      <c r="AG761" s="28">
        <f>COUNTIF(AF$3:AF761,AF761)-1</f>
        <v>92</v>
      </c>
    </row>
    <row r="762" spans="27:33" x14ac:dyDescent="0.25">
      <c r="AA762" s="28" t="str">
        <f t="shared" si="94"/>
        <v/>
      </c>
      <c r="AB762" s="28" t="e">
        <f t="shared" ca="1" si="95"/>
        <v>#VALUE!</v>
      </c>
      <c r="AC762" s="28" t="e">
        <f t="shared" ca="1" si="92"/>
        <v>#VALUE!</v>
      </c>
      <c r="AD762" s="29" t="e">
        <f t="shared" ca="1" si="93"/>
        <v>#VALUE!</v>
      </c>
      <c r="AE762" s="28" t="e">
        <f t="shared" ca="1" si="96"/>
        <v>#VALUE!</v>
      </c>
      <c r="AF762" s="28" t="e">
        <f t="shared" si="97"/>
        <v>#VALUE!</v>
      </c>
      <c r="AG762" s="28">
        <f>COUNTIF(AF$3:AF762,AF762)-1</f>
        <v>93</v>
      </c>
    </row>
    <row r="763" spans="27:33" x14ac:dyDescent="0.25">
      <c r="AA763" s="28" t="str">
        <f t="shared" si="94"/>
        <v/>
      </c>
      <c r="AB763" s="28" t="e">
        <f t="shared" ca="1" si="95"/>
        <v>#VALUE!</v>
      </c>
      <c r="AC763" s="28" t="e">
        <f t="shared" ca="1" si="92"/>
        <v>#VALUE!</v>
      </c>
      <c r="AD763" s="29" t="e">
        <f t="shared" ca="1" si="93"/>
        <v>#VALUE!</v>
      </c>
      <c r="AE763" s="28" t="e">
        <f t="shared" ca="1" si="96"/>
        <v>#VALUE!</v>
      </c>
      <c r="AF763" s="28" t="e">
        <f t="shared" si="97"/>
        <v>#VALUE!</v>
      </c>
      <c r="AG763" s="28">
        <f>COUNTIF(AF$3:AF763,AF763)-1</f>
        <v>94</v>
      </c>
    </row>
    <row r="764" spans="27:33" x14ac:dyDescent="0.25">
      <c r="AA764" s="28" t="str">
        <f t="shared" si="94"/>
        <v/>
      </c>
      <c r="AB764" s="28" t="e">
        <f t="shared" ca="1" si="95"/>
        <v>#VALUE!</v>
      </c>
      <c r="AC764" s="28" t="e">
        <f t="shared" ca="1" si="92"/>
        <v>#VALUE!</v>
      </c>
      <c r="AD764" s="29" t="e">
        <f t="shared" ca="1" si="93"/>
        <v>#VALUE!</v>
      </c>
      <c r="AE764" s="28" t="e">
        <f t="shared" ca="1" si="96"/>
        <v>#VALUE!</v>
      </c>
      <c r="AF764" s="28" t="e">
        <f t="shared" si="97"/>
        <v>#VALUE!</v>
      </c>
      <c r="AG764" s="28">
        <f>COUNTIF(AF$3:AF764,AF764)-1</f>
        <v>95</v>
      </c>
    </row>
    <row r="765" spans="27:33" x14ac:dyDescent="0.25">
      <c r="AA765" s="28" t="str">
        <f t="shared" si="94"/>
        <v/>
      </c>
      <c r="AB765" s="28" t="e">
        <f t="shared" ca="1" si="95"/>
        <v>#VALUE!</v>
      </c>
      <c r="AC765" s="28" t="e">
        <f t="shared" ca="1" si="92"/>
        <v>#VALUE!</v>
      </c>
      <c r="AD765" s="29" t="e">
        <f t="shared" ca="1" si="93"/>
        <v>#VALUE!</v>
      </c>
      <c r="AE765" s="28" t="e">
        <f t="shared" ca="1" si="96"/>
        <v>#VALUE!</v>
      </c>
      <c r="AF765" s="28" t="e">
        <f t="shared" si="97"/>
        <v>#VALUE!</v>
      </c>
      <c r="AG765" s="28">
        <f>COUNTIF(AF$3:AF765,AF765)-1</f>
        <v>96</v>
      </c>
    </row>
    <row r="766" spans="27:33" x14ac:dyDescent="0.25">
      <c r="AA766" s="28" t="str">
        <f t="shared" si="94"/>
        <v/>
      </c>
      <c r="AB766" s="28" t="e">
        <f t="shared" ca="1" si="95"/>
        <v>#VALUE!</v>
      </c>
      <c r="AC766" s="28" t="e">
        <f t="shared" ca="1" si="92"/>
        <v>#VALUE!</v>
      </c>
      <c r="AD766" s="29" t="e">
        <f t="shared" ca="1" si="93"/>
        <v>#VALUE!</v>
      </c>
      <c r="AE766" s="28" t="e">
        <f t="shared" ca="1" si="96"/>
        <v>#VALUE!</v>
      </c>
      <c r="AF766" s="28" t="e">
        <f t="shared" si="97"/>
        <v>#VALUE!</v>
      </c>
      <c r="AG766" s="28">
        <f>COUNTIF(AF$3:AF766,AF766)-1</f>
        <v>97</v>
      </c>
    </row>
    <row r="767" spans="27:33" x14ac:dyDescent="0.25">
      <c r="AA767" s="28" t="str">
        <f t="shared" si="94"/>
        <v/>
      </c>
      <c r="AB767" s="28" t="e">
        <f t="shared" ca="1" si="95"/>
        <v>#VALUE!</v>
      </c>
      <c r="AC767" s="28" t="e">
        <f t="shared" ca="1" si="92"/>
        <v>#VALUE!</v>
      </c>
      <c r="AD767" s="29" t="e">
        <f t="shared" ca="1" si="93"/>
        <v>#VALUE!</v>
      </c>
      <c r="AE767" s="28" t="e">
        <f t="shared" ca="1" si="96"/>
        <v>#VALUE!</v>
      </c>
      <c r="AF767" s="28" t="e">
        <f t="shared" si="97"/>
        <v>#VALUE!</v>
      </c>
      <c r="AG767" s="28">
        <f>COUNTIF(AF$3:AF767,AF767)-1</f>
        <v>98</v>
      </c>
    </row>
    <row r="768" spans="27:33" x14ac:dyDescent="0.25">
      <c r="AA768" s="28" t="str">
        <f t="shared" si="94"/>
        <v/>
      </c>
      <c r="AB768" s="28" t="e">
        <f t="shared" ca="1" si="95"/>
        <v>#VALUE!</v>
      </c>
      <c r="AC768" s="28" t="e">
        <f t="shared" ca="1" si="92"/>
        <v>#VALUE!</v>
      </c>
      <c r="AD768" s="29" t="e">
        <f t="shared" ca="1" si="93"/>
        <v>#VALUE!</v>
      </c>
      <c r="AE768" s="28" t="e">
        <f t="shared" ca="1" si="96"/>
        <v>#VALUE!</v>
      </c>
      <c r="AF768" s="28" t="e">
        <f t="shared" si="97"/>
        <v>#VALUE!</v>
      </c>
      <c r="AG768" s="28">
        <f>COUNTIF(AF$3:AF768,AF768)-1</f>
        <v>99</v>
      </c>
    </row>
    <row r="769" spans="27:33" x14ac:dyDescent="0.25">
      <c r="AA769" s="28" t="str">
        <f t="shared" si="94"/>
        <v/>
      </c>
      <c r="AB769" s="28" t="e">
        <f t="shared" ca="1" si="95"/>
        <v>#VALUE!</v>
      </c>
      <c r="AC769" s="28" t="e">
        <f t="shared" ca="1" si="92"/>
        <v>#VALUE!</v>
      </c>
      <c r="AD769" s="29" t="e">
        <f t="shared" ca="1" si="93"/>
        <v>#VALUE!</v>
      </c>
      <c r="AE769" s="28" t="e">
        <f t="shared" ca="1" si="96"/>
        <v>#VALUE!</v>
      </c>
      <c r="AF769" s="28" t="e">
        <f t="shared" si="97"/>
        <v>#VALUE!</v>
      </c>
      <c r="AG769" s="28">
        <f>COUNTIF(AF$3:AF769,AF769)-1</f>
        <v>100</v>
      </c>
    </row>
    <row r="770" spans="27:33" x14ac:dyDescent="0.25">
      <c r="AA770" s="28" t="str">
        <f t="shared" si="94"/>
        <v/>
      </c>
      <c r="AB770" s="28" t="e">
        <f t="shared" ca="1" si="95"/>
        <v>#VALUE!</v>
      </c>
      <c r="AC770" s="28" t="e">
        <f t="shared" ca="1" si="92"/>
        <v>#VALUE!</v>
      </c>
      <c r="AD770" s="29" t="e">
        <f t="shared" ca="1" si="93"/>
        <v>#VALUE!</v>
      </c>
      <c r="AE770" s="28" t="e">
        <f t="shared" ca="1" si="96"/>
        <v>#VALUE!</v>
      </c>
      <c r="AF770" s="28" t="e">
        <f t="shared" si="97"/>
        <v>#VALUE!</v>
      </c>
      <c r="AG770" s="28">
        <f>COUNTIF(AF$3:AF770,AF770)-1</f>
        <v>101</v>
      </c>
    </row>
    <row r="771" spans="27:33" x14ac:dyDescent="0.25">
      <c r="AA771" s="28" t="str">
        <f t="shared" si="94"/>
        <v/>
      </c>
      <c r="AB771" s="28" t="e">
        <f t="shared" ca="1" si="95"/>
        <v>#VALUE!</v>
      </c>
      <c r="AC771" s="28" t="e">
        <f t="shared" ref="AC771:AC800" ca="1" si="98">OFFSET($G$2,$AF771,$AG771)</f>
        <v>#VALUE!</v>
      </c>
      <c r="AD771" s="29" t="e">
        <f t="shared" ref="AD771:AD800" ca="1" si="99">OFFSET($Q$2,$AF771,$AG771)*$AD$1</f>
        <v>#VALUE!</v>
      </c>
      <c r="AE771" s="28" t="e">
        <f t="shared" ca="1" si="96"/>
        <v>#VALUE!</v>
      </c>
      <c r="AF771" s="28" t="e">
        <f t="shared" si="97"/>
        <v>#VALUE!</v>
      </c>
      <c r="AG771" s="28">
        <f>COUNTIF(AF$3:AF771,AF771)-1</f>
        <v>102</v>
      </c>
    </row>
    <row r="772" spans="27:33" x14ac:dyDescent="0.25">
      <c r="AA772" s="28" t="str">
        <f t="shared" si="94"/>
        <v/>
      </c>
      <c r="AB772" s="28" t="e">
        <f t="shared" ca="1" si="95"/>
        <v>#VALUE!</v>
      </c>
      <c r="AC772" s="28" t="e">
        <f t="shared" ca="1" si="98"/>
        <v>#VALUE!</v>
      </c>
      <c r="AD772" s="29" t="e">
        <f t="shared" ca="1" si="99"/>
        <v>#VALUE!</v>
      </c>
      <c r="AE772" s="28" t="e">
        <f t="shared" ca="1" si="96"/>
        <v>#VALUE!</v>
      </c>
      <c r="AF772" s="28" t="e">
        <f t="shared" si="97"/>
        <v>#VALUE!</v>
      </c>
      <c r="AG772" s="28">
        <f>COUNTIF(AF$3:AF772,AF772)-1</f>
        <v>103</v>
      </c>
    </row>
    <row r="773" spans="27:33" x14ac:dyDescent="0.25">
      <c r="AA773" s="28" t="str">
        <f t="shared" si="94"/>
        <v/>
      </c>
      <c r="AB773" s="28" t="e">
        <f t="shared" ca="1" si="95"/>
        <v>#VALUE!</v>
      </c>
      <c r="AC773" s="28" t="e">
        <f t="shared" ca="1" si="98"/>
        <v>#VALUE!</v>
      </c>
      <c r="AD773" s="29" t="e">
        <f t="shared" ca="1" si="99"/>
        <v>#VALUE!</v>
      </c>
      <c r="AE773" s="28" t="e">
        <f t="shared" ca="1" si="96"/>
        <v>#VALUE!</v>
      </c>
      <c r="AF773" s="28" t="e">
        <f t="shared" si="97"/>
        <v>#VALUE!</v>
      </c>
      <c r="AG773" s="28">
        <f>COUNTIF(AF$3:AF773,AF773)-1</f>
        <v>104</v>
      </c>
    </row>
    <row r="774" spans="27:33" x14ac:dyDescent="0.25">
      <c r="AA774" s="28" t="str">
        <f t="shared" si="94"/>
        <v/>
      </c>
      <c r="AB774" s="28" t="e">
        <f t="shared" ca="1" si="95"/>
        <v>#VALUE!</v>
      </c>
      <c r="AC774" s="28" t="e">
        <f t="shared" ca="1" si="98"/>
        <v>#VALUE!</v>
      </c>
      <c r="AD774" s="29" t="e">
        <f t="shared" ca="1" si="99"/>
        <v>#VALUE!</v>
      </c>
      <c r="AE774" s="28" t="e">
        <f t="shared" ca="1" si="96"/>
        <v>#VALUE!</v>
      </c>
      <c r="AF774" s="28" t="e">
        <f t="shared" si="97"/>
        <v>#VALUE!</v>
      </c>
      <c r="AG774" s="28">
        <f>COUNTIF(AF$3:AF774,AF774)-1</f>
        <v>105</v>
      </c>
    </row>
    <row r="775" spans="27:33" x14ac:dyDescent="0.25">
      <c r="AA775" s="28" t="str">
        <f t="shared" si="94"/>
        <v/>
      </c>
      <c r="AB775" s="28" t="e">
        <f t="shared" ca="1" si="95"/>
        <v>#VALUE!</v>
      </c>
      <c r="AC775" s="28" t="e">
        <f t="shared" ca="1" si="98"/>
        <v>#VALUE!</v>
      </c>
      <c r="AD775" s="29" t="e">
        <f t="shared" ca="1" si="99"/>
        <v>#VALUE!</v>
      </c>
      <c r="AE775" s="28" t="e">
        <f t="shared" ca="1" si="96"/>
        <v>#VALUE!</v>
      </c>
      <c r="AF775" s="28" t="e">
        <f t="shared" si="97"/>
        <v>#VALUE!</v>
      </c>
      <c r="AG775" s="28">
        <f>COUNTIF(AF$3:AF775,AF775)-1</f>
        <v>106</v>
      </c>
    </row>
    <row r="776" spans="27:33" x14ac:dyDescent="0.25">
      <c r="AA776" s="28" t="str">
        <f t="shared" si="94"/>
        <v/>
      </c>
      <c r="AB776" s="28" t="e">
        <f t="shared" ca="1" si="95"/>
        <v>#VALUE!</v>
      </c>
      <c r="AC776" s="28" t="e">
        <f t="shared" ca="1" si="98"/>
        <v>#VALUE!</v>
      </c>
      <c r="AD776" s="29" t="e">
        <f t="shared" ca="1" si="99"/>
        <v>#VALUE!</v>
      </c>
      <c r="AE776" s="28" t="e">
        <f t="shared" ca="1" si="96"/>
        <v>#VALUE!</v>
      </c>
      <c r="AF776" s="28" t="e">
        <f t="shared" si="97"/>
        <v>#VALUE!</v>
      </c>
      <c r="AG776" s="28">
        <f>COUNTIF(AF$3:AF776,AF776)-1</f>
        <v>107</v>
      </c>
    </row>
    <row r="777" spans="27:33" x14ac:dyDescent="0.25">
      <c r="AA777" s="28" t="str">
        <f t="shared" si="94"/>
        <v/>
      </c>
      <c r="AB777" s="28" t="e">
        <f t="shared" ca="1" si="95"/>
        <v>#VALUE!</v>
      </c>
      <c r="AC777" s="28" t="e">
        <f t="shared" ca="1" si="98"/>
        <v>#VALUE!</v>
      </c>
      <c r="AD777" s="29" t="e">
        <f t="shared" ca="1" si="99"/>
        <v>#VALUE!</v>
      </c>
      <c r="AE777" s="28" t="e">
        <f t="shared" ca="1" si="96"/>
        <v>#VALUE!</v>
      </c>
      <c r="AF777" s="28" t="e">
        <f t="shared" si="97"/>
        <v>#VALUE!</v>
      </c>
      <c r="AG777" s="28">
        <f>COUNTIF(AF$3:AF777,AF777)-1</f>
        <v>108</v>
      </c>
    </row>
    <row r="778" spans="27:33" x14ac:dyDescent="0.25">
      <c r="AA778" s="28" t="str">
        <f t="shared" si="94"/>
        <v/>
      </c>
      <c r="AB778" s="28" t="e">
        <f t="shared" ca="1" si="95"/>
        <v>#VALUE!</v>
      </c>
      <c r="AC778" s="28" t="e">
        <f t="shared" ca="1" si="98"/>
        <v>#VALUE!</v>
      </c>
      <c r="AD778" s="29" t="e">
        <f t="shared" ca="1" si="99"/>
        <v>#VALUE!</v>
      </c>
      <c r="AE778" s="28" t="e">
        <f t="shared" ca="1" si="96"/>
        <v>#VALUE!</v>
      </c>
      <c r="AF778" s="28" t="e">
        <f t="shared" si="97"/>
        <v>#VALUE!</v>
      </c>
      <c r="AG778" s="28">
        <f>COUNTIF(AF$3:AF778,AF778)-1</f>
        <v>109</v>
      </c>
    </row>
    <row r="779" spans="27:33" x14ac:dyDescent="0.25">
      <c r="AA779" s="28" t="str">
        <f t="shared" si="94"/>
        <v/>
      </c>
      <c r="AB779" s="28" t="e">
        <f t="shared" ca="1" si="95"/>
        <v>#VALUE!</v>
      </c>
      <c r="AC779" s="28" t="e">
        <f t="shared" ca="1" si="98"/>
        <v>#VALUE!</v>
      </c>
      <c r="AD779" s="29" t="e">
        <f t="shared" ca="1" si="99"/>
        <v>#VALUE!</v>
      </c>
      <c r="AE779" s="28" t="e">
        <f t="shared" ca="1" si="96"/>
        <v>#VALUE!</v>
      </c>
      <c r="AF779" s="28" t="e">
        <f t="shared" si="97"/>
        <v>#VALUE!</v>
      </c>
      <c r="AG779" s="28">
        <f>COUNTIF(AF$3:AF779,AF779)-1</f>
        <v>110</v>
      </c>
    </row>
    <row r="780" spans="27:33" x14ac:dyDescent="0.25">
      <c r="AA780" s="28" t="str">
        <f t="shared" si="94"/>
        <v/>
      </c>
      <c r="AB780" s="28" t="e">
        <f t="shared" ca="1" si="95"/>
        <v>#VALUE!</v>
      </c>
      <c r="AC780" s="28" t="e">
        <f t="shared" ca="1" si="98"/>
        <v>#VALUE!</v>
      </c>
      <c r="AD780" s="29" t="e">
        <f t="shared" ca="1" si="99"/>
        <v>#VALUE!</v>
      </c>
      <c r="AE780" s="28" t="e">
        <f t="shared" ca="1" si="96"/>
        <v>#VALUE!</v>
      </c>
      <c r="AF780" s="28" t="e">
        <f t="shared" si="97"/>
        <v>#VALUE!</v>
      </c>
      <c r="AG780" s="28">
        <f>COUNTIF(AF$3:AF780,AF780)-1</f>
        <v>111</v>
      </c>
    </row>
    <row r="781" spans="27:33" x14ac:dyDescent="0.25">
      <c r="AA781" s="28" t="str">
        <f t="shared" si="94"/>
        <v/>
      </c>
      <c r="AB781" s="28" t="e">
        <f t="shared" ca="1" si="95"/>
        <v>#VALUE!</v>
      </c>
      <c r="AC781" s="28" t="e">
        <f t="shared" ca="1" si="98"/>
        <v>#VALUE!</v>
      </c>
      <c r="AD781" s="29" t="e">
        <f t="shared" ca="1" si="99"/>
        <v>#VALUE!</v>
      </c>
      <c r="AE781" s="28" t="e">
        <f t="shared" ca="1" si="96"/>
        <v>#VALUE!</v>
      </c>
      <c r="AF781" s="28" t="e">
        <f t="shared" si="97"/>
        <v>#VALUE!</v>
      </c>
      <c r="AG781" s="28">
        <f>COUNTIF(AF$3:AF781,AF781)-1</f>
        <v>112</v>
      </c>
    </row>
    <row r="782" spans="27:33" x14ac:dyDescent="0.25">
      <c r="AA782" s="28" t="str">
        <f t="shared" si="94"/>
        <v/>
      </c>
      <c r="AB782" s="28" t="e">
        <f t="shared" ca="1" si="95"/>
        <v>#VALUE!</v>
      </c>
      <c r="AC782" s="28" t="e">
        <f t="shared" ca="1" si="98"/>
        <v>#VALUE!</v>
      </c>
      <c r="AD782" s="29" t="e">
        <f t="shared" ca="1" si="99"/>
        <v>#VALUE!</v>
      </c>
      <c r="AE782" s="28" t="e">
        <f t="shared" ca="1" si="96"/>
        <v>#VALUE!</v>
      </c>
      <c r="AF782" s="28" t="e">
        <f t="shared" si="97"/>
        <v>#VALUE!</v>
      </c>
      <c r="AG782" s="28">
        <f>COUNTIF(AF$3:AF782,AF782)-1</f>
        <v>113</v>
      </c>
    </row>
    <row r="783" spans="27:33" x14ac:dyDescent="0.25">
      <c r="AA783" s="28" t="str">
        <f t="shared" si="94"/>
        <v/>
      </c>
      <c r="AB783" s="28" t="e">
        <f t="shared" ca="1" si="95"/>
        <v>#VALUE!</v>
      </c>
      <c r="AC783" s="28" t="e">
        <f t="shared" ca="1" si="98"/>
        <v>#VALUE!</v>
      </c>
      <c r="AD783" s="29" t="e">
        <f t="shared" ca="1" si="99"/>
        <v>#VALUE!</v>
      </c>
      <c r="AE783" s="28" t="e">
        <f t="shared" ca="1" si="96"/>
        <v>#VALUE!</v>
      </c>
      <c r="AF783" s="28" t="e">
        <f t="shared" si="97"/>
        <v>#VALUE!</v>
      </c>
      <c r="AG783" s="28">
        <f>COUNTIF(AF$3:AF783,AF783)-1</f>
        <v>114</v>
      </c>
    </row>
    <row r="784" spans="27:33" x14ac:dyDescent="0.25">
      <c r="AA784" s="28" t="str">
        <f t="shared" si="94"/>
        <v/>
      </c>
      <c r="AB784" s="28" t="e">
        <f t="shared" ca="1" si="95"/>
        <v>#VALUE!</v>
      </c>
      <c r="AC784" s="28" t="e">
        <f t="shared" ca="1" si="98"/>
        <v>#VALUE!</v>
      </c>
      <c r="AD784" s="29" t="e">
        <f t="shared" ca="1" si="99"/>
        <v>#VALUE!</v>
      </c>
      <c r="AE784" s="28" t="e">
        <f t="shared" ca="1" si="96"/>
        <v>#VALUE!</v>
      </c>
      <c r="AF784" s="28" t="e">
        <f t="shared" si="97"/>
        <v>#VALUE!</v>
      </c>
      <c r="AG784" s="28">
        <f>COUNTIF(AF$3:AF784,AF784)-1</f>
        <v>115</v>
      </c>
    </row>
    <row r="785" spans="27:33" x14ac:dyDescent="0.25">
      <c r="AA785" s="28" t="str">
        <f t="shared" si="94"/>
        <v/>
      </c>
      <c r="AB785" s="28" t="e">
        <f t="shared" ca="1" si="95"/>
        <v>#VALUE!</v>
      </c>
      <c r="AC785" s="28" t="e">
        <f t="shared" ca="1" si="98"/>
        <v>#VALUE!</v>
      </c>
      <c r="AD785" s="29" t="e">
        <f t="shared" ca="1" si="99"/>
        <v>#VALUE!</v>
      </c>
      <c r="AE785" s="28" t="e">
        <f t="shared" ca="1" si="96"/>
        <v>#VALUE!</v>
      </c>
      <c r="AF785" s="28" t="e">
        <f t="shared" si="97"/>
        <v>#VALUE!</v>
      </c>
      <c r="AG785" s="28">
        <f>COUNTIF(AF$3:AF785,AF785)-1</f>
        <v>116</v>
      </c>
    </row>
    <row r="786" spans="27:33" x14ac:dyDescent="0.25">
      <c r="AA786" s="28" t="str">
        <f t="shared" si="94"/>
        <v/>
      </c>
      <c r="AB786" s="28" t="e">
        <f t="shared" ca="1" si="95"/>
        <v>#VALUE!</v>
      </c>
      <c r="AC786" s="28" t="e">
        <f t="shared" ca="1" si="98"/>
        <v>#VALUE!</v>
      </c>
      <c r="AD786" s="29" t="e">
        <f t="shared" ca="1" si="99"/>
        <v>#VALUE!</v>
      </c>
      <c r="AE786" s="28" t="e">
        <f t="shared" ca="1" si="96"/>
        <v>#VALUE!</v>
      </c>
      <c r="AF786" s="28" t="e">
        <f t="shared" si="97"/>
        <v>#VALUE!</v>
      </c>
      <c r="AG786" s="28">
        <f>COUNTIF(AF$3:AF786,AF786)-1</f>
        <v>117</v>
      </c>
    </row>
    <row r="787" spans="27:33" x14ac:dyDescent="0.25">
      <c r="AA787" s="28" t="str">
        <f t="shared" si="94"/>
        <v/>
      </c>
      <c r="AB787" s="28" t="e">
        <f t="shared" ca="1" si="95"/>
        <v>#VALUE!</v>
      </c>
      <c r="AC787" s="28" t="e">
        <f t="shared" ca="1" si="98"/>
        <v>#VALUE!</v>
      </c>
      <c r="AD787" s="29" t="e">
        <f t="shared" ca="1" si="99"/>
        <v>#VALUE!</v>
      </c>
      <c r="AE787" s="28" t="e">
        <f t="shared" ca="1" si="96"/>
        <v>#VALUE!</v>
      </c>
      <c r="AF787" s="28" t="e">
        <f t="shared" si="97"/>
        <v>#VALUE!</v>
      </c>
      <c r="AG787" s="28">
        <f>COUNTIF(AF$3:AF787,AF787)-1</f>
        <v>118</v>
      </c>
    </row>
    <row r="788" spans="27:33" x14ac:dyDescent="0.25">
      <c r="AA788" s="28" t="str">
        <f t="shared" si="94"/>
        <v/>
      </c>
      <c r="AB788" s="28" t="e">
        <f t="shared" ca="1" si="95"/>
        <v>#VALUE!</v>
      </c>
      <c r="AC788" s="28" t="e">
        <f t="shared" ca="1" si="98"/>
        <v>#VALUE!</v>
      </c>
      <c r="AD788" s="29" t="e">
        <f t="shared" ca="1" si="99"/>
        <v>#VALUE!</v>
      </c>
      <c r="AE788" s="28" t="e">
        <f t="shared" ca="1" si="96"/>
        <v>#VALUE!</v>
      </c>
      <c r="AF788" s="28" t="e">
        <f t="shared" si="97"/>
        <v>#VALUE!</v>
      </c>
      <c r="AG788" s="28">
        <f>COUNTIF(AF$3:AF788,AF788)-1</f>
        <v>119</v>
      </c>
    </row>
    <row r="789" spans="27:33" x14ac:dyDescent="0.25">
      <c r="AA789" s="28" t="str">
        <f t="shared" si="94"/>
        <v/>
      </c>
      <c r="AB789" s="28" t="e">
        <f t="shared" ca="1" si="95"/>
        <v>#VALUE!</v>
      </c>
      <c r="AC789" s="28" t="e">
        <f t="shared" ca="1" si="98"/>
        <v>#VALUE!</v>
      </c>
      <c r="AD789" s="29" t="e">
        <f t="shared" ca="1" si="99"/>
        <v>#VALUE!</v>
      </c>
      <c r="AE789" s="28" t="e">
        <f t="shared" ca="1" si="96"/>
        <v>#VALUE!</v>
      </c>
      <c r="AF789" s="28" t="e">
        <f t="shared" si="97"/>
        <v>#VALUE!</v>
      </c>
      <c r="AG789" s="28">
        <f>COUNTIF(AF$3:AF789,AF789)-1</f>
        <v>120</v>
      </c>
    </row>
    <row r="790" spans="27:33" x14ac:dyDescent="0.25">
      <c r="AA790" s="28" t="str">
        <f t="shared" si="94"/>
        <v/>
      </c>
      <c r="AB790" s="28" t="e">
        <f t="shared" ca="1" si="95"/>
        <v>#VALUE!</v>
      </c>
      <c r="AC790" s="28" t="e">
        <f t="shared" ca="1" si="98"/>
        <v>#VALUE!</v>
      </c>
      <c r="AD790" s="29" t="e">
        <f t="shared" ca="1" si="99"/>
        <v>#VALUE!</v>
      </c>
      <c r="AE790" s="28" t="e">
        <f t="shared" ca="1" si="96"/>
        <v>#VALUE!</v>
      </c>
      <c r="AF790" s="28" t="e">
        <f t="shared" si="97"/>
        <v>#VALUE!</v>
      </c>
      <c r="AG790" s="28">
        <f>COUNTIF(AF$3:AF790,AF790)-1</f>
        <v>121</v>
      </c>
    </row>
    <row r="791" spans="27:33" x14ac:dyDescent="0.25">
      <c r="AA791" s="28" t="str">
        <f t="shared" si="94"/>
        <v/>
      </c>
      <c r="AB791" s="28" t="e">
        <f t="shared" ca="1" si="95"/>
        <v>#VALUE!</v>
      </c>
      <c r="AC791" s="28" t="e">
        <f t="shared" ca="1" si="98"/>
        <v>#VALUE!</v>
      </c>
      <c r="AD791" s="29" t="e">
        <f t="shared" ca="1" si="99"/>
        <v>#VALUE!</v>
      </c>
      <c r="AE791" s="28" t="e">
        <f t="shared" ca="1" si="96"/>
        <v>#VALUE!</v>
      </c>
      <c r="AF791" s="28" t="e">
        <f t="shared" si="97"/>
        <v>#VALUE!</v>
      </c>
      <c r="AG791" s="28">
        <f>COUNTIF(AF$3:AF791,AF791)-1</f>
        <v>122</v>
      </c>
    </row>
    <row r="792" spans="27:33" x14ac:dyDescent="0.25">
      <c r="AA792" s="28" t="str">
        <f t="shared" si="94"/>
        <v/>
      </c>
      <c r="AB792" s="28" t="e">
        <f t="shared" ca="1" si="95"/>
        <v>#VALUE!</v>
      </c>
      <c r="AC792" s="28" t="e">
        <f t="shared" ca="1" si="98"/>
        <v>#VALUE!</v>
      </c>
      <c r="AD792" s="29" t="e">
        <f t="shared" ca="1" si="99"/>
        <v>#VALUE!</v>
      </c>
      <c r="AE792" s="28" t="e">
        <f t="shared" ca="1" si="96"/>
        <v>#VALUE!</v>
      </c>
      <c r="AF792" s="28" t="e">
        <f t="shared" si="97"/>
        <v>#VALUE!</v>
      </c>
      <c r="AG792" s="28">
        <f>COUNTIF(AF$3:AF792,AF792)-1</f>
        <v>123</v>
      </c>
    </row>
    <row r="793" spans="27:33" x14ac:dyDescent="0.25">
      <c r="AA793" s="28" t="str">
        <f t="shared" si="94"/>
        <v/>
      </c>
      <c r="AB793" s="28" t="e">
        <f t="shared" ca="1" si="95"/>
        <v>#VALUE!</v>
      </c>
      <c r="AC793" s="28" t="e">
        <f t="shared" ca="1" si="98"/>
        <v>#VALUE!</v>
      </c>
      <c r="AD793" s="29" t="e">
        <f t="shared" ca="1" si="99"/>
        <v>#VALUE!</v>
      </c>
      <c r="AE793" s="28" t="e">
        <f t="shared" ca="1" si="96"/>
        <v>#VALUE!</v>
      </c>
      <c r="AF793" s="28" t="e">
        <f t="shared" si="97"/>
        <v>#VALUE!</v>
      </c>
      <c r="AG793" s="28">
        <f>COUNTIF(AF$3:AF793,AF793)-1</f>
        <v>124</v>
      </c>
    </row>
    <row r="794" spans="27:33" x14ac:dyDescent="0.25">
      <c r="AA794" s="28" t="str">
        <f t="shared" si="94"/>
        <v/>
      </c>
      <c r="AB794" s="28" t="e">
        <f t="shared" ca="1" si="95"/>
        <v>#VALUE!</v>
      </c>
      <c r="AC794" s="28" t="e">
        <f t="shared" ca="1" si="98"/>
        <v>#VALUE!</v>
      </c>
      <c r="AD794" s="29" t="e">
        <f t="shared" ca="1" si="99"/>
        <v>#VALUE!</v>
      </c>
      <c r="AE794" s="28" t="e">
        <f t="shared" ca="1" si="96"/>
        <v>#VALUE!</v>
      </c>
      <c r="AF794" s="28" t="e">
        <f t="shared" si="97"/>
        <v>#VALUE!</v>
      </c>
      <c r="AG794" s="28">
        <f>COUNTIF(AF$3:AF794,AF794)-1</f>
        <v>125</v>
      </c>
    </row>
    <row r="795" spans="27:33" x14ac:dyDescent="0.25">
      <c r="AA795" s="28" t="str">
        <f t="shared" si="94"/>
        <v/>
      </c>
      <c r="AB795" s="28" t="e">
        <f t="shared" ca="1" si="95"/>
        <v>#VALUE!</v>
      </c>
      <c r="AC795" s="28" t="e">
        <f t="shared" ca="1" si="98"/>
        <v>#VALUE!</v>
      </c>
      <c r="AD795" s="29" t="e">
        <f t="shared" ca="1" si="99"/>
        <v>#VALUE!</v>
      </c>
      <c r="AE795" s="28" t="e">
        <f t="shared" ca="1" si="96"/>
        <v>#VALUE!</v>
      </c>
      <c r="AF795" s="28" t="e">
        <f t="shared" si="97"/>
        <v>#VALUE!</v>
      </c>
      <c r="AG795" s="28">
        <f>COUNTIF(AF$3:AF795,AF795)-1</f>
        <v>126</v>
      </c>
    </row>
    <row r="796" spans="27:33" x14ac:dyDescent="0.25">
      <c r="AA796" s="28" t="str">
        <f t="shared" si="94"/>
        <v/>
      </c>
      <c r="AB796" s="28" t="e">
        <f t="shared" ca="1" si="95"/>
        <v>#VALUE!</v>
      </c>
      <c r="AC796" s="28" t="e">
        <f t="shared" ca="1" si="98"/>
        <v>#VALUE!</v>
      </c>
      <c r="AD796" s="29" t="e">
        <f t="shared" ca="1" si="99"/>
        <v>#VALUE!</v>
      </c>
      <c r="AE796" s="28" t="e">
        <f t="shared" ca="1" si="96"/>
        <v>#VALUE!</v>
      </c>
      <c r="AF796" s="28" t="e">
        <f t="shared" si="97"/>
        <v>#VALUE!</v>
      </c>
      <c r="AG796" s="28">
        <f>COUNTIF(AF$3:AF796,AF796)-1</f>
        <v>127</v>
      </c>
    </row>
    <row r="797" spans="27:33" x14ac:dyDescent="0.25">
      <c r="AA797" s="28" t="str">
        <f t="shared" si="94"/>
        <v/>
      </c>
      <c r="AB797" s="28" t="e">
        <f t="shared" ca="1" si="95"/>
        <v>#VALUE!</v>
      </c>
      <c r="AC797" s="28" t="e">
        <f t="shared" ca="1" si="98"/>
        <v>#VALUE!</v>
      </c>
      <c r="AD797" s="29" t="e">
        <f t="shared" ca="1" si="99"/>
        <v>#VALUE!</v>
      </c>
      <c r="AE797" s="28" t="e">
        <f t="shared" ca="1" si="96"/>
        <v>#VALUE!</v>
      </c>
      <c r="AF797" s="28" t="e">
        <f t="shared" si="97"/>
        <v>#VALUE!</v>
      </c>
      <c r="AG797" s="28">
        <f>COUNTIF(AF$3:AF797,AF797)-1</f>
        <v>128</v>
      </c>
    </row>
    <row r="798" spans="27:33" x14ac:dyDescent="0.25">
      <c r="AA798" s="28" t="str">
        <f t="shared" si="94"/>
        <v/>
      </c>
      <c r="AB798" s="28" t="e">
        <f t="shared" ca="1" si="95"/>
        <v>#VALUE!</v>
      </c>
      <c r="AC798" s="28" t="e">
        <f t="shared" ca="1" si="98"/>
        <v>#VALUE!</v>
      </c>
      <c r="AD798" s="29" t="e">
        <f t="shared" ca="1" si="99"/>
        <v>#VALUE!</v>
      </c>
      <c r="AE798" s="28" t="e">
        <f t="shared" ca="1" si="96"/>
        <v>#VALUE!</v>
      </c>
      <c r="AF798" s="28" t="e">
        <f t="shared" si="97"/>
        <v>#VALUE!</v>
      </c>
      <c r="AG798" s="28">
        <f>COUNTIF(AF$3:AF798,AF798)-1</f>
        <v>129</v>
      </c>
    </row>
    <row r="799" spans="27:33" x14ac:dyDescent="0.25">
      <c r="AA799" s="28" t="str">
        <f t="shared" ref="AA799:AA800" si="100">IF(ROW(A797)&gt;MAX(D:D),"",ROW(A797))</f>
        <v/>
      </c>
      <c r="AB799" s="28" t="e">
        <f t="shared" ref="AB799:AB800" ca="1" si="101">OFFSET(A$2,$AF799,)</f>
        <v>#VALUE!</v>
      </c>
      <c r="AC799" s="28" t="e">
        <f t="shared" ca="1" si="98"/>
        <v>#VALUE!</v>
      </c>
      <c r="AD799" s="29" t="e">
        <f t="shared" ca="1" si="99"/>
        <v>#VALUE!</v>
      </c>
      <c r="AE799" s="28" t="e">
        <f t="shared" ref="AE799:AE800" ca="1" si="102">OFFSET(B$2,$AF799,)</f>
        <v>#VALUE!</v>
      </c>
      <c r="AF799" s="28" t="e">
        <f t="shared" ref="AF799:AF800" si="103">FREQUENCY(D:D,AA799-0.1)+1</f>
        <v>#VALUE!</v>
      </c>
      <c r="AG799" s="28">
        <f>COUNTIF(AF$3:AF799,AF799)-1</f>
        <v>130</v>
      </c>
    </row>
    <row r="800" spans="27:33" x14ac:dyDescent="0.25">
      <c r="AA800" s="28" t="str">
        <f t="shared" si="100"/>
        <v/>
      </c>
      <c r="AB800" s="28" t="e">
        <f t="shared" ca="1" si="101"/>
        <v>#VALUE!</v>
      </c>
      <c r="AC800" s="28" t="e">
        <f t="shared" ca="1" si="98"/>
        <v>#VALUE!</v>
      </c>
      <c r="AD800" s="29" t="e">
        <f t="shared" ca="1" si="99"/>
        <v>#VALUE!</v>
      </c>
      <c r="AE800" s="28" t="e">
        <f t="shared" ca="1" si="102"/>
        <v>#VALUE!</v>
      </c>
      <c r="AF800" s="28" t="e">
        <f t="shared" si="103"/>
        <v>#VALUE!</v>
      </c>
      <c r="AG800" s="28">
        <f>COUNTIF(AF$3:AF800,AF800)-1</f>
        <v>131</v>
      </c>
    </row>
  </sheetData>
  <phoneticPr fontId="1" type="noConversion"/>
  <conditionalFormatting sqref="G19:G165 P19:P165">
    <cfRule type="cellIs" dxfId="9" priority="11" operator="equal">
      <formula>0</formula>
    </cfRule>
  </conditionalFormatting>
  <conditionalFormatting sqref="Q3:Z165">
    <cfRule type="expression" dxfId="8" priority="10">
      <formula>IF(AND(G3="",Q3&lt;&gt;""),TRUE,FALSE)</formula>
    </cfRule>
  </conditionalFormatting>
  <conditionalFormatting sqref="Q3:Z165">
    <cfRule type="expression" dxfId="7" priority="9">
      <formula>IF(AND(G3&lt;&gt;"",Q3=""),TRUE,FALSE)</formula>
    </cfRule>
  </conditionalFormatting>
  <conditionalFormatting sqref="G19:P165">
    <cfRule type="cellIs" dxfId="6" priority="8" operator="equal">
      <formula>0</formula>
    </cfRule>
  </conditionalFormatting>
  <conditionalFormatting sqref="G3:P18">
    <cfRule type="cellIs" dxfId="5" priority="7" operator="equal">
      <formula>0</formula>
    </cfRule>
  </conditionalFormatting>
  <conditionalFormatting sqref="P166:P418 G166:G418">
    <cfRule type="cellIs" dxfId="4" priority="4" operator="equal">
      <formula>0</formula>
    </cfRule>
  </conditionalFormatting>
  <conditionalFormatting sqref="Q166:Z418">
    <cfRule type="expression" dxfId="3" priority="3">
      <formula>IF(AND(G166="",Q166&lt;&gt;""),TRUE,FALSE)</formula>
    </cfRule>
  </conditionalFormatting>
  <conditionalFormatting sqref="Q166:Z418">
    <cfRule type="expression" dxfId="2" priority="2">
      <formula>IF(AND(G166&lt;&gt;"",Q166=""),TRUE,FALSE)</formula>
    </cfRule>
  </conditionalFormatting>
  <conditionalFormatting sqref="G166:P418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参数!$B$2:$B$16</xm:f>
          </x14:formula1>
          <xm:sqref>E179:E266</xm:sqref>
        </x14:dataValidation>
        <x14:dataValidation type="list" allowBlank="1" showInputMessage="1" showErrorMessage="1">
          <x14:formula1>
            <xm:f>参数!$E$1:$E$2</xm:f>
          </x14:formula1>
          <xm:sqref>G1</xm:sqref>
        </x14:dataValidation>
        <x14:dataValidation type="list" allowBlank="1" showInputMessage="1" showErrorMessage="1">
          <x14:formula1>
            <xm:f>参数!$B$2:$B$16</xm:f>
          </x14:formula1>
          <xm:sqref>E3:E178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J620"/>
  <sheetViews>
    <sheetView topLeftCell="Q1" workbookViewId="0">
      <pane ySplit="2" topLeftCell="A3" activePane="bottomLeft" state="frozen"/>
      <selection pane="bottomLeft" activeCell="AD8" sqref="AD8"/>
    </sheetView>
  </sheetViews>
  <sheetFormatPr defaultRowHeight="14.4" outlineLevelCol="1" x14ac:dyDescent="0.25"/>
  <cols>
    <col min="1" max="2" width="11" bestFit="1" customWidth="1"/>
    <col min="3" max="3" width="13" bestFit="1" customWidth="1"/>
    <col min="4" max="9" width="11.6640625" bestFit="1" customWidth="1"/>
    <col min="10" max="12" width="10" bestFit="1" customWidth="1"/>
    <col min="13" max="13" width="11.109375" bestFit="1" customWidth="1"/>
    <col min="15" max="15" width="9" style="33"/>
    <col min="16" max="24" width="10" style="33" customWidth="1" outlineLevel="1"/>
    <col min="25" max="25" width="11.109375" style="33" customWidth="1" outlineLevel="1"/>
    <col min="30" max="30" width="20.21875" bestFit="1" customWidth="1"/>
    <col min="31" max="31" width="11" bestFit="1" customWidth="1"/>
    <col min="32" max="33" width="11.109375" bestFit="1" customWidth="1"/>
    <col min="34" max="34" width="13" bestFit="1" customWidth="1"/>
    <col min="36" max="36" width="25.44140625" bestFit="1" customWidth="1"/>
  </cols>
  <sheetData>
    <row r="1" spans="1:36" x14ac:dyDescent="0.25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18" t="s">
        <v>36</v>
      </c>
      <c r="AA1" s="18"/>
      <c r="AB1" s="18"/>
      <c r="AC1" s="18"/>
      <c r="AD1" s="18"/>
      <c r="AE1" s="18" t="s">
        <v>37</v>
      </c>
      <c r="AF1" s="18"/>
      <c r="AG1" s="18"/>
      <c r="AH1" s="18"/>
      <c r="AI1" s="19">
        <v>10000</v>
      </c>
      <c r="AJ1" s="20"/>
    </row>
    <row r="2" spans="1:36" ht="15" thickBot="1" x14ac:dyDescent="0.3">
      <c r="A2" s="24" t="s">
        <v>38</v>
      </c>
      <c r="B2" s="25" t="s">
        <v>39</v>
      </c>
      <c r="C2" s="25" t="s">
        <v>40</v>
      </c>
      <c r="D2" s="25" t="s">
        <v>41</v>
      </c>
      <c r="E2" s="25" t="s">
        <v>42</v>
      </c>
      <c r="F2" s="25" t="s">
        <v>43</v>
      </c>
      <c r="G2" s="25" t="s">
        <v>44</v>
      </c>
      <c r="H2" s="25" t="s">
        <v>45</v>
      </c>
      <c r="I2" s="25" t="s">
        <v>46</v>
      </c>
      <c r="J2" s="25" t="s">
        <v>47</v>
      </c>
      <c r="K2" s="25" t="s">
        <v>48</v>
      </c>
      <c r="L2" s="25" t="s">
        <v>49</v>
      </c>
      <c r="M2" s="25" t="s">
        <v>50</v>
      </c>
      <c r="N2" s="21"/>
      <c r="O2" s="31" t="s">
        <v>51</v>
      </c>
      <c r="P2" s="35" t="s">
        <v>52</v>
      </c>
      <c r="Q2" s="35" t="s">
        <v>53</v>
      </c>
      <c r="R2" s="35" t="s">
        <v>54</v>
      </c>
      <c r="S2" s="35" t="s">
        <v>55</v>
      </c>
      <c r="T2" s="35" t="s">
        <v>56</v>
      </c>
      <c r="U2" s="35" t="s">
        <v>57</v>
      </c>
      <c r="V2" s="35" t="s">
        <v>58</v>
      </c>
      <c r="W2" s="35" t="s">
        <v>59</v>
      </c>
      <c r="X2" s="35" t="s">
        <v>60</v>
      </c>
      <c r="Y2" s="35" t="s">
        <v>61</v>
      </c>
      <c r="Z2" s="22" t="s">
        <v>62</v>
      </c>
      <c r="AA2" s="22">
        <v>0</v>
      </c>
      <c r="AB2" s="22" t="s">
        <v>63</v>
      </c>
      <c r="AC2" s="22" t="s">
        <v>64</v>
      </c>
      <c r="AD2" s="22" t="s">
        <v>65</v>
      </c>
      <c r="AE2" s="22" t="s">
        <v>0</v>
      </c>
      <c r="AF2" s="22" t="s">
        <v>28</v>
      </c>
      <c r="AG2" s="22" t="s">
        <v>66</v>
      </c>
      <c r="AH2" s="22" t="s">
        <v>67</v>
      </c>
      <c r="AI2" s="22" t="s">
        <v>29</v>
      </c>
      <c r="AJ2" s="23" t="s">
        <v>68</v>
      </c>
    </row>
    <row r="3" spans="1:36" x14ac:dyDescent="0.25">
      <c r="A3" s="14">
        <v>1</v>
      </c>
      <c r="B3" s="14" t="s">
        <v>72</v>
      </c>
      <c r="C3" s="14"/>
      <c r="D3" s="14" t="s">
        <v>386</v>
      </c>
      <c r="E3" s="14" t="s">
        <v>73</v>
      </c>
      <c r="F3" s="14" t="s">
        <v>74</v>
      </c>
      <c r="G3" s="14" t="s">
        <v>75</v>
      </c>
      <c r="H3" s="14"/>
      <c r="I3" s="14"/>
      <c r="J3" s="14"/>
      <c r="K3" s="14"/>
      <c r="L3" s="14"/>
      <c r="M3" s="14"/>
      <c r="N3" s="13"/>
      <c r="O3" s="32">
        <f>SUM(P3:Y3)</f>
        <v>0.99999999999999989</v>
      </c>
      <c r="P3" s="36">
        <v>0.1</v>
      </c>
      <c r="Q3" s="36">
        <v>0.5</v>
      </c>
      <c r="R3" s="36">
        <v>0.3</v>
      </c>
      <c r="S3" s="36">
        <v>0.1</v>
      </c>
      <c r="T3" s="36"/>
      <c r="U3" s="36"/>
      <c r="V3" s="36"/>
      <c r="W3" s="36"/>
      <c r="X3" s="36"/>
      <c r="Y3" s="36"/>
      <c r="Z3" s="15">
        <f>COUNTA(D3:M3)</f>
        <v>4</v>
      </c>
      <c r="AA3" s="15">
        <f>SUM(Z$3:Z3)</f>
        <v>4</v>
      </c>
      <c r="AB3" s="37">
        <f>MATCH(ROW(AB1)-0.1,AA:AA,1)</f>
        <v>2</v>
      </c>
      <c r="AC3" s="37">
        <f>COUNTIF(AB$3:AB3,AB3)</f>
        <v>1</v>
      </c>
      <c r="AD3" s="15" t="str">
        <f t="shared" ref="AD3:AD66" ca="1" si="0">OFFSET($C$2,MATCH(AF3,$A:$A,0)-2,$AC3)</f>
        <v>81110+1,2</v>
      </c>
      <c r="AE3" s="37">
        <f ca="1">AF3*100+AC3</f>
        <v>101</v>
      </c>
      <c r="AF3" s="15">
        <f ca="1">IF(OFFSET(A$1,AB3,)="","无",OFFSET(A$1,AB3,))</f>
        <v>1</v>
      </c>
      <c r="AG3" s="15">
        <f ca="1">VALUE(MID(AD3,1,FIND("+",AD3,1)-1))</f>
        <v>81110</v>
      </c>
      <c r="AH3" s="15" t="str">
        <f ca="1">"{" &amp; IFERROR(MID($AD3,FIND("+",$AD3,1)+1,IFERROR(FIND("/",$AD3),LEN($AD3)+1)-FIND("+",$AD3)-1),0) &amp; "}"</f>
        <v>{1,2}</v>
      </c>
      <c r="AI3" s="15">
        <f t="shared" ref="AI3:AI66" ca="1" si="1">IF(OFFSET($C$2,MATCH($AF3,A:A,0)-2,)="是",INT($AI$1/OFFSET($Z$2,MATCH(AF3,A:A,0)-2,)),OFFSET($O$2,MATCH($AF3,A:A,0)-2,$AC3)*$AI$1)</f>
        <v>1000</v>
      </c>
      <c r="AJ3" s="26" t="str">
        <f ca="1">OFFSET($B$2,MATCH($AF3,A:A,0)-2,) &amp; "-" &amp; $AD3 &amp; "|" &amp; AI3/$AI$1*100 &amp; "%"</f>
        <v>普通卡材料-81110+1,2|10%</v>
      </c>
    </row>
    <row r="4" spans="1:36" x14ac:dyDescent="0.25">
      <c r="A4" s="14">
        <v>2</v>
      </c>
      <c r="B4" s="14" t="s">
        <v>72</v>
      </c>
      <c r="C4" s="14"/>
      <c r="D4" s="14" t="s">
        <v>76</v>
      </c>
      <c r="E4" s="14" t="s">
        <v>77</v>
      </c>
      <c r="F4" s="14" t="s">
        <v>78</v>
      </c>
      <c r="G4" s="14"/>
      <c r="H4" s="14"/>
      <c r="I4" s="14"/>
      <c r="J4" s="14"/>
      <c r="K4" s="14"/>
      <c r="L4" s="14"/>
      <c r="M4" s="14"/>
      <c r="N4" s="13"/>
      <c r="O4" s="32">
        <f t="shared" ref="O4:O67" si="2">SUM(P4:Y4)</f>
        <v>0.99999999999999989</v>
      </c>
      <c r="P4" s="36">
        <v>0.7</v>
      </c>
      <c r="Q4" s="36">
        <v>0.2</v>
      </c>
      <c r="R4" s="36">
        <v>0.1</v>
      </c>
      <c r="S4" s="36"/>
      <c r="T4" s="36"/>
      <c r="U4" s="36"/>
      <c r="V4" s="36"/>
      <c r="W4" s="36"/>
      <c r="X4" s="36"/>
      <c r="Y4" s="36"/>
      <c r="Z4" s="15">
        <f t="shared" ref="Z4:Z67" si="3">COUNTA(D4:M4)</f>
        <v>3</v>
      </c>
      <c r="AA4" s="15">
        <f>SUM(Z$3:Z4)</f>
        <v>7</v>
      </c>
      <c r="AB4" s="37">
        <f t="shared" ref="AB4:AB67" si="4">MATCH(ROW(AB2)-0.1,AA:AA,1)</f>
        <v>2</v>
      </c>
      <c r="AC4" s="37">
        <f>COUNTIF(AB$3:AB4,AB4)</f>
        <v>2</v>
      </c>
      <c r="AD4" s="15" t="str">
        <f t="shared" ca="1" si="0"/>
        <v>81110+2</v>
      </c>
      <c r="AE4" s="37">
        <f t="shared" ref="AE4:AE67" ca="1" si="5">AF4*100+AC4</f>
        <v>102</v>
      </c>
      <c r="AF4" s="15">
        <f t="shared" ref="AF4:AF66" ca="1" si="6">IF(OFFSET(A$1,AB4,)="","无",OFFSET(A$1,AB4,))</f>
        <v>1</v>
      </c>
      <c r="AG4" s="15">
        <f t="shared" ref="AG4:AG67" ca="1" si="7">VALUE(MID(AD4,1,FIND("+",AD4,1)-1))</f>
        <v>81110</v>
      </c>
      <c r="AH4" s="15" t="str">
        <f t="shared" ref="AH4:AH67" ca="1" si="8">"{" &amp; IFERROR(MID($AD4,FIND("+",$AD4,1)+1,IFERROR(FIND("/",$AD4),LEN($AD4)+1)-FIND("+",$AD4)-1),0) &amp; "}"</f>
        <v>{2}</v>
      </c>
      <c r="AI4" s="15">
        <f t="shared" ca="1" si="1"/>
        <v>5000</v>
      </c>
      <c r="AJ4" s="26" t="str">
        <f t="shared" ref="AJ4:AJ67" ca="1" si="9">OFFSET($B$2,MATCH($AF4,A:A,0)-2,) &amp; "-" &amp; $AD4 &amp; "|" &amp; AI4/$AI$1*100 &amp; "%"</f>
        <v>普通卡材料-81110+2|50%</v>
      </c>
    </row>
    <row r="5" spans="1:36" x14ac:dyDescent="0.25">
      <c r="A5" s="14">
        <v>3</v>
      </c>
      <c r="B5" s="14" t="s">
        <v>72</v>
      </c>
      <c r="C5" s="14"/>
      <c r="D5" s="14" t="s">
        <v>79</v>
      </c>
      <c r="E5" s="14" t="s">
        <v>80</v>
      </c>
      <c r="F5" s="14" t="s">
        <v>81</v>
      </c>
      <c r="G5" s="14"/>
      <c r="H5" s="14"/>
      <c r="I5" s="14"/>
      <c r="J5" s="14"/>
      <c r="K5" s="14"/>
      <c r="L5" s="14"/>
      <c r="M5" s="14"/>
      <c r="N5" s="13"/>
      <c r="O5" s="32">
        <f t="shared" si="2"/>
        <v>0.99999999999999989</v>
      </c>
      <c r="P5" s="36">
        <v>0.7</v>
      </c>
      <c r="Q5" s="36">
        <v>0.2</v>
      </c>
      <c r="R5" s="36">
        <v>0.1</v>
      </c>
      <c r="S5" s="36"/>
      <c r="T5" s="36"/>
      <c r="U5" s="36"/>
      <c r="V5" s="36"/>
      <c r="W5" s="36"/>
      <c r="X5" s="36"/>
      <c r="Y5" s="36"/>
      <c r="Z5" s="15">
        <f t="shared" si="3"/>
        <v>3</v>
      </c>
      <c r="AA5" s="15">
        <f>SUM(Z$3:Z5)</f>
        <v>10</v>
      </c>
      <c r="AB5" s="37">
        <f t="shared" si="4"/>
        <v>2</v>
      </c>
      <c r="AC5" s="37">
        <f>COUNTIF(AB$3:AB5,AB5)</f>
        <v>3</v>
      </c>
      <c r="AD5" s="15" t="str">
        <f t="shared" ca="1" si="0"/>
        <v>81110+3</v>
      </c>
      <c r="AE5" s="37">
        <f t="shared" ca="1" si="5"/>
        <v>103</v>
      </c>
      <c r="AF5" s="15">
        <f t="shared" ca="1" si="6"/>
        <v>1</v>
      </c>
      <c r="AG5" s="15">
        <f t="shared" ca="1" si="7"/>
        <v>81110</v>
      </c>
      <c r="AH5" s="15" t="str">
        <f t="shared" ca="1" si="8"/>
        <v>{3}</v>
      </c>
      <c r="AI5" s="15">
        <f t="shared" ca="1" si="1"/>
        <v>3000</v>
      </c>
      <c r="AJ5" s="26" t="str">
        <f t="shared" ca="1" si="9"/>
        <v>普通卡材料-81110+3|30%</v>
      </c>
    </row>
    <row r="6" spans="1:36" x14ac:dyDescent="0.25">
      <c r="A6" s="14">
        <v>4</v>
      </c>
      <c r="B6" s="14" t="s">
        <v>72</v>
      </c>
      <c r="C6" s="14"/>
      <c r="D6" s="14" t="s">
        <v>82</v>
      </c>
      <c r="E6" s="14" t="s">
        <v>83</v>
      </c>
      <c r="F6" s="14" t="s">
        <v>84</v>
      </c>
      <c r="G6" s="14"/>
      <c r="H6" s="14"/>
      <c r="I6" s="14"/>
      <c r="J6" s="14"/>
      <c r="K6" s="14"/>
      <c r="L6" s="14"/>
      <c r="M6" s="14"/>
      <c r="N6" s="13"/>
      <c r="O6" s="32">
        <f t="shared" si="2"/>
        <v>0.99999999999999989</v>
      </c>
      <c r="P6" s="36">
        <v>0.7</v>
      </c>
      <c r="Q6" s="36">
        <v>0.2</v>
      </c>
      <c r="R6" s="36">
        <v>0.1</v>
      </c>
      <c r="S6" s="36"/>
      <c r="T6" s="36"/>
      <c r="U6" s="36"/>
      <c r="V6" s="36"/>
      <c r="W6" s="36"/>
      <c r="X6" s="36"/>
      <c r="Y6" s="36"/>
      <c r="Z6" s="15">
        <f t="shared" si="3"/>
        <v>3</v>
      </c>
      <c r="AA6" s="15">
        <f>SUM(Z$3:Z6)</f>
        <v>13</v>
      </c>
      <c r="AB6" s="37">
        <f t="shared" si="4"/>
        <v>2</v>
      </c>
      <c r="AC6" s="37">
        <f>COUNTIF(AB$3:AB6,AB6)</f>
        <v>4</v>
      </c>
      <c r="AD6" s="15" t="str">
        <f t="shared" ca="1" si="0"/>
        <v>81110+4</v>
      </c>
      <c r="AE6" s="37">
        <f t="shared" ca="1" si="5"/>
        <v>104</v>
      </c>
      <c r="AF6" s="15">
        <f t="shared" ca="1" si="6"/>
        <v>1</v>
      </c>
      <c r="AG6" s="15">
        <f t="shared" ca="1" si="7"/>
        <v>81110</v>
      </c>
      <c r="AH6" s="15" t="str">
        <f t="shared" ca="1" si="8"/>
        <v>{4}</v>
      </c>
      <c r="AI6" s="15">
        <f t="shared" ca="1" si="1"/>
        <v>1000</v>
      </c>
      <c r="AJ6" s="26" t="str">
        <f t="shared" ca="1" si="9"/>
        <v>普通卡材料-81110+4|10%</v>
      </c>
    </row>
    <row r="7" spans="1:36" x14ac:dyDescent="0.25">
      <c r="A7" s="14">
        <v>5</v>
      </c>
      <c r="B7" s="14" t="s">
        <v>72</v>
      </c>
      <c r="C7" s="14"/>
      <c r="D7" s="14" t="s">
        <v>85</v>
      </c>
      <c r="E7" s="14" t="s">
        <v>86</v>
      </c>
      <c r="F7" s="14" t="s">
        <v>87</v>
      </c>
      <c r="G7" s="14"/>
      <c r="H7" s="14"/>
      <c r="I7" s="14"/>
      <c r="J7" s="14"/>
      <c r="K7" s="14"/>
      <c r="L7" s="14"/>
      <c r="M7" s="14"/>
      <c r="N7" s="13"/>
      <c r="O7" s="32">
        <f t="shared" si="2"/>
        <v>0.99999999999999989</v>
      </c>
      <c r="P7" s="36">
        <v>0.7</v>
      </c>
      <c r="Q7" s="36">
        <v>0.2</v>
      </c>
      <c r="R7" s="36">
        <v>0.1</v>
      </c>
      <c r="S7" s="36"/>
      <c r="T7" s="36"/>
      <c r="U7" s="36"/>
      <c r="V7" s="36"/>
      <c r="W7" s="36"/>
      <c r="X7" s="36"/>
      <c r="Y7" s="36"/>
      <c r="Z7" s="15">
        <f t="shared" si="3"/>
        <v>3</v>
      </c>
      <c r="AA7" s="15">
        <f>SUM(Z$3:Z7)</f>
        <v>16</v>
      </c>
      <c r="AB7" s="37">
        <f t="shared" si="4"/>
        <v>3</v>
      </c>
      <c r="AC7" s="37">
        <f>COUNTIF(AB$3:AB7,AB7)</f>
        <v>1</v>
      </c>
      <c r="AD7" s="15" t="str">
        <f t="shared" ca="1" si="0"/>
        <v>91120+1</v>
      </c>
      <c r="AE7" s="37">
        <f t="shared" ca="1" si="5"/>
        <v>201</v>
      </c>
      <c r="AF7" s="15">
        <f t="shared" ca="1" si="6"/>
        <v>2</v>
      </c>
      <c r="AG7" s="15">
        <f t="shared" ca="1" si="7"/>
        <v>91120</v>
      </c>
      <c r="AH7" s="15" t="str">
        <f t="shared" ca="1" si="8"/>
        <v>{1}</v>
      </c>
      <c r="AI7" s="15">
        <f t="shared" ca="1" si="1"/>
        <v>7000</v>
      </c>
      <c r="AJ7" s="26" t="str">
        <f t="shared" ca="1" si="9"/>
        <v>普通卡材料-91120+1|70%</v>
      </c>
    </row>
    <row r="8" spans="1:36" x14ac:dyDescent="0.25">
      <c r="A8" s="14">
        <v>6</v>
      </c>
      <c r="B8" s="14" t="s">
        <v>72</v>
      </c>
      <c r="C8" s="14"/>
      <c r="D8" s="14" t="s">
        <v>88</v>
      </c>
      <c r="E8" s="14" t="s">
        <v>93</v>
      </c>
      <c r="F8" s="14" t="s">
        <v>94</v>
      </c>
      <c r="G8" s="14"/>
      <c r="H8" s="14"/>
      <c r="I8" s="14"/>
      <c r="J8" s="14"/>
      <c r="K8" s="14"/>
      <c r="L8" s="14"/>
      <c r="M8" s="14"/>
      <c r="N8" s="13"/>
      <c r="O8" s="32">
        <f t="shared" si="2"/>
        <v>0.99999999999999989</v>
      </c>
      <c r="P8" s="36">
        <v>0.7</v>
      </c>
      <c r="Q8" s="36">
        <v>0.2</v>
      </c>
      <c r="R8" s="36">
        <v>0.1</v>
      </c>
      <c r="S8" s="36"/>
      <c r="T8" s="36"/>
      <c r="U8" s="36"/>
      <c r="V8" s="36"/>
      <c r="W8" s="36"/>
      <c r="X8" s="36"/>
      <c r="Y8" s="36"/>
      <c r="Z8" s="15">
        <f t="shared" si="3"/>
        <v>3</v>
      </c>
      <c r="AA8" s="15">
        <f>SUM(Z$3:Z8)</f>
        <v>19</v>
      </c>
      <c r="AB8" s="37">
        <f t="shared" si="4"/>
        <v>3</v>
      </c>
      <c r="AC8" s="37">
        <f>COUNTIF(AB$3:AB8,AB8)</f>
        <v>2</v>
      </c>
      <c r="AD8" s="15" t="str">
        <f t="shared" ca="1" si="0"/>
        <v>91120+2</v>
      </c>
      <c r="AE8" s="37">
        <f t="shared" ca="1" si="5"/>
        <v>202</v>
      </c>
      <c r="AF8" s="15">
        <f t="shared" ca="1" si="6"/>
        <v>2</v>
      </c>
      <c r="AG8" s="15">
        <f t="shared" ca="1" si="7"/>
        <v>91120</v>
      </c>
      <c r="AH8" s="15" t="str">
        <f t="shared" ca="1" si="8"/>
        <v>{2}</v>
      </c>
      <c r="AI8" s="15">
        <f t="shared" ca="1" si="1"/>
        <v>2000</v>
      </c>
      <c r="AJ8" s="26" t="str">
        <f t="shared" ca="1" si="9"/>
        <v>普通卡材料-91120+2|20%</v>
      </c>
    </row>
    <row r="9" spans="1:36" x14ac:dyDescent="0.25">
      <c r="A9" s="14">
        <v>7</v>
      </c>
      <c r="B9" s="14" t="s">
        <v>72</v>
      </c>
      <c r="C9" s="14"/>
      <c r="D9" s="14" t="s">
        <v>89</v>
      </c>
      <c r="E9" s="14" t="s">
        <v>95</v>
      </c>
      <c r="F9" s="14" t="s">
        <v>96</v>
      </c>
      <c r="G9" s="14"/>
      <c r="H9" s="14"/>
      <c r="I9" s="14"/>
      <c r="J9" s="14"/>
      <c r="K9" s="14"/>
      <c r="L9" s="14"/>
      <c r="M9" s="14"/>
      <c r="N9" s="13"/>
      <c r="O9" s="32">
        <f t="shared" si="2"/>
        <v>0.99999999999999989</v>
      </c>
      <c r="P9" s="36">
        <v>0.7</v>
      </c>
      <c r="Q9" s="36">
        <v>0.2</v>
      </c>
      <c r="R9" s="36">
        <v>0.1</v>
      </c>
      <c r="S9" s="36"/>
      <c r="T9" s="36"/>
      <c r="U9" s="36"/>
      <c r="V9" s="36"/>
      <c r="W9" s="36"/>
      <c r="X9" s="36"/>
      <c r="Y9" s="36"/>
      <c r="Z9" s="15">
        <f t="shared" si="3"/>
        <v>3</v>
      </c>
      <c r="AA9" s="15">
        <f>SUM(Z$3:Z9)</f>
        <v>22</v>
      </c>
      <c r="AB9" s="37">
        <f t="shared" si="4"/>
        <v>3</v>
      </c>
      <c r="AC9" s="37">
        <f>COUNTIF(AB$3:AB9,AB9)</f>
        <v>3</v>
      </c>
      <c r="AD9" s="15" t="str">
        <f t="shared" ca="1" si="0"/>
        <v>91120+3</v>
      </c>
      <c r="AE9" s="37">
        <f t="shared" ca="1" si="5"/>
        <v>203</v>
      </c>
      <c r="AF9" s="15">
        <f t="shared" ca="1" si="6"/>
        <v>2</v>
      </c>
      <c r="AG9" s="15">
        <f t="shared" ca="1" si="7"/>
        <v>91120</v>
      </c>
      <c r="AH9" s="15" t="str">
        <f t="shared" ca="1" si="8"/>
        <v>{3}</v>
      </c>
      <c r="AI9" s="15">
        <f t="shared" ca="1" si="1"/>
        <v>1000</v>
      </c>
      <c r="AJ9" s="26" t="str">
        <f t="shared" ca="1" si="9"/>
        <v>普通卡材料-91120+3|10%</v>
      </c>
    </row>
    <row r="10" spans="1:36" x14ac:dyDescent="0.25">
      <c r="A10" s="14">
        <v>8</v>
      </c>
      <c r="B10" s="14" t="s">
        <v>72</v>
      </c>
      <c r="C10" s="14"/>
      <c r="D10" s="14" t="s">
        <v>90</v>
      </c>
      <c r="E10" s="14" t="s">
        <v>97</v>
      </c>
      <c r="F10" s="14" t="s">
        <v>98</v>
      </c>
      <c r="G10" s="14"/>
      <c r="H10" s="14"/>
      <c r="I10" s="14"/>
      <c r="J10" s="14"/>
      <c r="K10" s="14"/>
      <c r="L10" s="14"/>
      <c r="M10" s="14"/>
      <c r="N10" s="13"/>
      <c r="O10" s="32">
        <f t="shared" si="2"/>
        <v>0.99999999999999989</v>
      </c>
      <c r="P10" s="36">
        <v>0.7</v>
      </c>
      <c r="Q10" s="36">
        <v>0.2</v>
      </c>
      <c r="R10" s="36">
        <v>0.1</v>
      </c>
      <c r="S10" s="36"/>
      <c r="T10" s="36"/>
      <c r="U10" s="36"/>
      <c r="V10" s="36"/>
      <c r="W10" s="36"/>
      <c r="X10" s="36"/>
      <c r="Y10" s="36"/>
      <c r="Z10" s="15">
        <f t="shared" si="3"/>
        <v>3</v>
      </c>
      <c r="AA10" s="15">
        <f>SUM(Z$3:Z10)</f>
        <v>25</v>
      </c>
      <c r="AB10" s="37">
        <f t="shared" si="4"/>
        <v>4</v>
      </c>
      <c r="AC10" s="37">
        <f>COUNTIF(AB$3:AB10,AB10)</f>
        <v>1</v>
      </c>
      <c r="AD10" s="15" t="str">
        <f t="shared" ca="1" si="0"/>
        <v>91130+1</v>
      </c>
      <c r="AE10" s="37">
        <f t="shared" ca="1" si="5"/>
        <v>301</v>
      </c>
      <c r="AF10" s="15">
        <f t="shared" ca="1" si="6"/>
        <v>3</v>
      </c>
      <c r="AG10" s="15">
        <f t="shared" ca="1" si="7"/>
        <v>91130</v>
      </c>
      <c r="AH10" s="15" t="str">
        <f t="shared" ca="1" si="8"/>
        <v>{1}</v>
      </c>
      <c r="AI10" s="15">
        <f t="shared" ca="1" si="1"/>
        <v>7000</v>
      </c>
      <c r="AJ10" s="26" t="str">
        <f t="shared" ca="1" si="9"/>
        <v>普通卡材料-91130+1|70%</v>
      </c>
    </row>
    <row r="11" spans="1:36" x14ac:dyDescent="0.25">
      <c r="A11" s="14">
        <v>9</v>
      </c>
      <c r="B11" s="14" t="s">
        <v>72</v>
      </c>
      <c r="C11" s="14"/>
      <c r="D11" s="14" t="s">
        <v>91</v>
      </c>
      <c r="E11" s="14" t="s">
        <v>99</v>
      </c>
      <c r="F11" s="14" t="s">
        <v>100</v>
      </c>
      <c r="G11" s="14"/>
      <c r="H11" s="14"/>
      <c r="I11" s="14"/>
      <c r="J11" s="14"/>
      <c r="K11" s="14"/>
      <c r="L11" s="14"/>
      <c r="M11" s="14"/>
      <c r="N11" s="13"/>
      <c r="O11" s="32">
        <f t="shared" si="2"/>
        <v>0.99999999999999989</v>
      </c>
      <c r="P11" s="36">
        <v>0.7</v>
      </c>
      <c r="Q11" s="36">
        <v>0.2</v>
      </c>
      <c r="R11" s="36">
        <v>0.1</v>
      </c>
      <c r="S11" s="36"/>
      <c r="T11" s="36"/>
      <c r="U11" s="36"/>
      <c r="V11" s="36"/>
      <c r="W11" s="36"/>
      <c r="X11" s="36"/>
      <c r="Y11" s="36"/>
      <c r="Z11" s="15">
        <f t="shared" si="3"/>
        <v>3</v>
      </c>
      <c r="AA11" s="15">
        <f>SUM(Z$3:Z11)</f>
        <v>28</v>
      </c>
      <c r="AB11" s="37">
        <f t="shared" si="4"/>
        <v>4</v>
      </c>
      <c r="AC11" s="37">
        <f>COUNTIF(AB$3:AB11,AB11)</f>
        <v>2</v>
      </c>
      <c r="AD11" s="15" t="str">
        <f t="shared" ca="1" si="0"/>
        <v>91130+2</v>
      </c>
      <c r="AE11" s="37">
        <f t="shared" ca="1" si="5"/>
        <v>302</v>
      </c>
      <c r="AF11" s="15">
        <f t="shared" ca="1" si="6"/>
        <v>3</v>
      </c>
      <c r="AG11" s="15">
        <f t="shared" ca="1" si="7"/>
        <v>91130</v>
      </c>
      <c r="AH11" s="15" t="str">
        <f t="shared" ca="1" si="8"/>
        <v>{2}</v>
      </c>
      <c r="AI11" s="15">
        <f t="shared" ca="1" si="1"/>
        <v>2000</v>
      </c>
      <c r="AJ11" s="26" t="str">
        <f t="shared" ca="1" si="9"/>
        <v>普通卡材料-91130+2|20%</v>
      </c>
    </row>
    <row r="12" spans="1:36" x14ac:dyDescent="0.25">
      <c r="A12" s="14">
        <v>10</v>
      </c>
      <c r="B12" s="14" t="s">
        <v>72</v>
      </c>
      <c r="C12" s="14"/>
      <c r="D12" s="14" t="s">
        <v>92</v>
      </c>
      <c r="E12" s="14" t="s">
        <v>101</v>
      </c>
      <c r="F12" s="14" t="s">
        <v>102</v>
      </c>
      <c r="G12" s="14"/>
      <c r="H12" s="14"/>
      <c r="I12" s="14"/>
      <c r="J12" s="14"/>
      <c r="K12" s="14"/>
      <c r="L12" s="14"/>
      <c r="M12" s="14"/>
      <c r="N12" s="13"/>
      <c r="O12" s="32">
        <f t="shared" si="2"/>
        <v>0.99999999999999989</v>
      </c>
      <c r="P12" s="36">
        <v>0.7</v>
      </c>
      <c r="Q12" s="36">
        <v>0.2</v>
      </c>
      <c r="R12" s="36">
        <v>0.1</v>
      </c>
      <c r="S12" s="36"/>
      <c r="T12" s="36"/>
      <c r="U12" s="36"/>
      <c r="V12" s="36"/>
      <c r="W12" s="36"/>
      <c r="X12" s="36"/>
      <c r="Y12" s="36"/>
      <c r="Z12" s="15">
        <f t="shared" si="3"/>
        <v>3</v>
      </c>
      <c r="AA12" s="15">
        <f>SUM(Z$3:Z12)</f>
        <v>31</v>
      </c>
      <c r="AB12" s="37">
        <f t="shared" si="4"/>
        <v>4</v>
      </c>
      <c r="AC12" s="37">
        <f>COUNTIF(AB$3:AB12,AB12)</f>
        <v>3</v>
      </c>
      <c r="AD12" s="15" t="str">
        <f t="shared" ca="1" si="0"/>
        <v>91130+3</v>
      </c>
      <c r="AE12" s="37">
        <f t="shared" ca="1" si="5"/>
        <v>303</v>
      </c>
      <c r="AF12" s="15">
        <f t="shared" ca="1" si="6"/>
        <v>3</v>
      </c>
      <c r="AG12" s="15">
        <f t="shared" ca="1" si="7"/>
        <v>91130</v>
      </c>
      <c r="AH12" s="15" t="str">
        <f t="shared" ca="1" si="8"/>
        <v>{3}</v>
      </c>
      <c r="AI12" s="15">
        <f t="shared" ca="1" si="1"/>
        <v>1000</v>
      </c>
      <c r="AJ12" s="26" t="str">
        <f t="shared" ca="1" si="9"/>
        <v>普通卡材料-91130+3|10%</v>
      </c>
    </row>
    <row r="13" spans="1:36" x14ac:dyDescent="0.25">
      <c r="A13" s="14">
        <v>11</v>
      </c>
      <c r="B13" s="14" t="s">
        <v>72</v>
      </c>
      <c r="C13" s="14"/>
      <c r="D13" s="14" t="s">
        <v>103</v>
      </c>
      <c r="E13" s="14" t="s">
        <v>115</v>
      </c>
      <c r="F13" s="14" t="s">
        <v>116</v>
      </c>
      <c r="G13" s="14"/>
      <c r="H13" s="14"/>
      <c r="I13" s="14"/>
      <c r="J13" s="14"/>
      <c r="K13" s="14"/>
      <c r="L13" s="14"/>
      <c r="M13" s="14"/>
      <c r="N13" s="13"/>
      <c r="O13" s="32">
        <f t="shared" si="2"/>
        <v>0.99999999999999989</v>
      </c>
      <c r="P13" s="36">
        <v>0.7</v>
      </c>
      <c r="Q13" s="36">
        <v>0.2</v>
      </c>
      <c r="R13" s="36">
        <v>0.1</v>
      </c>
      <c r="S13" s="36"/>
      <c r="T13" s="36"/>
      <c r="U13" s="36"/>
      <c r="V13" s="36"/>
      <c r="W13" s="36"/>
      <c r="X13" s="36"/>
      <c r="Y13" s="36"/>
      <c r="Z13" s="15">
        <f t="shared" si="3"/>
        <v>3</v>
      </c>
      <c r="AA13" s="15">
        <f>SUM(Z$3:Z13)</f>
        <v>34</v>
      </c>
      <c r="AB13" s="37">
        <f t="shared" si="4"/>
        <v>5</v>
      </c>
      <c r="AC13" s="37">
        <f>COUNTIF(AB$3:AB13,AB13)</f>
        <v>1</v>
      </c>
      <c r="AD13" s="15" t="str">
        <f t="shared" ca="1" si="0"/>
        <v>91140+1</v>
      </c>
      <c r="AE13" s="37">
        <f t="shared" ca="1" si="5"/>
        <v>401</v>
      </c>
      <c r="AF13" s="15">
        <f t="shared" ca="1" si="6"/>
        <v>4</v>
      </c>
      <c r="AG13" s="15">
        <f t="shared" ca="1" si="7"/>
        <v>91140</v>
      </c>
      <c r="AH13" s="15" t="str">
        <f t="shared" ca="1" si="8"/>
        <v>{1}</v>
      </c>
      <c r="AI13" s="15">
        <f t="shared" ca="1" si="1"/>
        <v>7000</v>
      </c>
      <c r="AJ13" s="26" t="str">
        <f t="shared" ca="1" si="9"/>
        <v>普通卡材料-91140+1|70%</v>
      </c>
    </row>
    <row r="14" spans="1:36" x14ac:dyDescent="0.25">
      <c r="A14" s="14">
        <v>12</v>
      </c>
      <c r="B14" s="14" t="s">
        <v>72</v>
      </c>
      <c r="C14" s="14"/>
      <c r="D14" s="14" t="s">
        <v>104</v>
      </c>
      <c r="E14" s="14" t="s">
        <v>117</v>
      </c>
      <c r="F14" s="14" t="s">
        <v>118</v>
      </c>
      <c r="G14" s="14"/>
      <c r="H14" s="14"/>
      <c r="I14" s="14"/>
      <c r="J14" s="14"/>
      <c r="K14" s="14"/>
      <c r="L14" s="14"/>
      <c r="M14" s="14"/>
      <c r="N14" s="13"/>
      <c r="O14" s="32">
        <f t="shared" si="2"/>
        <v>0.99999999999999989</v>
      </c>
      <c r="P14" s="36">
        <v>0.7</v>
      </c>
      <c r="Q14" s="36">
        <v>0.2</v>
      </c>
      <c r="R14" s="36">
        <v>0.1</v>
      </c>
      <c r="S14" s="36"/>
      <c r="T14" s="36"/>
      <c r="U14" s="36"/>
      <c r="V14" s="36"/>
      <c r="W14" s="36"/>
      <c r="X14" s="36"/>
      <c r="Y14" s="36"/>
      <c r="Z14" s="15">
        <f t="shared" si="3"/>
        <v>3</v>
      </c>
      <c r="AA14" s="15">
        <f>SUM(Z$3:Z14)</f>
        <v>37</v>
      </c>
      <c r="AB14" s="37">
        <f t="shared" si="4"/>
        <v>5</v>
      </c>
      <c r="AC14" s="37">
        <f>COUNTIF(AB$3:AB14,AB14)</f>
        <v>2</v>
      </c>
      <c r="AD14" s="15" t="str">
        <f t="shared" ca="1" si="0"/>
        <v>91140+2</v>
      </c>
      <c r="AE14" s="37">
        <f t="shared" ca="1" si="5"/>
        <v>402</v>
      </c>
      <c r="AF14" s="15">
        <f t="shared" ca="1" si="6"/>
        <v>4</v>
      </c>
      <c r="AG14" s="15">
        <f t="shared" ca="1" si="7"/>
        <v>91140</v>
      </c>
      <c r="AH14" s="15" t="str">
        <f t="shared" ca="1" si="8"/>
        <v>{2}</v>
      </c>
      <c r="AI14" s="15">
        <f t="shared" ca="1" si="1"/>
        <v>2000</v>
      </c>
      <c r="AJ14" s="26" t="str">
        <f t="shared" ca="1" si="9"/>
        <v>普通卡材料-91140+2|20%</v>
      </c>
    </row>
    <row r="15" spans="1:36" x14ac:dyDescent="0.25">
      <c r="A15" s="14">
        <v>13</v>
      </c>
      <c r="B15" s="14" t="s">
        <v>72</v>
      </c>
      <c r="C15" s="14"/>
      <c r="D15" s="14" t="s">
        <v>105</v>
      </c>
      <c r="E15" s="14" t="s">
        <v>119</v>
      </c>
      <c r="F15" s="14" t="s">
        <v>120</v>
      </c>
      <c r="G15" s="14"/>
      <c r="H15" s="14"/>
      <c r="I15" s="14"/>
      <c r="J15" s="14"/>
      <c r="K15" s="14"/>
      <c r="L15" s="14"/>
      <c r="M15" s="14"/>
      <c r="N15" s="13"/>
      <c r="O15" s="32">
        <f t="shared" si="2"/>
        <v>0.99999999999999989</v>
      </c>
      <c r="P15" s="36">
        <v>0.7</v>
      </c>
      <c r="Q15" s="36">
        <v>0.2</v>
      </c>
      <c r="R15" s="36">
        <v>0.1</v>
      </c>
      <c r="S15" s="36"/>
      <c r="T15" s="36"/>
      <c r="U15" s="36"/>
      <c r="V15" s="36"/>
      <c r="W15" s="36"/>
      <c r="X15" s="36"/>
      <c r="Y15" s="36"/>
      <c r="Z15" s="15">
        <f t="shared" si="3"/>
        <v>3</v>
      </c>
      <c r="AA15" s="15">
        <f>SUM(Z$3:Z15)</f>
        <v>40</v>
      </c>
      <c r="AB15" s="37">
        <f t="shared" si="4"/>
        <v>5</v>
      </c>
      <c r="AC15" s="37">
        <f>COUNTIF(AB$3:AB15,AB15)</f>
        <v>3</v>
      </c>
      <c r="AD15" s="15" t="str">
        <f t="shared" ca="1" si="0"/>
        <v>91140+3</v>
      </c>
      <c r="AE15" s="37">
        <f t="shared" ca="1" si="5"/>
        <v>403</v>
      </c>
      <c r="AF15" s="15">
        <f t="shared" ca="1" si="6"/>
        <v>4</v>
      </c>
      <c r="AG15" s="15">
        <f t="shared" ca="1" si="7"/>
        <v>91140</v>
      </c>
      <c r="AH15" s="15" t="str">
        <f t="shared" ca="1" si="8"/>
        <v>{3}</v>
      </c>
      <c r="AI15" s="15">
        <f t="shared" ca="1" si="1"/>
        <v>1000</v>
      </c>
      <c r="AJ15" s="26" t="str">
        <f t="shared" ca="1" si="9"/>
        <v>普通卡材料-91140+3|10%</v>
      </c>
    </row>
    <row r="16" spans="1:36" x14ac:dyDescent="0.25">
      <c r="A16" s="14">
        <v>14</v>
      </c>
      <c r="B16" s="14" t="s">
        <v>72</v>
      </c>
      <c r="C16" s="14"/>
      <c r="D16" s="14" t="s">
        <v>106</v>
      </c>
      <c r="E16" s="14" t="s">
        <v>121</v>
      </c>
      <c r="F16" s="14" t="s">
        <v>122</v>
      </c>
      <c r="G16" s="14"/>
      <c r="H16" s="14"/>
      <c r="I16" s="14"/>
      <c r="J16" s="14"/>
      <c r="K16" s="14"/>
      <c r="L16" s="14"/>
      <c r="M16" s="14"/>
      <c r="N16" s="13"/>
      <c r="O16" s="32">
        <f t="shared" si="2"/>
        <v>0.99999999999999989</v>
      </c>
      <c r="P16" s="36">
        <v>0.7</v>
      </c>
      <c r="Q16" s="36">
        <v>0.2</v>
      </c>
      <c r="R16" s="36">
        <v>0.1</v>
      </c>
      <c r="S16" s="36"/>
      <c r="T16" s="36"/>
      <c r="U16" s="36"/>
      <c r="V16" s="36"/>
      <c r="W16" s="36"/>
      <c r="X16" s="36"/>
      <c r="Y16" s="36"/>
      <c r="Z16" s="15">
        <f t="shared" si="3"/>
        <v>3</v>
      </c>
      <c r="AA16" s="15">
        <f>SUM(Z$3:Z16)</f>
        <v>43</v>
      </c>
      <c r="AB16" s="37">
        <f t="shared" si="4"/>
        <v>6</v>
      </c>
      <c r="AC16" s="37">
        <f>COUNTIF(AB$3:AB16,AB16)</f>
        <v>1</v>
      </c>
      <c r="AD16" s="15" t="str">
        <f t="shared" ca="1" si="0"/>
        <v>91220+1</v>
      </c>
      <c r="AE16" s="37">
        <f t="shared" ca="1" si="5"/>
        <v>501</v>
      </c>
      <c r="AF16" s="15">
        <f t="shared" ca="1" si="6"/>
        <v>5</v>
      </c>
      <c r="AG16" s="15">
        <f t="shared" ca="1" si="7"/>
        <v>91220</v>
      </c>
      <c r="AH16" s="15" t="str">
        <f t="shared" ca="1" si="8"/>
        <v>{1}</v>
      </c>
      <c r="AI16" s="15">
        <f t="shared" ca="1" si="1"/>
        <v>7000</v>
      </c>
      <c r="AJ16" s="26" t="str">
        <f t="shared" ca="1" si="9"/>
        <v>普通卡材料-91220+1|70%</v>
      </c>
    </row>
    <row r="17" spans="1:36" x14ac:dyDescent="0.25">
      <c r="A17" s="14">
        <v>15</v>
      </c>
      <c r="B17" s="14" t="s">
        <v>72</v>
      </c>
      <c r="C17" s="14"/>
      <c r="D17" s="14" t="s">
        <v>107</v>
      </c>
      <c r="E17" s="14" t="s">
        <v>123</v>
      </c>
      <c r="F17" s="14" t="s">
        <v>124</v>
      </c>
      <c r="G17" s="14"/>
      <c r="H17" s="14"/>
      <c r="I17" s="14"/>
      <c r="J17" s="14"/>
      <c r="K17" s="14"/>
      <c r="L17" s="14"/>
      <c r="M17" s="14"/>
      <c r="N17" s="13"/>
      <c r="O17" s="32">
        <f t="shared" si="2"/>
        <v>0.99999999999999989</v>
      </c>
      <c r="P17" s="36">
        <v>0.7</v>
      </c>
      <c r="Q17" s="36">
        <v>0.2</v>
      </c>
      <c r="R17" s="36">
        <v>0.1</v>
      </c>
      <c r="S17" s="36"/>
      <c r="T17" s="36"/>
      <c r="U17" s="36"/>
      <c r="V17" s="36"/>
      <c r="W17" s="36"/>
      <c r="X17" s="36"/>
      <c r="Y17" s="36"/>
      <c r="Z17" s="15">
        <f t="shared" si="3"/>
        <v>3</v>
      </c>
      <c r="AA17" s="15">
        <f>SUM(Z$3:Z17)</f>
        <v>46</v>
      </c>
      <c r="AB17" s="37">
        <f t="shared" si="4"/>
        <v>6</v>
      </c>
      <c r="AC17" s="37">
        <f>COUNTIF(AB$3:AB17,AB17)</f>
        <v>2</v>
      </c>
      <c r="AD17" s="15" t="str">
        <f t="shared" ca="1" si="0"/>
        <v>91220+2</v>
      </c>
      <c r="AE17" s="37">
        <f t="shared" ca="1" si="5"/>
        <v>502</v>
      </c>
      <c r="AF17" s="15">
        <f t="shared" ca="1" si="6"/>
        <v>5</v>
      </c>
      <c r="AG17" s="15">
        <f t="shared" ca="1" si="7"/>
        <v>91220</v>
      </c>
      <c r="AH17" s="15" t="str">
        <f t="shared" ca="1" si="8"/>
        <v>{2}</v>
      </c>
      <c r="AI17" s="15">
        <f t="shared" ca="1" si="1"/>
        <v>2000</v>
      </c>
      <c r="AJ17" s="26" t="str">
        <f t="shared" ca="1" si="9"/>
        <v>普通卡材料-91220+2|20%</v>
      </c>
    </row>
    <row r="18" spans="1:36" x14ac:dyDescent="0.25">
      <c r="A18" s="14">
        <v>16</v>
      </c>
      <c r="B18" s="14" t="s">
        <v>72</v>
      </c>
      <c r="C18" s="14"/>
      <c r="D18" s="14" t="s">
        <v>108</v>
      </c>
      <c r="E18" s="14" t="s">
        <v>125</v>
      </c>
      <c r="F18" s="14" t="s">
        <v>126</v>
      </c>
      <c r="G18" s="14"/>
      <c r="H18" s="14"/>
      <c r="I18" s="14"/>
      <c r="J18" s="14"/>
      <c r="K18" s="14"/>
      <c r="L18" s="14"/>
      <c r="M18" s="14"/>
      <c r="N18" s="13"/>
      <c r="O18" s="32">
        <f t="shared" si="2"/>
        <v>0.99999999999999989</v>
      </c>
      <c r="P18" s="36">
        <v>0.7</v>
      </c>
      <c r="Q18" s="36">
        <v>0.2</v>
      </c>
      <c r="R18" s="36">
        <v>0.1</v>
      </c>
      <c r="S18" s="36"/>
      <c r="T18" s="36"/>
      <c r="U18" s="36"/>
      <c r="V18" s="36"/>
      <c r="W18" s="36"/>
      <c r="X18" s="36"/>
      <c r="Y18" s="36"/>
      <c r="Z18" s="15">
        <f t="shared" si="3"/>
        <v>3</v>
      </c>
      <c r="AA18" s="15">
        <f>SUM(Z$3:Z18)</f>
        <v>49</v>
      </c>
      <c r="AB18" s="37">
        <f t="shared" si="4"/>
        <v>6</v>
      </c>
      <c r="AC18" s="37">
        <f>COUNTIF(AB$3:AB18,AB18)</f>
        <v>3</v>
      </c>
      <c r="AD18" s="15" t="str">
        <f t="shared" ca="1" si="0"/>
        <v>91220+3</v>
      </c>
      <c r="AE18" s="37">
        <f t="shared" ca="1" si="5"/>
        <v>503</v>
      </c>
      <c r="AF18" s="15">
        <f t="shared" ca="1" si="6"/>
        <v>5</v>
      </c>
      <c r="AG18" s="15">
        <f t="shared" ca="1" si="7"/>
        <v>91220</v>
      </c>
      <c r="AH18" s="15" t="str">
        <f t="shared" ca="1" si="8"/>
        <v>{3}</v>
      </c>
      <c r="AI18" s="15">
        <f t="shared" ca="1" si="1"/>
        <v>1000</v>
      </c>
      <c r="AJ18" s="26" t="str">
        <f t="shared" ca="1" si="9"/>
        <v>普通卡材料-91220+3|10%</v>
      </c>
    </row>
    <row r="19" spans="1:36" x14ac:dyDescent="0.25">
      <c r="A19" s="14">
        <v>17</v>
      </c>
      <c r="B19" s="14" t="s">
        <v>72</v>
      </c>
      <c r="C19" s="14"/>
      <c r="D19" s="14" t="s">
        <v>109</v>
      </c>
      <c r="E19" s="14" t="s">
        <v>127</v>
      </c>
      <c r="F19" s="14" t="s">
        <v>128</v>
      </c>
      <c r="G19" s="14"/>
      <c r="H19" s="14"/>
      <c r="I19" s="14"/>
      <c r="J19" s="14"/>
      <c r="K19" s="14"/>
      <c r="L19" s="14"/>
      <c r="M19" s="14"/>
      <c r="N19" s="13"/>
      <c r="O19" s="32">
        <f t="shared" si="2"/>
        <v>0.99999999999999989</v>
      </c>
      <c r="P19" s="36">
        <v>0.7</v>
      </c>
      <c r="Q19" s="36">
        <v>0.2</v>
      </c>
      <c r="R19" s="36">
        <v>0.1</v>
      </c>
      <c r="S19" s="36"/>
      <c r="T19" s="36"/>
      <c r="U19" s="36"/>
      <c r="V19" s="36"/>
      <c r="W19" s="36"/>
      <c r="X19" s="36"/>
      <c r="Y19" s="36"/>
      <c r="Z19" s="15">
        <f t="shared" si="3"/>
        <v>3</v>
      </c>
      <c r="AA19" s="15">
        <f>SUM(Z$3:Z19)</f>
        <v>52</v>
      </c>
      <c r="AB19" s="37">
        <f t="shared" si="4"/>
        <v>7</v>
      </c>
      <c r="AC19" s="37">
        <f>COUNTIF(AB$3:AB19,AB19)</f>
        <v>1</v>
      </c>
      <c r="AD19" s="15" t="str">
        <f t="shared" ca="1" si="0"/>
        <v>91230+1</v>
      </c>
      <c r="AE19" s="37">
        <f t="shared" ca="1" si="5"/>
        <v>601</v>
      </c>
      <c r="AF19" s="15">
        <f t="shared" ca="1" si="6"/>
        <v>6</v>
      </c>
      <c r="AG19" s="15">
        <f t="shared" ca="1" si="7"/>
        <v>91230</v>
      </c>
      <c r="AH19" s="15" t="str">
        <f t="shared" ca="1" si="8"/>
        <v>{1}</v>
      </c>
      <c r="AI19" s="15">
        <f t="shared" ca="1" si="1"/>
        <v>7000</v>
      </c>
      <c r="AJ19" s="26" t="str">
        <f t="shared" ca="1" si="9"/>
        <v>普通卡材料-91230+1|70%</v>
      </c>
    </row>
    <row r="20" spans="1:36" x14ac:dyDescent="0.25">
      <c r="A20" s="14">
        <v>18</v>
      </c>
      <c r="B20" s="14" t="s">
        <v>72</v>
      </c>
      <c r="C20" s="14"/>
      <c r="D20" s="14" t="s">
        <v>110</v>
      </c>
      <c r="E20" s="14" t="s">
        <v>129</v>
      </c>
      <c r="F20" s="14" t="s">
        <v>130</v>
      </c>
      <c r="G20" s="14"/>
      <c r="H20" s="14"/>
      <c r="I20" s="14"/>
      <c r="J20" s="14"/>
      <c r="K20" s="14"/>
      <c r="L20" s="14"/>
      <c r="M20" s="14"/>
      <c r="N20" s="13"/>
      <c r="O20" s="32">
        <f t="shared" si="2"/>
        <v>0.99999999999999989</v>
      </c>
      <c r="P20" s="36">
        <v>0.7</v>
      </c>
      <c r="Q20" s="36">
        <v>0.2</v>
      </c>
      <c r="R20" s="36">
        <v>0.1</v>
      </c>
      <c r="S20" s="36"/>
      <c r="T20" s="36"/>
      <c r="U20" s="36"/>
      <c r="V20" s="36"/>
      <c r="W20" s="36"/>
      <c r="X20" s="36"/>
      <c r="Y20" s="36"/>
      <c r="Z20" s="15">
        <f t="shared" si="3"/>
        <v>3</v>
      </c>
      <c r="AA20" s="15">
        <f>SUM(Z$3:Z20)</f>
        <v>55</v>
      </c>
      <c r="AB20" s="37">
        <f t="shared" si="4"/>
        <v>7</v>
      </c>
      <c r="AC20" s="37">
        <f>COUNTIF(AB$3:AB20,AB20)</f>
        <v>2</v>
      </c>
      <c r="AD20" s="15" t="str">
        <f t="shared" ca="1" si="0"/>
        <v>91230+2</v>
      </c>
      <c r="AE20" s="37">
        <f t="shared" ca="1" si="5"/>
        <v>602</v>
      </c>
      <c r="AF20" s="15">
        <f t="shared" ca="1" si="6"/>
        <v>6</v>
      </c>
      <c r="AG20" s="15">
        <f t="shared" ca="1" si="7"/>
        <v>91230</v>
      </c>
      <c r="AH20" s="15" t="str">
        <f t="shared" ca="1" si="8"/>
        <v>{2}</v>
      </c>
      <c r="AI20" s="15">
        <f t="shared" ca="1" si="1"/>
        <v>2000</v>
      </c>
      <c r="AJ20" s="26" t="str">
        <f t="shared" ca="1" si="9"/>
        <v>普通卡材料-91230+2|20%</v>
      </c>
    </row>
    <row r="21" spans="1:36" x14ac:dyDescent="0.25">
      <c r="A21" s="14">
        <v>19</v>
      </c>
      <c r="B21" s="14" t="s">
        <v>72</v>
      </c>
      <c r="C21" s="14"/>
      <c r="D21" s="14" t="s">
        <v>111</v>
      </c>
      <c r="E21" s="14" t="s">
        <v>131</v>
      </c>
      <c r="F21" s="14" t="s">
        <v>132</v>
      </c>
      <c r="G21" s="14"/>
      <c r="H21" s="14"/>
      <c r="I21" s="14"/>
      <c r="J21" s="14"/>
      <c r="K21" s="14"/>
      <c r="L21" s="14"/>
      <c r="M21" s="14"/>
      <c r="N21" s="13"/>
      <c r="O21" s="32">
        <f t="shared" si="2"/>
        <v>0.99999999999999989</v>
      </c>
      <c r="P21" s="36">
        <v>0.7</v>
      </c>
      <c r="Q21" s="36">
        <v>0.2</v>
      </c>
      <c r="R21" s="36">
        <v>0.1</v>
      </c>
      <c r="S21" s="36"/>
      <c r="T21" s="36"/>
      <c r="U21" s="36"/>
      <c r="V21" s="36"/>
      <c r="W21" s="36"/>
      <c r="X21" s="36"/>
      <c r="Y21" s="36"/>
      <c r="Z21" s="15">
        <f t="shared" si="3"/>
        <v>3</v>
      </c>
      <c r="AA21" s="15">
        <f>SUM(Z$3:Z21)</f>
        <v>58</v>
      </c>
      <c r="AB21" s="37">
        <f t="shared" si="4"/>
        <v>7</v>
      </c>
      <c r="AC21" s="37">
        <f>COUNTIF(AB$3:AB21,AB21)</f>
        <v>3</v>
      </c>
      <c r="AD21" s="15" t="str">
        <f t="shared" ca="1" si="0"/>
        <v>91230+3</v>
      </c>
      <c r="AE21" s="37">
        <f t="shared" ca="1" si="5"/>
        <v>603</v>
      </c>
      <c r="AF21" s="15">
        <f t="shared" ca="1" si="6"/>
        <v>6</v>
      </c>
      <c r="AG21" s="15">
        <f t="shared" ca="1" si="7"/>
        <v>91230</v>
      </c>
      <c r="AH21" s="15" t="str">
        <f t="shared" ca="1" si="8"/>
        <v>{3}</v>
      </c>
      <c r="AI21" s="15">
        <f t="shared" ca="1" si="1"/>
        <v>1000</v>
      </c>
      <c r="AJ21" s="26" t="str">
        <f t="shared" ca="1" si="9"/>
        <v>普通卡材料-91230+3|10%</v>
      </c>
    </row>
    <row r="22" spans="1:36" x14ac:dyDescent="0.25">
      <c r="A22" s="14">
        <v>20</v>
      </c>
      <c r="B22" s="14" t="s">
        <v>72</v>
      </c>
      <c r="C22" s="14"/>
      <c r="D22" s="14" t="s">
        <v>112</v>
      </c>
      <c r="E22" s="14" t="s">
        <v>133</v>
      </c>
      <c r="F22" s="14" t="s">
        <v>134</v>
      </c>
      <c r="G22" s="14"/>
      <c r="H22" s="14"/>
      <c r="I22" s="14"/>
      <c r="J22" s="14"/>
      <c r="K22" s="14"/>
      <c r="L22" s="14"/>
      <c r="M22" s="14"/>
      <c r="N22" s="13"/>
      <c r="O22" s="32">
        <f t="shared" si="2"/>
        <v>0.99999999999999989</v>
      </c>
      <c r="P22" s="36">
        <v>0.7</v>
      </c>
      <c r="Q22" s="36">
        <v>0.2</v>
      </c>
      <c r="R22" s="36">
        <v>0.1</v>
      </c>
      <c r="S22" s="36"/>
      <c r="T22" s="36"/>
      <c r="U22" s="36"/>
      <c r="V22" s="36"/>
      <c r="W22" s="36"/>
      <c r="X22" s="36"/>
      <c r="Y22" s="36"/>
      <c r="Z22" s="15">
        <f t="shared" si="3"/>
        <v>3</v>
      </c>
      <c r="AA22" s="15">
        <f>SUM(Z$3:Z22)</f>
        <v>61</v>
      </c>
      <c r="AB22" s="37">
        <f t="shared" si="4"/>
        <v>8</v>
      </c>
      <c r="AC22" s="37">
        <f>COUNTIF(AB$3:AB22,AB22)</f>
        <v>1</v>
      </c>
      <c r="AD22" s="15" t="str">
        <f t="shared" ca="1" si="0"/>
        <v>91240+1</v>
      </c>
      <c r="AE22" s="37">
        <f t="shared" ca="1" si="5"/>
        <v>701</v>
      </c>
      <c r="AF22" s="15">
        <f t="shared" ca="1" si="6"/>
        <v>7</v>
      </c>
      <c r="AG22" s="15">
        <f t="shared" ca="1" si="7"/>
        <v>91240</v>
      </c>
      <c r="AH22" s="15" t="str">
        <f t="shared" ca="1" si="8"/>
        <v>{1}</v>
      </c>
      <c r="AI22" s="15">
        <f t="shared" ca="1" si="1"/>
        <v>7000</v>
      </c>
      <c r="AJ22" s="26" t="str">
        <f t="shared" ca="1" si="9"/>
        <v>普通卡材料-91240+1|70%</v>
      </c>
    </row>
    <row r="23" spans="1:36" x14ac:dyDescent="0.25">
      <c r="A23" s="14">
        <v>21</v>
      </c>
      <c r="B23" s="14" t="s">
        <v>72</v>
      </c>
      <c r="C23" s="14"/>
      <c r="D23" s="14" t="s">
        <v>113</v>
      </c>
      <c r="E23" s="14" t="s">
        <v>135</v>
      </c>
      <c r="F23" s="14" t="s">
        <v>136</v>
      </c>
      <c r="G23" s="14"/>
      <c r="H23" s="14"/>
      <c r="I23" s="14"/>
      <c r="J23" s="14"/>
      <c r="K23" s="14"/>
      <c r="L23" s="14"/>
      <c r="M23" s="14"/>
      <c r="N23" s="13"/>
      <c r="O23" s="32">
        <f t="shared" si="2"/>
        <v>0.99999999999999989</v>
      </c>
      <c r="P23" s="36">
        <v>0.7</v>
      </c>
      <c r="Q23" s="36">
        <v>0.2</v>
      </c>
      <c r="R23" s="36">
        <v>0.1</v>
      </c>
      <c r="S23" s="36"/>
      <c r="T23" s="36"/>
      <c r="U23" s="36"/>
      <c r="V23" s="36"/>
      <c r="W23" s="36"/>
      <c r="X23" s="36"/>
      <c r="Y23" s="36"/>
      <c r="Z23" s="15">
        <f t="shared" si="3"/>
        <v>3</v>
      </c>
      <c r="AA23" s="15">
        <f>SUM(Z$3:Z23)</f>
        <v>64</v>
      </c>
      <c r="AB23" s="37">
        <f t="shared" si="4"/>
        <v>8</v>
      </c>
      <c r="AC23" s="37">
        <f>COUNTIF(AB$3:AB23,AB23)</f>
        <v>2</v>
      </c>
      <c r="AD23" s="15" t="str">
        <f t="shared" ca="1" si="0"/>
        <v>91240+2</v>
      </c>
      <c r="AE23" s="37">
        <f t="shared" ca="1" si="5"/>
        <v>702</v>
      </c>
      <c r="AF23" s="15">
        <f t="shared" ca="1" si="6"/>
        <v>7</v>
      </c>
      <c r="AG23" s="15">
        <f t="shared" ca="1" si="7"/>
        <v>91240</v>
      </c>
      <c r="AH23" s="15" t="str">
        <f t="shared" ca="1" si="8"/>
        <v>{2}</v>
      </c>
      <c r="AI23" s="15">
        <f t="shared" ca="1" si="1"/>
        <v>2000</v>
      </c>
      <c r="AJ23" s="26" t="str">
        <f t="shared" ca="1" si="9"/>
        <v>普通卡材料-91240+2|20%</v>
      </c>
    </row>
    <row r="24" spans="1:36" x14ac:dyDescent="0.25">
      <c r="A24" s="14">
        <v>22</v>
      </c>
      <c r="B24" s="14" t="s">
        <v>72</v>
      </c>
      <c r="C24" s="14"/>
      <c r="D24" s="14" t="s">
        <v>114</v>
      </c>
      <c r="E24" s="14" t="s">
        <v>137</v>
      </c>
      <c r="F24" s="14" t="s">
        <v>138</v>
      </c>
      <c r="G24" s="14"/>
      <c r="H24" s="14"/>
      <c r="I24" s="14"/>
      <c r="J24" s="14"/>
      <c r="K24" s="14"/>
      <c r="L24" s="14"/>
      <c r="M24" s="14"/>
      <c r="N24" s="13"/>
      <c r="O24" s="32">
        <f t="shared" si="2"/>
        <v>0.99999999999999989</v>
      </c>
      <c r="P24" s="36">
        <v>0.7</v>
      </c>
      <c r="Q24" s="36">
        <v>0.2</v>
      </c>
      <c r="R24" s="36">
        <v>0.1</v>
      </c>
      <c r="S24" s="36"/>
      <c r="T24" s="36"/>
      <c r="U24" s="36"/>
      <c r="V24" s="36"/>
      <c r="W24" s="36"/>
      <c r="X24" s="36"/>
      <c r="Y24" s="36"/>
      <c r="Z24" s="15">
        <f t="shared" si="3"/>
        <v>3</v>
      </c>
      <c r="AA24" s="15">
        <f>SUM(Z$3:Z24)</f>
        <v>67</v>
      </c>
      <c r="AB24" s="37">
        <f t="shared" si="4"/>
        <v>8</v>
      </c>
      <c r="AC24" s="37">
        <f>COUNTIF(AB$3:AB24,AB24)</f>
        <v>3</v>
      </c>
      <c r="AD24" s="15" t="str">
        <f t="shared" ca="1" si="0"/>
        <v>91240+3</v>
      </c>
      <c r="AE24" s="37">
        <f t="shared" ca="1" si="5"/>
        <v>703</v>
      </c>
      <c r="AF24" s="15">
        <f t="shared" ca="1" si="6"/>
        <v>7</v>
      </c>
      <c r="AG24" s="15">
        <f t="shared" ca="1" si="7"/>
        <v>91240</v>
      </c>
      <c r="AH24" s="15" t="str">
        <f t="shared" ca="1" si="8"/>
        <v>{3}</v>
      </c>
      <c r="AI24" s="15">
        <f t="shared" ca="1" si="1"/>
        <v>1000</v>
      </c>
      <c r="AJ24" s="26" t="str">
        <f t="shared" ca="1" si="9"/>
        <v>普通卡材料-91240+3|10%</v>
      </c>
    </row>
    <row r="25" spans="1:36" x14ac:dyDescent="0.25">
      <c r="A25" s="14">
        <v>23</v>
      </c>
      <c r="B25" s="14" t="s">
        <v>140</v>
      </c>
      <c r="C25" s="14"/>
      <c r="D25" s="14" t="s">
        <v>141</v>
      </c>
      <c r="E25" s="14" t="s">
        <v>142</v>
      </c>
      <c r="F25" s="14" t="s">
        <v>143</v>
      </c>
      <c r="G25" s="14"/>
      <c r="H25" s="14"/>
      <c r="I25" s="14"/>
      <c r="J25" s="14"/>
      <c r="K25" s="14"/>
      <c r="L25" s="14"/>
      <c r="M25" s="14"/>
      <c r="N25" s="13"/>
      <c r="O25" s="32">
        <f t="shared" si="2"/>
        <v>0.99999999999999989</v>
      </c>
      <c r="P25" s="36">
        <v>0.7</v>
      </c>
      <c r="Q25" s="36">
        <v>0.2</v>
      </c>
      <c r="R25" s="36">
        <v>0.1</v>
      </c>
      <c r="S25" s="36"/>
      <c r="T25" s="36"/>
      <c r="U25" s="36"/>
      <c r="V25" s="36"/>
      <c r="W25" s="36"/>
      <c r="X25" s="36"/>
      <c r="Y25" s="36"/>
      <c r="Z25" s="15">
        <f t="shared" si="3"/>
        <v>3</v>
      </c>
      <c r="AA25" s="15">
        <f>SUM(Z$3:Z25)</f>
        <v>70</v>
      </c>
      <c r="AB25" s="37">
        <f t="shared" si="4"/>
        <v>9</v>
      </c>
      <c r="AC25" s="37">
        <f>COUNTIF(AB$3:AB25,AB25)</f>
        <v>1</v>
      </c>
      <c r="AD25" s="15" t="str">
        <f t="shared" ca="1" si="0"/>
        <v>91320+1</v>
      </c>
      <c r="AE25" s="37">
        <f t="shared" ca="1" si="5"/>
        <v>801</v>
      </c>
      <c r="AF25" s="15">
        <f t="shared" ca="1" si="6"/>
        <v>8</v>
      </c>
      <c r="AG25" s="15">
        <f t="shared" ca="1" si="7"/>
        <v>91320</v>
      </c>
      <c r="AH25" s="15" t="str">
        <f t="shared" ca="1" si="8"/>
        <v>{1}</v>
      </c>
      <c r="AI25" s="15">
        <f t="shared" ca="1" si="1"/>
        <v>7000</v>
      </c>
      <c r="AJ25" s="26" t="str">
        <f t="shared" ca="1" si="9"/>
        <v>普通卡材料-91320+1|70%</v>
      </c>
    </row>
    <row r="26" spans="1:36" x14ac:dyDescent="0.25">
      <c r="A26" s="14">
        <v>24</v>
      </c>
      <c r="B26" s="14" t="s">
        <v>150</v>
      </c>
      <c r="C26" s="14" t="s">
        <v>158</v>
      </c>
      <c r="D26" s="14" t="s">
        <v>151</v>
      </c>
      <c r="E26" s="14"/>
      <c r="F26" s="14"/>
      <c r="G26" s="14"/>
      <c r="H26" s="14"/>
      <c r="I26" s="14"/>
      <c r="J26" s="14"/>
      <c r="K26" s="14"/>
      <c r="L26" s="14"/>
      <c r="M26" s="14"/>
      <c r="N26" s="13"/>
      <c r="O26" s="32">
        <f t="shared" si="2"/>
        <v>0</v>
      </c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15">
        <f t="shared" si="3"/>
        <v>1</v>
      </c>
      <c r="AA26" s="15">
        <f>SUM(Z$3:Z26)</f>
        <v>71</v>
      </c>
      <c r="AB26" s="37">
        <f t="shared" si="4"/>
        <v>9</v>
      </c>
      <c r="AC26" s="37">
        <f>COUNTIF(AB$3:AB26,AB26)</f>
        <v>2</v>
      </c>
      <c r="AD26" s="15" t="str">
        <f t="shared" ca="1" si="0"/>
        <v>91320+2</v>
      </c>
      <c r="AE26" s="37">
        <f t="shared" ca="1" si="5"/>
        <v>802</v>
      </c>
      <c r="AF26" s="15">
        <f t="shared" ca="1" si="6"/>
        <v>8</v>
      </c>
      <c r="AG26" s="15">
        <f t="shared" ca="1" si="7"/>
        <v>91320</v>
      </c>
      <c r="AH26" s="15" t="str">
        <f t="shared" ca="1" si="8"/>
        <v>{2}</v>
      </c>
      <c r="AI26" s="15">
        <f t="shared" ca="1" si="1"/>
        <v>2000</v>
      </c>
      <c r="AJ26" s="26" t="str">
        <f t="shared" ca="1" si="9"/>
        <v>普通卡材料-91320+2|20%</v>
      </c>
    </row>
    <row r="27" spans="1:36" x14ac:dyDescent="0.25">
      <c r="A27" s="14">
        <v>25</v>
      </c>
      <c r="B27" s="14" t="s">
        <v>150</v>
      </c>
      <c r="C27" s="14" t="s">
        <v>158</v>
      </c>
      <c r="D27" s="14" t="s">
        <v>152</v>
      </c>
      <c r="E27" s="14"/>
      <c r="F27" s="14"/>
      <c r="G27" s="14"/>
      <c r="H27" s="14"/>
      <c r="I27" s="14"/>
      <c r="J27" s="14"/>
      <c r="K27" s="14"/>
      <c r="L27" s="14"/>
      <c r="M27" s="14"/>
      <c r="N27" s="13"/>
      <c r="O27" s="32">
        <f t="shared" si="2"/>
        <v>0</v>
      </c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15">
        <f t="shared" si="3"/>
        <v>1</v>
      </c>
      <c r="AA27" s="15">
        <f>SUM(Z$3:Z27)</f>
        <v>72</v>
      </c>
      <c r="AB27" s="37">
        <f t="shared" si="4"/>
        <v>9</v>
      </c>
      <c r="AC27" s="37">
        <f>COUNTIF(AB$3:AB27,AB27)</f>
        <v>3</v>
      </c>
      <c r="AD27" s="15" t="str">
        <f t="shared" ca="1" si="0"/>
        <v>91320+3</v>
      </c>
      <c r="AE27" s="37">
        <f t="shared" ca="1" si="5"/>
        <v>803</v>
      </c>
      <c r="AF27" s="15">
        <f t="shared" ca="1" si="6"/>
        <v>8</v>
      </c>
      <c r="AG27" s="15">
        <f t="shared" ca="1" si="7"/>
        <v>91320</v>
      </c>
      <c r="AH27" s="15" t="str">
        <f t="shared" ca="1" si="8"/>
        <v>{3}</v>
      </c>
      <c r="AI27" s="15">
        <f t="shared" ca="1" si="1"/>
        <v>1000</v>
      </c>
      <c r="AJ27" s="26" t="str">
        <f t="shared" ca="1" si="9"/>
        <v>普通卡材料-91320+3|10%</v>
      </c>
    </row>
    <row r="28" spans="1:36" x14ac:dyDescent="0.25">
      <c r="A28" s="14">
        <v>26</v>
      </c>
      <c r="B28" s="14" t="s">
        <v>150</v>
      </c>
      <c r="C28" s="14" t="s">
        <v>158</v>
      </c>
      <c r="D28" s="14" t="s">
        <v>153</v>
      </c>
      <c r="E28" s="14"/>
      <c r="F28" s="14"/>
      <c r="G28" s="14"/>
      <c r="H28" s="14"/>
      <c r="I28" s="14"/>
      <c r="J28" s="14"/>
      <c r="K28" s="14"/>
      <c r="L28" s="14"/>
      <c r="M28" s="14"/>
      <c r="N28" s="13"/>
      <c r="O28" s="32">
        <f t="shared" si="2"/>
        <v>0</v>
      </c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15">
        <f t="shared" si="3"/>
        <v>1</v>
      </c>
      <c r="AA28" s="15">
        <f>SUM(Z$3:Z28)</f>
        <v>73</v>
      </c>
      <c r="AB28" s="37">
        <f t="shared" si="4"/>
        <v>10</v>
      </c>
      <c r="AC28" s="37">
        <f>COUNTIF(AB$3:AB28,AB28)</f>
        <v>1</v>
      </c>
      <c r="AD28" s="15" t="str">
        <f t="shared" ca="1" si="0"/>
        <v>91330+1</v>
      </c>
      <c r="AE28" s="37">
        <f t="shared" ca="1" si="5"/>
        <v>901</v>
      </c>
      <c r="AF28" s="15">
        <f t="shared" ca="1" si="6"/>
        <v>9</v>
      </c>
      <c r="AG28" s="15">
        <f t="shared" ca="1" si="7"/>
        <v>91330</v>
      </c>
      <c r="AH28" s="15" t="str">
        <f t="shared" ca="1" si="8"/>
        <v>{1}</v>
      </c>
      <c r="AI28" s="15">
        <f t="shared" ca="1" si="1"/>
        <v>7000</v>
      </c>
      <c r="AJ28" s="26" t="str">
        <f t="shared" ca="1" si="9"/>
        <v>普通卡材料-91330+1|70%</v>
      </c>
    </row>
    <row r="29" spans="1:36" x14ac:dyDescent="0.25">
      <c r="A29" s="14">
        <v>27</v>
      </c>
      <c r="B29" s="14" t="s">
        <v>150</v>
      </c>
      <c r="C29" s="14" t="s">
        <v>158</v>
      </c>
      <c r="D29" s="14" t="s">
        <v>154</v>
      </c>
      <c r="E29" s="14"/>
      <c r="F29" s="14"/>
      <c r="G29" s="14"/>
      <c r="H29" s="14"/>
      <c r="I29" s="14"/>
      <c r="J29" s="14"/>
      <c r="K29" s="14"/>
      <c r="L29" s="14"/>
      <c r="M29" s="14"/>
      <c r="N29" s="13"/>
      <c r="O29" s="32">
        <f t="shared" si="2"/>
        <v>0</v>
      </c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15">
        <f t="shared" si="3"/>
        <v>1</v>
      </c>
      <c r="AA29" s="15">
        <f>SUM(Z$3:Z29)</f>
        <v>74</v>
      </c>
      <c r="AB29" s="37">
        <f t="shared" si="4"/>
        <v>10</v>
      </c>
      <c r="AC29" s="37">
        <f>COUNTIF(AB$3:AB29,AB29)</f>
        <v>2</v>
      </c>
      <c r="AD29" s="15" t="str">
        <f t="shared" ca="1" si="0"/>
        <v>91330+2</v>
      </c>
      <c r="AE29" s="37">
        <f t="shared" ca="1" si="5"/>
        <v>902</v>
      </c>
      <c r="AF29" s="15">
        <f t="shared" ca="1" si="6"/>
        <v>9</v>
      </c>
      <c r="AG29" s="15">
        <f t="shared" ca="1" si="7"/>
        <v>91330</v>
      </c>
      <c r="AH29" s="15" t="str">
        <f t="shared" ca="1" si="8"/>
        <v>{2}</v>
      </c>
      <c r="AI29" s="15">
        <f t="shared" ca="1" si="1"/>
        <v>2000</v>
      </c>
      <c r="AJ29" s="26" t="str">
        <f t="shared" ca="1" si="9"/>
        <v>普通卡材料-91330+2|20%</v>
      </c>
    </row>
    <row r="30" spans="1:36" x14ac:dyDescent="0.25">
      <c r="A30" s="14">
        <v>28</v>
      </c>
      <c r="B30" s="14" t="s">
        <v>150</v>
      </c>
      <c r="C30" s="14" t="s">
        <v>158</v>
      </c>
      <c r="D30" s="14" t="s">
        <v>155</v>
      </c>
      <c r="E30" s="14"/>
      <c r="F30" s="14"/>
      <c r="G30" s="14"/>
      <c r="H30" s="14"/>
      <c r="I30" s="14"/>
      <c r="J30" s="14"/>
      <c r="K30" s="14"/>
      <c r="L30" s="14"/>
      <c r="M30" s="14"/>
      <c r="N30" s="13"/>
      <c r="O30" s="32">
        <f t="shared" si="2"/>
        <v>0</v>
      </c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15">
        <f t="shared" si="3"/>
        <v>1</v>
      </c>
      <c r="AA30" s="15">
        <f>SUM(Z$3:Z30)</f>
        <v>75</v>
      </c>
      <c r="AB30" s="37">
        <f t="shared" si="4"/>
        <v>10</v>
      </c>
      <c r="AC30" s="37">
        <f>COUNTIF(AB$3:AB30,AB30)</f>
        <v>3</v>
      </c>
      <c r="AD30" s="15" t="str">
        <f t="shared" ca="1" si="0"/>
        <v>91330+3</v>
      </c>
      <c r="AE30" s="37">
        <f t="shared" ca="1" si="5"/>
        <v>903</v>
      </c>
      <c r="AF30" s="15">
        <f t="shared" ca="1" si="6"/>
        <v>9</v>
      </c>
      <c r="AG30" s="15">
        <f t="shared" ca="1" si="7"/>
        <v>91330</v>
      </c>
      <c r="AH30" s="15" t="str">
        <f t="shared" ca="1" si="8"/>
        <v>{3}</v>
      </c>
      <c r="AI30" s="15">
        <f t="shared" ca="1" si="1"/>
        <v>1000</v>
      </c>
      <c r="AJ30" s="26" t="str">
        <f t="shared" ca="1" si="9"/>
        <v>普通卡材料-91330+3|10%</v>
      </c>
    </row>
    <row r="31" spans="1:36" x14ac:dyDescent="0.25">
      <c r="A31" s="14">
        <v>29</v>
      </c>
      <c r="B31" s="14" t="s">
        <v>150</v>
      </c>
      <c r="C31" s="14" t="s">
        <v>158</v>
      </c>
      <c r="D31" s="14" t="s">
        <v>156</v>
      </c>
      <c r="E31" s="14"/>
      <c r="F31" s="14"/>
      <c r="G31" s="14"/>
      <c r="H31" s="14"/>
      <c r="I31" s="14"/>
      <c r="J31" s="14"/>
      <c r="K31" s="14"/>
      <c r="L31" s="14"/>
      <c r="M31" s="14"/>
      <c r="N31" s="13"/>
      <c r="O31" s="32">
        <f t="shared" si="2"/>
        <v>0</v>
      </c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15">
        <f t="shared" si="3"/>
        <v>1</v>
      </c>
      <c r="AA31" s="15">
        <f>SUM(Z$3:Z31)</f>
        <v>76</v>
      </c>
      <c r="AB31" s="37">
        <f t="shared" si="4"/>
        <v>11</v>
      </c>
      <c r="AC31" s="37">
        <f>COUNTIF(AB$3:AB31,AB31)</f>
        <v>1</v>
      </c>
      <c r="AD31" s="15" t="str">
        <f t="shared" ca="1" si="0"/>
        <v>91340+1</v>
      </c>
      <c r="AE31" s="37">
        <f t="shared" ca="1" si="5"/>
        <v>1001</v>
      </c>
      <c r="AF31" s="15">
        <f t="shared" ca="1" si="6"/>
        <v>10</v>
      </c>
      <c r="AG31" s="15">
        <f t="shared" ca="1" si="7"/>
        <v>91340</v>
      </c>
      <c r="AH31" s="15" t="str">
        <f t="shared" ca="1" si="8"/>
        <v>{1}</v>
      </c>
      <c r="AI31" s="15">
        <f t="shared" ca="1" si="1"/>
        <v>7000</v>
      </c>
      <c r="AJ31" s="26" t="str">
        <f t="shared" ca="1" si="9"/>
        <v>普通卡材料-91340+1|70%</v>
      </c>
    </row>
    <row r="32" spans="1:36" x14ac:dyDescent="0.25">
      <c r="A32" s="14">
        <v>30</v>
      </c>
      <c r="B32" s="14" t="s">
        <v>150</v>
      </c>
      <c r="C32" s="14" t="s">
        <v>158</v>
      </c>
      <c r="D32" s="14" t="s">
        <v>157</v>
      </c>
      <c r="E32" s="14"/>
      <c r="F32" s="14"/>
      <c r="G32" s="14"/>
      <c r="H32" s="14"/>
      <c r="I32" s="14"/>
      <c r="J32" s="14"/>
      <c r="K32" s="14"/>
      <c r="L32" s="14"/>
      <c r="M32" s="14"/>
      <c r="N32" s="13"/>
      <c r="O32" s="32">
        <f t="shared" si="2"/>
        <v>0</v>
      </c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15">
        <f t="shared" si="3"/>
        <v>1</v>
      </c>
      <c r="AA32" s="15">
        <f>SUM(Z$3:Z32)</f>
        <v>77</v>
      </c>
      <c r="AB32" s="37">
        <f t="shared" si="4"/>
        <v>11</v>
      </c>
      <c r="AC32" s="37">
        <f>COUNTIF(AB$3:AB32,AB32)</f>
        <v>2</v>
      </c>
      <c r="AD32" s="15" t="str">
        <f t="shared" ca="1" si="0"/>
        <v>91340+2</v>
      </c>
      <c r="AE32" s="37">
        <f t="shared" ca="1" si="5"/>
        <v>1002</v>
      </c>
      <c r="AF32" s="15">
        <f t="shared" ca="1" si="6"/>
        <v>10</v>
      </c>
      <c r="AG32" s="15">
        <f t="shared" ca="1" si="7"/>
        <v>91340</v>
      </c>
      <c r="AH32" s="15" t="str">
        <f t="shared" ca="1" si="8"/>
        <v>{2}</v>
      </c>
      <c r="AI32" s="15">
        <f t="shared" ca="1" si="1"/>
        <v>2000</v>
      </c>
      <c r="AJ32" s="26" t="str">
        <f t="shared" ca="1" si="9"/>
        <v>普通卡材料-91340+2|20%</v>
      </c>
    </row>
    <row r="33" spans="1:36" x14ac:dyDescent="0.25">
      <c r="A33" s="14">
        <v>31</v>
      </c>
      <c r="B33" s="14" t="s">
        <v>149</v>
      </c>
      <c r="C33" s="14"/>
      <c r="D33" s="14" t="s">
        <v>159</v>
      </c>
      <c r="E33" s="14"/>
      <c r="F33" s="14"/>
      <c r="G33" s="14"/>
      <c r="H33" s="14"/>
      <c r="I33" s="14"/>
      <c r="J33" s="14"/>
      <c r="K33" s="14"/>
      <c r="L33" s="14"/>
      <c r="M33" s="14"/>
      <c r="N33" s="13"/>
      <c r="O33" s="32">
        <f t="shared" si="2"/>
        <v>0.3</v>
      </c>
      <c r="P33" s="36">
        <v>0.3</v>
      </c>
      <c r="Q33" s="36"/>
      <c r="R33" s="36"/>
      <c r="S33" s="36"/>
      <c r="T33" s="36"/>
      <c r="U33" s="36"/>
      <c r="V33" s="36"/>
      <c r="W33" s="36"/>
      <c r="X33" s="36"/>
      <c r="Y33" s="36"/>
      <c r="Z33" s="15">
        <f t="shared" si="3"/>
        <v>1</v>
      </c>
      <c r="AA33" s="15">
        <f>SUM(Z$3:Z33)</f>
        <v>78</v>
      </c>
      <c r="AB33" s="37">
        <f t="shared" si="4"/>
        <v>11</v>
      </c>
      <c r="AC33" s="37">
        <f>COUNTIF(AB$3:AB33,AB33)</f>
        <v>3</v>
      </c>
      <c r="AD33" s="15" t="str">
        <f t="shared" ca="1" si="0"/>
        <v>91340+3</v>
      </c>
      <c r="AE33" s="37">
        <f t="shared" ca="1" si="5"/>
        <v>1003</v>
      </c>
      <c r="AF33" s="15">
        <f t="shared" ca="1" si="6"/>
        <v>10</v>
      </c>
      <c r="AG33" s="15">
        <f t="shared" ca="1" si="7"/>
        <v>91340</v>
      </c>
      <c r="AH33" s="15" t="str">
        <f t="shared" ca="1" si="8"/>
        <v>{3}</v>
      </c>
      <c r="AI33" s="15">
        <f t="shared" ca="1" si="1"/>
        <v>1000</v>
      </c>
      <c r="AJ33" s="26" t="str">
        <f t="shared" ca="1" si="9"/>
        <v>普通卡材料-91340+3|10%</v>
      </c>
    </row>
    <row r="34" spans="1:36" x14ac:dyDescent="0.25">
      <c r="A34" s="14">
        <v>32</v>
      </c>
      <c r="B34" s="14" t="s">
        <v>181</v>
      </c>
      <c r="C34" s="14"/>
      <c r="D34" s="14" t="s">
        <v>210</v>
      </c>
      <c r="E34" s="14" t="s">
        <v>211</v>
      </c>
      <c r="F34" s="14" t="s">
        <v>212</v>
      </c>
      <c r="G34" s="14" t="s">
        <v>213</v>
      </c>
      <c r="H34" s="14"/>
      <c r="I34" s="14"/>
      <c r="J34" s="14"/>
      <c r="K34" s="14"/>
      <c r="L34" s="14"/>
      <c r="M34" s="14"/>
      <c r="N34" s="13"/>
      <c r="O34" s="32">
        <f t="shared" si="2"/>
        <v>0.99999999999999989</v>
      </c>
      <c r="P34" s="36">
        <v>0.1</v>
      </c>
      <c r="Q34" s="36">
        <v>0.5</v>
      </c>
      <c r="R34" s="36">
        <v>0.3</v>
      </c>
      <c r="S34" s="36">
        <v>0.1</v>
      </c>
      <c r="T34" s="36"/>
      <c r="U34" s="36"/>
      <c r="V34" s="36"/>
      <c r="W34" s="36"/>
      <c r="X34" s="36"/>
      <c r="Y34" s="36"/>
      <c r="Z34" s="15">
        <f t="shared" si="3"/>
        <v>4</v>
      </c>
      <c r="AA34" s="15">
        <f>SUM(Z$3:Z34)</f>
        <v>82</v>
      </c>
      <c r="AB34" s="37">
        <f t="shared" si="4"/>
        <v>12</v>
      </c>
      <c r="AC34" s="37">
        <f>COUNTIF(AB$3:AB34,AB34)</f>
        <v>1</v>
      </c>
      <c r="AD34" s="15" t="str">
        <f t="shared" ca="1" si="0"/>
        <v>91420+1</v>
      </c>
      <c r="AE34" s="37">
        <f t="shared" ca="1" si="5"/>
        <v>1101</v>
      </c>
      <c r="AF34" s="15">
        <f t="shared" ca="1" si="6"/>
        <v>11</v>
      </c>
      <c r="AG34" s="15">
        <f t="shared" ca="1" si="7"/>
        <v>91420</v>
      </c>
      <c r="AH34" s="15" t="str">
        <f t="shared" ca="1" si="8"/>
        <v>{1}</v>
      </c>
      <c r="AI34" s="15">
        <f t="shared" ca="1" si="1"/>
        <v>7000</v>
      </c>
      <c r="AJ34" s="26" t="str">
        <f t="shared" ca="1" si="9"/>
        <v>普通卡材料-91420+1|70%</v>
      </c>
    </row>
    <row r="35" spans="1:36" x14ac:dyDescent="0.25">
      <c r="A35" s="14">
        <v>33</v>
      </c>
      <c r="B35" s="14" t="s">
        <v>181</v>
      </c>
      <c r="C35" s="14"/>
      <c r="D35" s="14" t="s">
        <v>214</v>
      </c>
      <c r="E35" s="14" t="s">
        <v>215</v>
      </c>
      <c r="F35" s="14" t="s">
        <v>216</v>
      </c>
      <c r="G35" s="14"/>
      <c r="H35" s="14"/>
      <c r="I35" s="14"/>
      <c r="J35" s="14"/>
      <c r="K35" s="14"/>
      <c r="L35" s="14"/>
      <c r="M35" s="14"/>
      <c r="N35" s="13"/>
      <c r="O35" s="32">
        <f t="shared" si="2"/>
        <v>0.99999999999999989</v>
      </c>
      <c r="P35" s="36">
        <v>0.7</v>
      </c>
      <c r="Q35" s="36">
        <v>0.2</v>
      </c>
      <c r="R35" s="36">
        <v>0.1</v>
      </c>
      <c r="S35" s="36"/>
      <c r="T35" s="36"/>
      <c r="U35" s="36"/>
      <c r="V35" s="36"/>
      <c r="W35" s="36"/>
      <c r="X35" s="36"/>
      <c r="Y35" s="36"/>
      <c r="Z35" s="15">
        <f t="shared" si="3"/>
        <v>3</v>
      </c>
      <c r="AA35" s="15">
        <f>SUM(Z$3:Z35)</f>
        <v>85</v>
      </c>
      <c r="AB35" s="37">
        <f t="shared" si="4"/>
        <v>12</v>
      </c>
      <c r="AC35" s="37">
        <f>COUNTIF(AB$3:AB35,AB35)</f>
        <v>2</v>
      </c>
      <c r="AD35" s="15" t="str">
        <f t="shared" ca="1" si="0"/>
        <v>91420+2</v>
      </c>
      <c r="AE35" s="37">
        <f t="shared" ca="1" si="5"/>
        <v>1102</v>
      </c>
      <c r="AF35" s="15">
        <f t="shared" ca="1" si="6"/>
        <v>11</v>
      </c>
      <c r="AG35" s="15">
        <f t="shared" ca="1" si="7"/>
        <v>91420</v>
      </c>
      <c r="AH35" s="15" t="str">
        <f t="shared" ca="1" si="8"/>
        <v>{2}</v>
      </c>
      <c r="AI35" s="15">
        <f t="shared" ca="1" si="1"/>
        <v>2000</v>
      </c>
      <c r="AJ35" s="26" t="str">
        <f t="shared" ca="1" si="9"/>
        <v>普通卡材料-91420+2|20%</v>
      </c>
    </row>
    <row r="36" spans="1:36" x14ac:dyDescent="0.25">
      <c r="A36" s="14">
        <v>34</v>
      </c>
      <c r="B36" s="14" t="s">
        <v>181</v>
      </c>
      <c r="C36" s="14"/>
      <c r="D36" s="14" t="s">
        <v>161</v>
      </c>
      <c r="E36" s="14" t="s">
        <v>217</v>
      </c>
      <c r="F36" s="14" t="s">
        <v>237</v>
      </c>
      <c r="G36" s="14"/>
      <c r="H36" s="14"/>
      <c r="I36" s="14"/>
      <c r="J36" s="14"/>
      <c r="K36" s="14"/>
      <c r="L36" s="14"/>
      <c r="M36" s="14"/>
      <c r="N36" s="13"/>
      <c r="O36" s="32">
        <f t="shared" si="2"/>
        <v>0.99999999999999989</v>
      </c>
      <c r="P36" s="36">
        <v>0.7</v>
      </c>
      <c r="Q36" s="36">
        <v>0.2</v>
      </c>
      <c r="R36" s="36">
        <v>0.1</v>
      </c>
      <c r="S36" s="36"/>
      <c r="T36" s="36"/>
      <c r="U36" s="36"/>
      <c r="V36" s="36"/>
      <c r="W36" s="36"/>
      <c r="X36" s="36"/>
      <c r="Y36" s="36"/>
      <c r="Z36" s="15">
        <f t="shared" si="3"/>
        <v>3</v>
      </c>
      <c r="AA36" s="15">
        <f>SUM(Z$3:Z36)</f>
        <v>88</v>
      </c>
      <c r="AB36" s="37">
        <f t="shared" si="4"/>
        <v>12</v>
      </c>
      <c r="AC36" s="37">
        <f>COUNTIF(AB$3:AB36,AB36)</f>
        <v>3</v>
      </c>
      <c r="AD36" s="15" t="str">
        <f t="shared" ca="1" si="0"/>
        <v>91420+3</v>
      </c>
      <c r="AE36" s="37">
        <f t="shared" ca="1" si="5"/>
        <v>1103</v>
      </c>
      <c r="AF36" s="15">
        <f t="shared" ca="1" si="6"/>
        <v>11</v>
      </c>
      <c r="AG36" s="15">
        <f t="shared" ca="1" si="7"/>
        <v>91420</v>
      </c>
      <c r="AH36" s="15" t="str">
        <f t="shared" ca="1" si="8"/>
        <v>{3}</v>
      </c>
      <c r="AI36" s="15">
        <f t="shared" ca="1" si="1"/>
        <v>1000</v>
      </c>
      <c r="AJ36" s="26" t="str">
        <f t="shared" ca="1" si="9"/>
        <v>普通卡材料-91420+3|10%</v>
      </c>
    </row>
    <row r="37" spans="1:36" x14ac:dyDescent="0.25">
      <c r="A37" s="14">
        <v>35</v>
      </c>
      <c r="B37" s="14" t="s">
        <v>181</v>
      </c>
      <c r="C37" s="14"/>
      <c r="D37" s="14" t="s">
        <v>162</v>
      </c>
      <c r="E37" s="14" t="s">
        <v>218</v>
      </c>
      <c r="F37" s="14" t="s">
        <v>238</v>
      </c>
      <c r="G37" s="14"/>
      <c r="H37" s="14"/>
      <c r="I37" s="14"/>
      <c r="J37" s="14"/>
      <c r="K37" s="14"/>
      <c r="L37" s="14"/>
      <c r="M37" s="14"/>
      <c r="N37" s="13"/>
      <c r="O37" s="32">
        <f t="shared" si="2"/>
        <v>0.99999999999999989</v>
      </c>
      <c r="P37" s="36">
        <v>0.7</v>
      </c>
      <c r="Q37" s="36">
        <v>0.2</v>
      </c>
      <c r="R37" s="36">
        <v>0.1</v>
      </c>
      <c r="S37" s="36"/>
      <c r="T37" s="36"/>
      <c r="U37" s="36"/>
      <c r="V37" s="36"/>
      <c r="W37" s="36"/>
      <c r="X37" s="36"/>
      <c r="Y37" s="36"/>
      <c r="Z37" s="15">
        <f t="shared" si="3"/>
        <v>3</v>
      </c>
      <c r="AA37" s="15">
        <f>SUM(Z$3:Z37)</f>
        <v>91</v>
      </c>
      <c r="AB37" s="37">
        <f t="shared" si="4"/>
        <v>13</v>
      </c>
      <c r="AC37" s="37">
        <f>COUNTIF(AB$3:AB37,AB37)</f>
        <v>1</v>
      </c>
      <c r="AD37" s="15" t="str">
        <f t="shared" ca="1" si="0"/>
        <v>91430+1</v>
      </c>
      <c r="AE37" s="37">
        <f t="shared" ca="1" si="5"/>
        <v>1201</v>
      </c>
      <c r="AF37" s="15">
        <f t="shared" ca="1" si="6"/>
        <v>12</v>
      </c>
      <c r="AG37" s="15">
        <f t="shared" ca="1" si="7"/>
        <v>91430</v>
      </c>
      <c r="AH37" s="15" t="str">
        <f t="shared" ca="1" si="8"/>
        <v>{1}</v>
      </c>
      <c r="AI37" s="15">
        <f t="shared" ca="1" si="1"/>
        <v>7000</v>
      </c>
      <c r="AJ37" s="26" t="str">
        <f t="shared" ca="1" si="9"/>
        <v>普通卡材料-91430+1|70%</v>
      </c>
    </row>
    <row r="38" spans="1:36" x14ac:dyDescent="0.25">
      <c r="A38" s="14">
        <v>36</v>
      </c>
      <c r="B38" s="14" t="s">
        <v>181</v>
      </c>
      <c r="C38" s="14"/>
      <c r="D38" s="14" t="s">
        <v>163</v>
      </c>
      <c r="E38" s="14" t="s">
        <v>219</v>
      </c>
      <c r="F38" s="14" t="s">
        <v>239</v>
      </c>
      <c r="G38" s="14"/>
      <c r="H38" s="14"/>
      <c r="I38" s="14"/>
      <c r="J38" s="14"/>
      <c r="K38" s="14"/>
      <c r="L38" s="14"/>
      <c r="M38" s="14"/>
      <c r="N38" s="13"/>
      <c r="O38" s="32">
        <f t="shared" si="2"/>
        <v>0.99999999999999989</v>
      </c>
      <c r="P38" s="36">
        <v>0.7</v>
      </c>
      <c r="Q38" s="36">
        <v>0.2</v>
      </c>
      <c r="R38" s="36">
        <v>0.1</v>
      </c>
      <c r="S38" s="36"/>
      <c r="T38" s="36"/>
      <c r="U38" s="36"/>
      <c r="V38" s="36"/>
      <c r="W38" s="36"/>
      <c r="X38" s="36"/>
      <c r="Y38" s="36"/>
      <c r="Z38" s="15">
        <f t="shared" si="3"/>
        <v>3</v>
      </c>
      <c r="AA38" s="15">
        <f>SUM(Z$3:Z38)</f>
        <v>94</v>
      </c>
      <c r="AB38" s="37">
        <f t="shared" si="4"/>
        <v>13</v>
      </c>
      <c r="AC38" s="37">
        <f>COUNTIF(AB$3:AB38,AB38)</f>
        <v>2</v>
      </c>
      <c r="AD38" s="15" t="str">
        <f t="shared" ca="1" si="0"/>
        <v>91430+2</v>
      </c>
      <c r="AE38" s="37">
        <f t="shared" ca="1" si="5"/>
        <v>1202</v>
      </c>
      <c r="AF38" s="15">
        <f t="shared" ca="1" si="6"/>
        <v>12</v>
      </c>
      <c r="AG38" s="15">
        <f t="shared" ca="1" si="7"/>
        <v>91430</v>
      </c>
      <c r="AH38" s="15" t="str">
        <f t="shared" ca="1" si="8"/>
        <v>{2}</v>
      </c>
      <c r="AI38" s="15">
        <f t="shared" ca="1" si="1"/>
        <v>2000</v>
      </c>
      <c r="AJ38" s="26" t="str">
        <f t="shared" ca="1" si="9"/>
        <v>普通卡材料-91430+2|20%</v>
      </c>
    </row>
    <row r="39" spans="1:36" x14ac:dyDescent="0.25">
      <c r="A39" s="14">
        <v>37</v>
      </c>
      <c r="B39" s="14" t="s">
        <v>181</v>
      </c>
      <c r="C39" s="14"/>
      <c r="D39" s="14" t="s">
        <v>164</v>
      </c>
      <c r="E39" s="14" t="s">
        <v>220</v>
      </c>
      <c r="F39" s="14" t="s">
        <v>240</v>
      </c>
      <c r="G39" s="14"/>
      <c r="H39" s="14"/>
      <c r="I39" s="14"/>
      <c r="J39" s="14"/>
      <c r="K39" s="14"/>
      <c r="L39" s="14"/>
      <c r="M39" s="14"/>
      <c r="N39" s="13"/>
      <c r="O39" s="32">
        <f t="shared" si="2"/>
        <v>0.99999999999999989</v>
      </c>
      <c r="P39" s="36">
        <v>0.7</v>
      </c>
      <c r="Q39" s="36">
        <v>0.2</v>
      </c>
      <c r="R39" s="36">
        <v>0.1</v>
      </c>
      <c r="S39" s="36"/>
      <c r="T39" s="36"/>
      <c r="U39" s="36"/>
      <c r="V39" s="36"/>
      <c r="W39" s="36"/>
      <c r="X39" s="36"/>
      <c r="Y39" s="36"/>
      <c r="Z39" s="15">
        <f t="shared" si="3"/>
        <v>3</v>
      </c>
      <c r="AA39" s="15">
        <f>SUM(Z$3:Z39)</f>
        <v>97</v>
      </c>
      <c r="AB39" s="37">
        <f t="shared" si="4"/>
        <v>13</v>
      </c>
      <c r="AC39" s="37">
        <f>COUNTIF(AB$3:AB39,AB39)</f>
        <v>3</v>
      </c>
      <c r="AD39" s="15" t="str">
        <f t="shared" ca="1" si="0"/>
        <v>91430+3</v>
      </c>
      <c r="AE39" s="37">
        <f t="shared" ca="1" si="5"/>
        <v>1203</v>
      </c>
      <c r="AF39" s="15">
        <f t="shared" ca="1" si="6"/>
        <v>12</v>
      </c>
      <c r="AG39" s="15">
        <f t="shared" ca="1" si="7"/>
        <v>91430</v>
      </c>
      <c r="AH39" s="15" t="str">
        <f t="shared" ca="1" si="8"/>
        <v>{3}</v>
      </c>
      <c r="AI39" s="15">
        <f t="shared" ca="1" si="1"/>
        <v>1000</v>
      </c>
      <c r="AJ39" s="26" t="str">
        <f t="shared" ca="1" si="9"/>
        <v>普通卡材料-91430+3|10%</v>
      </c>
    </row>
    <row r="40" spans="1:36" x14ac:dyDescent="0.25">
      <c r="A40" s="14">
        <v>38</v>
      </c>
      <c r="B40" s="14" t="s">
        <v>181</v>
      </c>
      <c r="C40" s="14"/>
      <c r="D40" s="14" t="s">
        <v>165</v>
      </c>
      <c r="E40" s="14" t="s">
        <v>221</v>
      </c>
      <c r="F40" s="14" t="s">
        <v>241</v>
      </c>
      <c r="G40" s="14"/>
      <c r="H40" s="14"/>
      <c r="I40" s="14"/>
      <c r="J40" s="14"/>
      <c r="K40" s="14"/>
      <c r="L40" s="14"/>
      <c r="M40" s="14"/>
      <c r="N40" s="13"/>
      <c r="O40" s="32">
        <f t="shared" si="2"/>
        <v>0.99999999999999989</v>
      </c>
      <c r="P40" s="36">
        <v>0.7</v>
      </c>
      <c r="Q40" s="36">
        <v>0.2</v>
      </c>
      <c r="R40" s="36">
        <v>0.1</v>
      </c>
      <c r="S40" s="36"/>
      <c r="T40" s="36"/>
      <c r="U40" s="36"/>
      <c r="V40" s="36"/>
      <c r="W40" s="36"/>
      <c r="X40" s="36"/>
      <c r="Y40" s="36"/>
      <c r="Z40" s="15">
        <f t="shared" si="3"/>
        <v>3</v>
      </c>
      <c r="AA40" s="15">
        <f>SUM(Z$3:Z40)</f>
        <v>100</v>
      </c>
      <c r="AB40" s="37">
        <f t="shared" si="4"/>
        <v>14</v>
      </c>
      <c r="AC40" s="37">
        <f>COUNTIF(AB$3:AB40,AB40)</f>
        <v>1</v>
      </c>
      <c r="AD40" s="15" t="str">
        <f t="shared" ca="1" si="0"/>
        <v>91440+1</v>
      </c>
      <c r="AE40" s="37">
        <f t="shared" ca="1" si="5"/>
        <v>1301</v>
      </c>
      <c r="AF40" s="15">
        <f t="shared" ca="1" si="6"/>
        <v>13</v>
      </c>
      <c r="AG40" s="15">
        <f t="shared" ca="1" si="7"/>
        <v>91440</v>
      </c>
      <c r="AH40" s="15" t="str">
        <f t="shared" ca="1" si="8"/>
        <v>{1}</v>
      </c>
      <c r="AI40" s="15">
        <f t="shared" ca="1" si="1"/>
        <v>7000</v>
      </c>
      <c r="AJ40" s="26" t="str">
        <f t="shared" ca="1" si="9"/>
        <v>普通卡材料-91440+1|70%</v>
      </c>
    </row>
    <row r="41" spans="1:36" x14ac:dyDescent="0.25">
      <c r="A41" s="14">
        <v>39</v>
      </c>
      <c r="B41" s="14" t="s">
        <v>181</v>
      </c>
      <c r="C41" s="14"/>
      <c r="D41" s="14" t="s">
        <v>166</v>
      </c>
      <c r="E41" s="14" t="s">
        <v>222</v>
      </c>
      <c r="F41" s="14" t="s">
        <v>242</v>
      </c>
      <c r="G41" s="14"/>
      <c r="H41" s="14"/>
      <c r="I41" s="14"/>
      <c r="J41" s="14"/>
      <c r="K41" s="14"/>
      <c r="L41" s="14"/>
      <c r="M41" s="14"/>
      <c r="N41" s="13"/>
      <c r="O41" s="32">
        <f t="shared" si="2"/>
        <v>0.99999999999999989</v>
      </c>
      <c r="P41" s="36">
        <v>0.7</v>
      </c>
      <c r="Q41" s="36">
        <v>0.2</v>
      </c>
      <c r="R41" s="36">
        <v>0.1</v>
      </c>
      <c r="S41" s="36"/>
      <c r="T41" s="36"/>
      <c r="U41" s="36"/>
      <c r="V41" s="36"/>
      <c r="W41" s="36"/>
      <c r="X41" s="36"/>
      <c r="Y41" s="36"/>
      <c r="Z41" s="15">
        <f t="shared" si="3"/>
        <v>3</v>
      </c>
      <c r="AA41" s="15">
        <f>SUM(Z$3:Z41)</f>
        <v>103</v>
      </c>
      <c r="AB41" s="37">
        <f t="shared" si="4"/>
        <v>14</v>
      </c>
      <c r="AC41" s="37">
        <f>COUNTIF(AB$3:AB41,AB41)</f>
        <v>2</v>
      </c>
      <c r="AD41" s="15" t="str">
        <f t="shared" ca="1" si="0"/>
        <v>91440+2</v>
      </c>
      <c r="AE41" s="37">
        <f t="shared" ca="1" si="5"/>
        <v>1302</v>
      </c>
      <c r="AF41" s="15">
        <f t="shared" ca="1" si="6"/>
        <v>13</v>
      </c>
      <c r="AG41" s="15">
        <f t="shared" ca="1" si="7"/>
        <v>91440</v>
      </c>
      <c r="AH41" s="15" t="str">
        <f t="shared" ca="1" si="8"/>
        <v>{2}</v>
      </c>
      <c r="AI41" s="15">
        <f t="shared" ca="1" si="1"/>
        <v>2000</v>
      </c>
      <c r="AJ41" s="26" t="str">
        <f t="shared" ca="1" si="9"/>
        <v>普通卡材料-91440+2|20%</v>
      </c>
    </row>
    <row r="42" spans="1:36" x14ac:dyDescent="0.25">
      <c r="A42" s="14">
        <v>40</v>
      </c>
      <c r="B42" s="14" t="s">
        <v>181</v>
      </c>
      <c r="C42" s="14"/>
      <c r="D42" s="14" t="s">
        <v>167</v>
      </c>
      <c r="E42" s="14" t="s">
        <v>223</v>
      </c>
      <c r="F42" s="14" t="s">
        <v>243</v>
      </c>
      <c r="G42" s="14"/>
      <c r="H42" s="14"/>
      <c r="I42" s="14"/>
      <c r="J42" s="14"/>
      <c r="K42" s="14"/>
      <c r="L42" s="14"/>
      <c r="M42" s="14"/>
      <c r="N42" s="13"/>
      <c r="O42" s="32">
        <f t="shared" si="2"/>
        <v>0.99999999999999989</v>
      </c>
      <c r="P42" s="36">
        <v>0.7</v>
      </c>
      <c r="Q42" s="36">
        <v>0.2</v>
      </c>
      <c r="R42" s="36">
        <v>0.1</v>
      </c>
      <c r="S42" s="36"/>
      <c r="T42" s="36"/>
      <c r="U42" s="36"/>
      <c r="V42" s="36"/>
      <c r="W42" s="36"/>
      <c r="X42" s="36"/>
      <c r="Y42" s="36"/>
      <c r="Z42" s="15">
        <f t="shared" si="3"/>
        <v>3</v>
      </c>
      <c r="AA42" s="15">
        <f>SUM(Z$3:Z42)</f>
        <v>106</v>
      </c>
      <c r="AB42" s="37">
        <f t="shared" si="4"/>
        <v>14</v>
      </c>
      <c r="AC42" s="37">
        <f>COUNTIF(AB$3:AB42,AB42)</f>
        <v>3</v>
      </c>
      <c r="AD42" s="15" t="str">
        <f t="shared" ca="1" si="0"/>
        <v>91440+3</v>
      </c>
      <c r="AE42" s="37">
        <f t="shared" ca="1" si="5"/>
        <v>1303</v>
      </c>
      <c r="AF42" s="15">
        <f t="shared" ca="1" si="6"/>
        <v>13</v>
      </c>
      <c r="AG42" s="15">
        <f t="shared" ca="1" si="7"/>
        <v>91440</v>
      </c>
      <c r="AH42" s="15" t="str">
        <f t="shared" ca="1" si="8"/>
        <v>{3}</v>
      </c>
      <c r="AI42" s="15">
        <f t="shared" ca="1" si="1"/>
        <v>1000</v>
      </c>
      <c r="AJ42" s="26" t="str">
        <f t="shared" ca="1" si="9"/>
        <v>普通卡材料-91440+3|10%</v>
      </c>
    </row>
    <row r="43" spans="1:36" x14ac:dyDescent="0.25">
      <c r="A43" s="14">
        <v>41</v>
      </c>
      <c r="B43" s="14" t="s">
        <v>181</v>
      </c>
      <c r="C43" s="14"/>
      <c r="D43" s="14" t="s">
        <v>168</v>
      </c>
      <c r="E43" s="14" t="s">
        <v>224</v>
      </c>
      <c r="F43" s="14" t="s">
        <v>244</v>
      </c>
      <c r="G43" s="14"/>
      <c r="H43" s="14"/>
      <c r="I43" s="14"/>
      <c r="J43" s="14"/>
      <c r="K43" s="14"/>
      <c r="L43" s="14"/>
      <c r="M43" s="14"/>
      <c r="N43" s="13"/>
      <c r="O43" s="32">
        <f t="shared" si="2"/>
        <v>0.99999999999999989</v>
      </c>
      <c r="P43" s="36">
        <v>0.7</v>
      </c>
      <c r="Q43" s="36">
        <v>0.2</v>
      </c>
      <c r="R43" s="36">
        <v>0.1</v>
      </c>
      <c r="S43" s="36"/>
      <c r="T43" s="36"/>
      <c r="U43" s="36"/>
      <c r="V43" s="36"/>
      <c r="W43" s="36"/>
      <c r="X43" s="36"/>
      <c r="Y43" s="36"/>
      <c r="Z43" s="15">
        <f t="shared" si="3"/>
        <v>3</v>
      </c>
      <c r="AA43" s="15">
        <f>SUM(Z$3:Z43)</f>
        <v>109</v>
      </c>
      <c r="AB43" s="37">
        <f t="shared" si="4"/>
        <v>15</v>
      </c>
      <c r="AC43" s="37">
        <f>COUNTIF(AB$3:AB43,AB43)</f>
        <v>1</v>
      </c>
      <c r="AD43" s="15" t="str">
        <f t="shared" ca="1" si="0"/>
        <v>91520+1</v>
      </c>
      <c r="AE43" s="37">
        <f t="shared" ca="1" si="5"/>
        <v>1401</v>
      </c>
      <c r="AF43" s="15">
        <f t="shared" ca="1" si="6"/>
        <v>14</v>
      </c>
      <c r="AG43" s="15">
        <f t="shared" ca="1" si="7"/>
        <v>91520</v>
      </c>
      <c r="AH43" s="15" t="str">
        <f t="shared" ca="1" si="8"/>
        <v>{1}</v>
      </c>
      <c r="AI43" s="15">
        <f t="shared" ca="1" si="1"/>
        <v>7000</v>
      </c>
      <c r="AJ43" s="26" t="str">
        <f t="shared" ca="1" si="9"/>
        <v>普通卡材料-91520+1|70%</v>
      </c>
    </row>
    <row r="44" spans="1:36" x14ac:dyDescent="0.25">
      <c r="A44" s="14">
        <v>42</v>
      </c>
      <c r="B44" s="14" t="s">
        <v>181</v>
      </c>
      <c r="C44" s="14"/>
      <c r="D44" s="14" t="s">
        <v>169</v>
      </c>
      <c r="E44" s="14" t="s">
        <v>225</v>
      </c>
      <c r="F44" s="14" t="s">
        <v>245</v>
      </c>
      <c r="G44" s="14"/>
      <c r="H44" s="14"/>
      <c r="I44" s="14"/>
      <c r="J44" s="14"/>
      <c r="K44" s="14"/>
      <c r="L44" s="14"/>
      <c r="M44" s="14"/>
      <c r="N44" s="13"/>
      <c r="O44" s="32">
        <f t="shared" si="2"/>
        <v>0.99999999999999989</v>
      </c>
      <c r="P44" s="36">
        <v>0.7</v>
      </c>
      <c r="Q44" s="36">
        <v>0.2</v>
      </c>
      <c r="R44" s="36">
        <v>0.1</v>
      </c>
      <c r="S44" s="36"/>
      <c r="T44" s="36"/>
      <c r="U44" s="36"/>
      <c r="V44" s="36"/>
      <c r="W44" s="36"/>
      <c r="X44" s="36"/>
      <c r="Y44" s="36"/>
      <c r="Z44" s="15">
        <f t="shared" si="3"/>
        <v>3</v>
      </c>
      <c r="AA44" s="15">
        <f>SUM(Z$3:Z44)</f>
        <v>112</v>
      </c>
      <c r="AB44" s="37">
        <f t="shared" si="4"/>
        <v>15</v>
      </c>
      <c r="AC44" s="37">
        <f>COUNTIF(AB$3:AB44,AB44)</f>
        <v>2</v>
      </c>
      <c r="AD44" s="15" t="str">
        <f t="shared" ca="1" si="0"/>
        <v>91520+2</v>
      </c>
      <c r="AE44" s="37">
        <f t="shared" ca="1" si="5"/>
        <v>1402</v>
      </c>
      <c r="AF44" s="15">
        <f t="shared" ca="1" si="6"/>
        <v>14</v>
      </c>
      <c r="AG44" s="15">
        <f t="shared" ca="1" si="7"/>
        <v>91520</v>
      </c>
      <c r="AH44" s="15" t="str">
        <f t="shared" ca="1" si="8"/>
        <v>{2}</v>
      </c>
      <c r="AI44" s="15">
        <f t="shared" ca="1" si="1"/>
        <v>2000</v>
      </c>
      <c r="AJ44" s="26" t="str">
        <f t="shared" ca="1" si="9"/>
        <v>普通卡材料-91520+2|20%</v>
      </c>
    </row>
    <row r="45" spans="1:36" x14ac:dyDescent="0.25">
      <c r="A45" s="14">
        <v>43</v>
      </c>
      <c r="B45" s="14" t="s">
        <v>181</v>
      </c>
      <c r="C45" s="14"/>
      <c r="D45" s="14" t="s">
        <v>170</v>
      </c>
      <c r="E45" s="14" t="s">
        <v>226</v>
      </c>
      <c r="F45" s="14" t="s">
        <v>246</v>
      </c>
      <c r="G45" s="14"/>
      <c r="H45" s="14"/>
      <c r="I45" s="14"/>
      <c r="J45" s="14"/>
      <c r="K45" s="14"/>
      <c r="L45" s="14"/>
      <c r="M45" s="14"/>
      <c r="N45" s="13"/>
      <c r="O45" s="32">
        <f t="shared" si="2"/>
        <v>0.99999999999999989</v>
      </c>
      <c r="P45" s="36">
        <v>0.7</v>
      </c>
      <c r="Q45" s="36">
        <v>0.2</v>
      </c>
      <c r="R45" s="36">
        <v>0.1</v>
      </c>
      <c r="S45" s="36"/>
      <c r="T45" s="36"/>
      <c r="U45" s="36"/>
      <c r="V45" s="36"/>
      <c r="W45" s="36"/>
      <c r="X45" s="36"/>
      <c r="Y45" s="36"/>
      <c r="Z45" s="15">
        <f t="shared" si="3"/>
        <v>3</v>
      </c>
      <c r="AA45" s="15">
        <f>SUM(Z$3:Z45)</f>
        <v>115</v>
      </c>
      <c r="AB45" s="37">
        <f t="shared" si="4"/>
        <v>15</v>
      </c>
      <c r="AC45" s="37">
        <f>COUNTIF(AB$3:AB45,AB45)</f>
        <v>3</v>
      </c>
      <c r="AD45" s="15" t="str">
        <f t="shared" ca="1" si="0"/>
        <v>91520+3</v>
      </c>
      <c r="AE45" s="37">
        <f t="shared" ca="1" si="5"/>
        <v>1403</v>
      </c>
      <c r="AF45" s="15">
        <f t="shared" ca="1" si="6"/>
        <v>14</v>
      </c>
      <c r="AG45" s="15">
        <f t="shared" ca="1" si="7"/>
        <v>91520</v>
      </c>
      <c r="AH45" s="15" t="str">
        <f t="shared" ca="1" si="8"/>
        <v>{3}</v>
      </c>
      <c r="AI45" s="15">
        <f t="shared" ca="1" si="1"/>
        <v>1000</v>
      </c>
      <c r="AJ45" s="26" t="str">
        <f t="shared" ca="1" si="9"/>
        <v>普通卡材料-91520+3|10%</v>
      </c>
    </row>
    <row r="46" spans="1:36" x14ac:dyDescent="0.25">
      <c r="A46" s="14">
        <v>44</v>
      </c>
      <c r="B46" s="14" t="s">
        <v>181</v>
      </c>
      <c r="C46" s="14"/>
      <c r="D46" s="14" t="s">
        <v>171</v>
      </c>
      <c r="E46" s="14" t="s">
        <v>227</v>
      </c>
      <c r="F46" s="14" t="s">
        <v>247</v>
      </c>
      <c r="G46" s="14"/>
      <c r="H46" s="14"/>
      <c r="I46" s="14"/>
      <c r="J46" s="14"/>
      <c r="K46" s="14"/>
      <c r="L46" s="14"/>
      <c r="M46" s="14"/>
      <c r="N46" s="13"/>
      <c r="O46" s="32">
        <f t="shared" si="2"/>
        <v>0.99999999999999989</v>
      </c>
      <c r="P46" s="36">
        <v>0.7</v>
      </c>
      <c r="Q46" s="36">
        <v>0.2</v>
      </c>
      <c r="R46" s="36">
        <v>0.1</v>
      </c>
      <c r="S46" s="36"/>
      <c r="T46" s="36"/>
      <c r="U46" s="36"/>
      <c r="V46" s="36"/>
      <c r="W46" s="36"/>
      <c r="X46" s="36"/>
      <c r="Y46" s="36"/>
      <c r="Z46" s="15">
        <f t="shared" si="3"/>
        <v>3</v>
      </c>
      <c r="AA46" s="15">
        <f>SUM(Z$3:Z46)</f>
        <v>118</v>
      </c>
      <c r="AB46" s="37">
        <f t="shared" si="4"/>
        <v>16</v>
      </c>
      <c r="AC46" s="37">
        <f>COUNTIF(AB$3:AB46,AB46)</f>
        <v>1</v>
      </c>
      <c r="AD46" s="15" t="str">
        <f t="shared" ca="1" si="0"/>
        <v>91530+1</v>
      </c>
      <c r="AE46" s="37">
        <f t="shared" ca="1" si="5"/>
        <v>1501</v>
      </c>
      <c r="AF46" s="15">
        <f t="shared" ca="1" si="6"/>
        <v>15</v>
      </c>
      <c r="AG46" s="15">
        <f t="shared" ca="1" si="7"/>
        <v>91530</v>
      </c>
      <c r="AH46" s="15" t="str">
        <f t="shared" ca="1" si="8"/>
        <v>{1}</v>
      </c>
      <c r="AI46" s="15">
        <f t="shared" ca="1" si="1"/>
        <v>7000</v>
      </c>
      <c r="AJ46" s="26" t="str">
        <f t="shared" ca="1" si="9"/>
        <v>普通卡材料-91530+1|70%</v>
      </c>
    </row>
    <row r="47" spans="1:36" x14ac:dyDescent="0.25">
      <c r="A47" s="14">
        <v>45</v>
      </c>
      <c r="B47" s="14" t="s">
        <v>181</v>
      </c>
      <c r="C47" s="14"/>
      <c r="D47" s="14" t="s">
        <v>172</v>
      </c>
      <c r="E47" s="14" t="s">
        <v>228</v>
      </c>
      <c r="F47" s="14" t="s">
        <v>248</v>
      </c>
      <c r="G47" s="14"/>
      <c r="H47" s="14"/>
      <c r="I47" s="14"/>
      <c r="J47" s="14"/>
      <c r="K47" s="14"/>
      <c r="L47" s="14"/>
      <c r="M47" s="14"/>
      <c r="N47" s="13"/>
      <c r="O47" s="32">
        <f t="shared" si="2"/>
        <v>0.99999999999999989</v>
      </c>
      <c r="P47" s="36">
        <v>0.7</v>
      </c>
      <c r="Q47" s="36">
        <v>0.2</v>
      </c>
      <c r="R47" s="36">
        <v>0.1</v>
      </c>
      <c r="S47" s="36"/>
      <c r="T47" s="36"/>
      <c r="U47" s="36"/>
      <c r="V47" s="36"/>
      <c r="W47" s="36"/>
      <c r="X47" s="36"/>
      <c r="Y47" s="36"/>
      <c r="Z47" s="15">
        <f t="shared" si="3"/>
        <v>3</v>
      </c>
      <c r="AA47" s="15">
        <f>SUM(Z$3:Z47)</f>
        <v>121</v>
      </c>
      <c r="AB47" s="37">
        <f t="shared" si="4"/>
        <v>16</v>
      </c>
      <c r="AC47" s="37">
        <f>COUNTIF(AB$3:AB47,AB47)</f>
        <v>2</v>
      </c>
      <c r="AD47" s="15" t="str">
        <f t="shared" ca="1" si="0"/>
        <v>91530+2</v>
      </c>
      <c r="AE47" s="37">
        <f t="shared" ca="1" si="5"/>
        <v>1502</v>
      </c>
      <c r="AF47" s="15">
        <f t="shared" ca="1" si="6"/>
        <v>15</v>
      </c>
      <c r="AG47" s="15">
        <f t="shared" ca="1" si="7"/>
        <v>91530</v>
      </c>
      <c r="AH47" s="15" t="str">
        <f t="shared" ca="1" si="8"/>
        <v>{2}</v>
      </c>
      <c r="AI47" s="15">
        <f t="shared" ca="1" si="1"/>
        <v>2000</v>
      </c>
      <c r="AJ47" s="26" t="str">
        <f t="shared" ca="1" si="9"/>
        <v>普通卡材料-91530+2|20%</v>
      </c>
    </row>
    <row r="48" spans="1:36" x14ac:dyDescent="0.25">
      <c r="A48" s="14">
        <v>46</v>
      </c>
      <c r="B48" s="14" t="s">
        <v>181</v>
      </c>
      <c r="C48" s="14"/>
      <c r="D48" s="14" t="s">
        <v>173</v>
      </c>
      <c r="E48" s="14" t="s">
        <v>229</v>
      </c>
      <c r="F48" s="14" t="s">
        <v>249</v>
      </c>
      <c r="G48" s="14"/>
      <c r="H48" s="14"/>
      <c r="I48" s="14"/>
      <c r="J48" s="14"/>
      <c r="K48" s="14"/>
      <c r="L48" s="14"/>
      <c r="M48" s="14"/>
      <c r="N48" s="13"/>
      <c r="O48" s="32">
        <f t="shared" si="2"/>
        <v>0.99999999999999989</v>
      </c>
      <c r="P48" s="36">
        <v>0.7</v>
      </c>
      <c r="Q48" s="36">
        <v>0.2</v>
      </c>
      <c r="R48" s="36">
        <v>0.1</v>
      </c>
      <c r="S48" s="36"/>
      <c r="T48" s="36"/>
      <c r="U48" s="36"/>
      <c r="V48" s="36"/>
      <c r="W48" s="36"/>
      <c r="X48" s="36"/>
      <c r="Y48" s="36"/>
      <c r="Z48" s="15">
        <f t="shared" si="3"/>
        <v>3</v>
      </c>
      <c r="AA48" s="15">
        <f>SUM(Z$3:Z48)</f>
        <v>124</v>
      </c>
      <c r="AB48" s="37">
        <f t="shared" si="4"/>
        <v>16</v>
      </c>
      <c r="AC48" s="37">
        <f>COUNTIF(AB$3:AB48,AB48)</f>
        <v>3</v>
      </c>
      <c r="AD48" s="15" t="str">
        <f t="shared" ca="1" si="0"/>
        <v>91530+3</v>
      </c>
      <c r="AE48" s="37">
        <f t="shared" ca="1" si="5"/>
        <v>1503</v>
      </c>
      <c r="AF48" s="15">
        <f t="shared" ca="1" si="6"/>
        <v>15</v>
      </c>
      <c r="AG48" s="15">
        <f t="shared" ca="1" si="7"/>
        <v>91530</v>
      </c>
      <c r="AH48" s="15" t="str">
        <f t="shared" ca="1" si="8"/>
        <v>{3}</v>
      </c>
      <c r="AI48" s="15">
        <f t="shared" ca="1" si="1"/>
        <v>1000</v>
      </c>
      <c r="AJ48" s="26" t="str">
        <f t="shared" ca="1" si="9"/>
        <v>普通卡材料-91530+3|10%</v>
      </c>
    </row>
    <row r="49" spans="1:36" x14ac:dyDescent="0.25">
      <c r="A49" s="14">
        <v>47</v>
      </c>
      <c r="B49" s="14" t="s">
        <v>181</v>
      </c>
      <c r="C49" s="14"/>
      <c r="D49" s="14" t="s">
        <v>174</v>
      </c>
      <c r="E49" s="14" t="s">
        <v>230</v>
      </c>
      <c r="F49" s="14" t="s">
        <v>250</v>
      </c>
      <c r="G49" s="14"/>
      <c r="H49" s="14"/>
      <c r="I49" s="14"/>
      <c r="J49" s="14"/>
      <c r="K49" s="14"/>
      <c r="L49" s="14"/>
      <c r="M49" s="14"/>
      <c r="N49" s="13"/>
      <c r="O49" s="32">
        <f t="shared" si="2"/>
        <v>0.99999999999999989</v>
      </c>
      <c r="P49" s="36">
        <v>0.7</v>
      </c>
      <c r="Q49" s="36">
        <v>0.2</v>
      </c>
      <c r="R49" s="36">
        <v>0.1</v>
      </c>
      <c r="S49" s="36"/>
      <c r="T49" s="36"/>
      <c r="U49" s="36"/>
      <c r="V49" s="36"/>
      <c r="W49" s="36"/>
      <c r="X49" s="36"/>
      <c r="Y49" s="36"/>
      <c r="Z49" s="15">
        <f t="shared" si="3"/>
        <v>3</v>
      </c>
      <c r="AA49" s="15">
        <f>SUM(Z$3:Z49)</f>
        <v>127</v>
      </c>
      <c r="AB49" s="37">
        <f t="shared" si="4"/>
        <v>17</v>
      </c>
      <c r="AC49" s="37">
        <f>COUNTIF(AB$3:AB49,AB49)</f>
        <v>1</v>
      </c>
      <c r="AD49" s="15" t="str">
        <f t="shared" ca="1" si="0"/>
        <v>91540+1</v>
      </c>
      <c r="AE49" s="37">
        <f t="shared" ca="1" si="5"/>
        <v>1601</v>
      </c>
      <c r="AF49" s="15">
        <f t="shared" ca="1" si="6"/>
        <v>16</v>
      </c>
      <c r="AG49" s="15">
        <f t="shared" ca="1" si="7"/>
        <v>91540</v>
      </c>
      <c r="AH49" s="15" t="str">
        <f t="shared" ca="1" si="8"/>
        <v>{1}</v>
      </c>
      <c r="AI49" s="15">
        <f t="shared" ca="1" si="1"/>
        <v>7000</v>
      </c>
      <c r="AJ49" s="26" t="str">
        <f t="shared" ca="1" si="9"/>
        <v>普通卡材料-91540+1|70%</v>
      </c>
    </row>
    <row r="50" spans="1:36" x14ac:dyDescent="0.25">
      <c r="A50" s="14">
        <v>48</v>
      </c>
      <c r="B50" s="14" t="s">
        <v>181</v>
      </c>
      <c r="C50" s="14"/>
      <c r="D50" s="14" t="s">
        <v>175</v>
      </c>
      <c r="E50" s="14" t="s">
        <v>231</v>
      </c>
      <c r="F50" s="14" t="s">
        <v>251</v>
      </c>
      <c r="G50" s="14"/>
      <c r="H50" s="14"/>
      <c r="I50" s="14"/>
      <c r="J50" s="14"/>
      <c r="K50" s="14"/>
      <c r="L50" s="14"/>
      <c r="M50" s="14"/>
      <c r="N50" s="13"/>
      <c r="O50" s="32">
        <f t="shared" si="2"/>
        <v>0.99999999999999989</v>
      </c>
      <c r="P50" s="36">
        <v>0.7</v>
      </c>
      <c r="Q50" s="36">
        <v>0.2</v>
      </c>
      <c r="R50" s="36">
        <v>0.1</v>
      </c>
      <c r="S50" s="36"/>
      <c r="T50" s="36"/>
      <c r="U50" s="36"/>
      <c r="V50" s="36"/>
      <c r="W50" s="36"/>
      <c r="X50" s="36"/>
      <c r="Y50" s="36"/>
      <c r="Z50" s="15">
        <f t="shared" si="3"/>
        <v>3</v>
      </c>
      <c r="AA50" s="15">
        <f>SUM(Z$3:Z50)</f>
        <v>130</v>
      </c>
      <c r="AB50" s="37">
        <f t="shared" si="4"/>
        <v>17</v>
      </c>
      <c r="AC50" s="37">
        <f>COUNTIF(AB$3:AB50,AB50)</f>
        <v>2</v>
      </c>
      <c r="AD50" s="15" t="str">
        <f t="shared" ca="1" si="0"/>
        <v>91540+2</v>
      </c>
      <c r="AE50" s="37">
        <f t="shared" ca="1" si="5"/>
        <v>1602</v>
      </c>
      <c r="AF50" s="15">
        <f t="shared" ca="1" si="6"/>
        <v>16</v>
      </c>
      <c r="AG50" s="15">
        <f t="shared" ca="1" si="7"/>
        <v>91540</v>
      </c>
      <c r="AH50" s="15" t="str">
        <f t="shared" ca="1" si="8"/>
        <v>{2}</v>
      </c>
      <c r="AI50" s="15">
        <f t="shared" ca="1" si="1"/>
        <v>2000</v>
      </c>
      <c r="AJ50" s="26" t="str">
        <f t="shared" ca="1" si="9"/>
        <v>普通卡材料-91540+2|20%</v>
      </c>
    </row>
    <row r="51" spans="1:36" x14ac:dyDescent="0.25">
      <c r="A51" s="14">
        <v>49</v>
      </c>
      <c r="B51" s="14" t="s">
        <v>181</v>
      </c>
      <c r="C51" s="14"/>
      <c r="D51" s="14" t="s">
        <v>176</v>
      </c>
      <c r="E51" s="14" t="s">
        <v>232</v>
      </c>
      <c r="F51" s="14" t="s">
        <v>252</v>
      </c>
      <c r="G51" s="14"/>
      <c r="H51" s="14"/>
      <c r="I51" s="14"/>
      <c r="J51" s="14"/>
      <c r="K51" s="14"/>
      <c r="L51" s="14"/>
      <c r="M51" s="14"/>
      <c r="N51" s="13"/>
      <c r="O51" s="32">
        <f t="shared" si="2"/>
        <v>0.99999999999999989</v>
      </c>
      <c r="P51" s="36">
        <v>0.7</v>
      </c>
      <c r="Q51" s="36">
        <v>0.2</v>
      </c>
      <c r="R51" s="36">
        <v>0.1</v>
      </c>
      <c r="S51" s="36"/>
      <c r="T51" s="36"/>
      <c r="U51" s="36"/>
      <c r="V51" s="36"/>
      <c r="W51" s="36"/>
      <c r="X51" s="36"/>
      <c r="Y51" s="36"/>
      <c r="Z51" s="15">
        <f t="shared" si="3"/>
        <v>3</v>
      </c>
      <c r="AA51" s="15">
        <f>SUM(Z$3:Z51)</f>
        <v>133</v>
      </c>
      <c r="AB51" s="37">
        <f t="shared" si="4"/>
        <v>17</v>
      </c>
      <c r="AC51" s="37">
        <f>COUNTIF(AB$3:AB51,AB51)</f>
        <v>3</v>
      </c>
      <c r="AD51" s="15" t="str">
        <f t="shared" ca="1" si="0"/>
        <v>91540+3</v>
      </c>
      <c r="AE51" s="37">
        <f t="shared" ca="1" si="5"/>
        <v>1603</v>
      </c>
      <c r="AF51" s="15">
        <f t="shared" ca="1" si="6"/>
        <v>16</v>
      </c>
      <c r="AG51" s="15">
        <f t="shared" ca="1" si="7"/>
        <v>91540</v>
      </c>
      <c r="AH51" s="15" t="str">
        <f t="shared" ca="1" si="8"/>
        <v>{3}</v>
      </c>
      <c r="AI51" s="15">
        <f t="shared" ca="1" si="1"/>
        <v>1000</v>
      </c>
      <c r="AJ51" s="26" t="str">
        <f t="shared" ca="1" si="9"/>
        <v>普通卡材料-91540+3|10%</v>
      </c>
    </row>
    <row r="52" spans="1:36" x14ac:dyDescent="0.25">
      <c r="A52" s="14">
        <v>50</v>
      </c>
      <c r="B52" s="14" t="s">
        <v>181</v>
      </c>
      <c r="C52" s="14"/>
      <c r="D52" s="14" t="s">
        <v>177</v>
      </c>
      <c r="E52" s="14" t="s">
        <v>233</v>
      </c>
      <c r="F52" s="14" t="s">
        <v>253</v>
      </c>
      <c r="G52" s="14"/>
      <c r="H52" s="14"/>
      <c r="I52" s="14"/>
      <c r="J52" s="14"/>
      <c r="K52" s="14"/>
      <c r="L52" s="14"/>
      <c r="M52" s="14"/>
      <c r="N52" s="13"/>
      <c r="O52" s="32">
        <f t="shared" si="2"/>
        <v>0.99999999999999989</v>
      </c>
      <c r="P52" s="36">
        <v>0.7</v>
      </c>
      <c r="Q52" s="36">
        <v>0.2</v>
      </c>
      <c r="R52" s="36">
        <v>0.1</v>
      </c>
      <c r="S52" s="36"/>
      <c r="T52" s="36"/>
      <c r="U52" s="36"/>
      <c r="V52" s="36"/>
      <c r="W52" s="36"/>
      <c r="X52" s="36"/>
      <c r="Y52" s="36"/>
      <c r="Z52" s="15">
        <f t="shared" si="3"/>
        <v>3</v>
      </c>
      <c r="AA52" s="15">
        <f>SUM(Z$3:Z52)</f>
        <v>136</v>
      </c>
      <c r="AB52" s="37">
        <f t="shared" si="4"/>
        <v>18</v>
      </c>
      <c r="AC52" s="37">
        <f>COUNTIF(AB$3:AB52,AB52)</f>
        <v>1</v>
      </c>
      <c r="AD52" s="15" t="str">
        <f t="shared" ca="1" si="0"/>
        <v>91620+1</v>
      </c>
      <c r="AE52" s="37">
        <f t="shared" ca="1" si="5"/>
        <v>1701</v>
      </c>
      <c r="AF52" s="15">
        <f t="shared" ca="1" si="6"/>
        <v>17</v>
      </c>
      <c r="AG52" s="15">
        <f t="shared" ca="1" si="7"/>
        <v>91620</v>
      </c>
      <c r="AH52" s="15" t="str">
        <f t="shared" ca="1" si="8"/>
        <v>{1}</v>
      </c>
      <c r="AI52" s="15">
        <f t="shared" ca="1" si="1"/>
        <v>7000</v>
      </c>
      <c r="AJ52" s="26" t="str">
        <f t="shared" ca="1" si="9"/>
        <v>普通卡材料-91620+1|70%</v>
      </c>
    </row>
    <row r="53" spans="1:36" x14ac:dyDescent="0.25">
      <c r="A53" s="14">
        <v>51</v>
      </c>
      <c r="B53" s="14" t="s">
        <v>181</v>
      </c>
      <c r="C53" s="14"/>
      <c r="D53" s="14" t="s">
        <v>178</v>
      </c>
      <c r="E53" s="14" t="s">
        <v>234</v>
      </c>
      <c r="F53" s="14" t="s">
        <v>254</v>
      </c>
      <c r="G53" s="14"/>
      <c r="H53" s="14"/>
      <c r="I53" s="14"/>
      <c r="J53" s="14"/>
      <c r="K53" s="14"/>
      <c r="L53" s="14"/>
      <c r="M53" s="14"/>
      <c r="N53" s="13"/>
      <c r="O53" s="32">
        <f t="shared" si="2"/>
        <v>0.99999999999999989</v>
      </c>
      <c r="P53" s="36">
        <v>0.7</v>
      </c>
      <c r="Q53" s="36">
        <v>0.2</v>
      </c>
      <c r="R53" s="36">
        <v>0.1</v>
      </c>
      <c r="S53" s="36"/>
      <c r="T53" s="36"/>
      <c r="U53" s="36"/>
      <c r="V53" s="36"/>
      <c r="W53" s="36"/>
      <c r="X53" s="36"/>
      <c r="Y53" s="36"/>
      <c r="Z53" s="15">
        <f t="shared" si="3"/>
        <v>3</v>
      </c>
      <c r="AA53" s="15">
        <f>SUM(Z$3:Z53)</f>
        <v>139</v>
      </c>
      <c r="AB53" s="37">
        <f t="shared" si="4"/>
        <v>18</v>
      </c>
      <c r="AC53" s="37">
        <f>COUNTIF(AB$3:AB53,AB53)</f>
        <v>2</v>
      </c>
      <c r="AD53" s="15" t="str">
        <f t="shared" ca="1" si="0"/>
        <v>91620+2</v>
      </c>
      <c r="AE53" s="37">
        <f t="shared" ca="1" si="5"/>
        <v>1702</v>
      </c>
      <c r="AF53" s="15">
        <f t="shared" ca="1" si="6"/>
        <v>17</v>
      </c>
      <c r="AG53" s="15">
        <f t="shared" ca="1" si="7"/>
        <v>91620</v>
      </c>
      <c r="AH53" s="15" t="str">
        <f t="shared" ca="1" si="8"/>
        <v>{2}</v>
      </c>
      <c r="AI53" s="15">
        <f t="shared" ca="1" si="1"/>
        <v>2000</v>
      </c>
      <c r="AJ53" s="26" t="str">
        <f t="shared" ca="1" si="9"/>
        <v>普通卡材料-91620+2|20%</v>
      </c>
    </row>
    <row r="54" spans="1:36" x14ac:dyDescent="0.25">
      <c r="A54" s="14">
        <v>52</v>
      </c>
      <c r="B54" s="14" t="s">
        <v>181</v>
      </c>
      <c r="C54" s="14"/>
      <c r="D54" s="14" t="s">
        <v>179</v>
      </c>
      <c r="E54" s="14" t="s">
        <v>235</v>
      </c>
      <c r="F54" s="14" t="s">
        <v>255</v>
      </c>
      <c r="G54" s="14"/>
      <c r="H54" s="14"/>
      <c r="I54" s="14"/>
      <c r="J54" s="14"/>
      <c r="K54" s="14"/>
      <c r="L54" s="14"/>
      <c r="M54" s="14"/>
      <c r="N54" s="13"/>
      <c r="O54" s="32">
        <f t="shared" si="2"/>
        <v>0.99999999999999989</v>
      </c>
      <c r="P54" s="36">
        <v>0.7</v>
      </c>
      <c r="Q54" s="36">
        <v>0.2</v>
      </c>
      <c r="R54" s="36">
        <v>0.1</v>
      </c>
      <c r="S54" s="36"/>
      <c r="T54" s="36"/>
      <c r="U54" s="36"/>
      <c r="V54" s="36"/>
      <c r="W54" s="36"/>
      <c r="X54" s="36"/>
      <c r="Y54" s="36"/>
      <c r="Z54" s="15">
        <f t="shared" si="3"/>
        <v>3</v>
      </c>
      <c r="AA54" s="15">
        <f>SUM(Z$3:Z54)</f>
        <v>142</v>
      </c>
      <c r="AB54" s="37">
        <f t="shared" si="4"/>
        <v>18</v>
      </c>
      <c r="AC54" s="37">
        <f>COUNTIF(AB$3:AB54,AB54)</f>
        <v>3</v>
      </c>
      <c r="AD54" s="15" t="str">
        <f t="shared" ca="1" si="0"/>
        <v>91620+3</v>
      </c>
      <c r="AE54" s="37">
        <f t="shared" ca="1" si="5"/>
        <v>1703</v>
      </c>
      <c r="AF54" s="15">
        <f t="shared" ca="1" si="6"/>
        <v>17</v>
      </c>
      <c r="AG54" s="15">
        <f t="shared" ca="1" si="7"/>
        <v>91620</v>
      </c>
      <c r="AH54" s="15" t="str">
        <f t="shared" ca="1" si="8"/>
        <v>{3}</v>
      </c>
      <c r="AI54" s="15">
        <f t="shared" ca="1" si="1"/>
        <v>1000</v>
      </c>
      <c r="AJ54" s="26" t="str">
        <f t="shared" ca="1" si="9"/>
        <v>普通卡材料-91620+3|10%</v>
      </c>
    </row>
    <row r="55" spans="1:36" x14ac:dyDescent="0.25">
      <c r="A55" s="14">
        <v>53</v>
      </c>
      <c r="B55" s="14" t="s">
        <v>181</v>
      </c>
      <c r="C55" s="14"/>
      <c r="D55" s="14" t="s">
        <v>180</v>
      </c>
      <c r="E55" s="14" t="s">
        <v>236</v>
      </c>
      <c r="F55" s="14" t="s">
        <v>256</v>
      </c>
      <c r="G55" s="14"/>
      <c r="H55" s="14"/>
      <c r="I55" s="14"/>
      <c r="J55" s="14"/>
      <c r="K55" s="14"/>
      <c r="L55" s="14"/>
      <c r="M55" s="14"/>
      <c r="N55" s="13"/>
      <c r="O55" s="32">
        <f t="shared" si="2"/>
        <v>0.99999999999999989</v>
      </c>
      <c r="P55" s="36">
        <v>0.7</v>
      </c>
      <c r="Q55" s="36">
        <v>0.2</v>
      </c>
      <c r="R55" s="36">
        <v>0.1</v>
      </c>
      <c r="S55" s="36"/>
      <c r="T55" s="36"/>
      <c r="U55" s="36"/>
      <c r="V55" s="36"/>
      <c r="W55" s="36"/>
      <c r="X55" s="36"/>
      <c r="Y55" s="36"/>
      <c r="Z55" s="15">
        <f t="shared" si="3"/>
        <v>3</v>
      </c>
      <c r="AA55" s="15">
        <f>SUM(Z$3:Z55)</f>
        <v>145</v>
      </c>
      <c r="AB55" s="37">
        <f t="shared" si="4"/>
        <v>19</v>
      </c>
      <c r="AC55" s="37">
        <f>COUNTIF(AB$3:AB55,AB55)</f>
        <v>1</v>
      </c>
      <c r="AD55" s="15" t="str">
        <f t="shared" ca="1" si="0"/>
        <v>91630+1</v>
      </c>
      <c r="AE55" s="37">
        <f t="shared" ca="1" si="5"/>
        <v>1801</v>
      </c>
      <c r="AF55" s="15">
        <f t="shared" ca="1" si="6"/>
        <v>18</v>
      </c>
      <c r="AG55" s="15">
        <f t="shared" ca="1" si="7"/>
        <v>91630</v>
      </c>
      <c r="AH55" s="15" t="str">
        <f t="shared" ca="1" si="8"/>
        <v>{1}</v>
      </c>
      <c r="AI55" s="15">
        <f t="shared" ca="1" si="1"/>
        <v>7000</v>
      </c>
      <c r="AJ55" s="26" t="str">
        <f t="shared" ca="1" si="9"/>
        <v>普通卡材料-91630+1|70%</v>
      </c>
    </row>
    <row r="56" spans="1:36" x14ac:dyDescent="0.25">
      <c r="A56" s="14">
        <v>54</v>
      </c>
      <c r="B56" s="14" t="s">
        <v>186</v>
      </c>
      <c r="C56" s="14"/>
      <c r="D56" s="14" t="s">
        <v>197</v>
      </c>
      <c r="E56" s="14" t="s">
        <v>198</v>
      </c>
      <c r="F56" s="14" t="s">
        <v>189</v>
      </c>
      <c r="G56" s="14" t="s">
        <v>190</v>
      </c>
      <c r="H56" s="14"/>
      <c r="I56" s="14"/>
      <c r="J56" s="14"/>
      <c r="K56" s="14"/>
      <c r="L56" s="14"/>
      <c r="M56" s="14"/>
      <c r="N56" s="13"/>
      <c r="O56" s="32">
        <f t="shared" si="2"/>
        <v>1</v>
      </c>
      <c r="P56" s="36">
        <v>0.1</v>
      </c>
      <c r="Q56" s="36">
        <v>0.4</v>
      </c>
      <c r="R56" s="36">
        <v>0.4</v>
      </c>
      <c r="S56" s="36">
        <v>0.1</v>
      </c>
      <c r="T56" s="36"/>
      <c r="U56" s="36"/>
      <c r="V56" s="36"/>
      <c r="W56" s="36"/>
      <c r="X56" s="36"/>
      <c r="Y56" s="36"/>
      <c r="Z56" s="15">
        <f t="shared" si="3"/>
        <v>4</v>
      </c>
      <c r="AA56" s="15">
        <f>SUM(Z$3:Z56)</f>
        <v>149</v>
      </c>
      <c r="AB56" s="37">
        <f t="shared" si="4"/>
        <v>19</v>
      </c>
      <c r="AC56" s="37">
        <f>COUNTIF(AB$3:AB56,AB56)</f>
        <v>2</v>
      </c>
      <c r="AD56" s="15" t="str">
        <f t="shared" ca="1" si="0"/>
        <v>91630+2</v>
      </c>
      <c r="AE56" s="37">
        <f t="shared" ca="1" si="5"/>
        <v>1802</v>
      </c>
      <c r="AF56" s="15">
        <f t="shared" ca="1" si="6"/>
        <v>18</v>
      </c>
      <c r="AG56" s="15">
        <f t="shared" ca="1" si="7"/>
        <v>91630</v>
      </c>
      <c r="AH56" s="15" t="str">
        <f t="shared" ca="1" si="8"/>
        <v>{2}</v>
      </c>
      <c r="AI56" s="15">
        <f t="shared" ca="1" si="1"/>
        <v>2000</v>
      </c>
      <c r="AJ56" s="26" t="str">
        <f t="shared" ca="1" si="9"/>
        <v>普通卡材料-91630+2|20%</v>
      </c>
    </row>
    <row r="57" spans="1:36" x14ac:dyDescent="0.25">
      <c r="A57" s="14">
        <v>55</v>
      </c>
      <c r="B57" s="14" t="s">
        <v>187</v>
      </c>
      <c r="C57" s="14"/>
      <c r="D57" s="14" t="s">
        <v>200</v>
      </c>
      <c r="E57" s="14" t="s">
        <v>201</v>
      </c>
      <c r="F57" s="14" t="s">
        <v>199</v>
      </c>
      <c r="G57" s="14"/>
      <c r="H57" s="14"/>
      <c r="I57" s="14"/>
      <c r="J57" s="14"/>
      <c r="K57" s="14"/>
      <c r="L57" s="14"/>
      <c r="M57" s="14"/>
      <c r="N57" s="13"/>
      <c r="O57" s="32">
        <f t="shared" si="2"/>
        <v>1</v>
      </c>
      <c r="P57" s="36">
        <v>0.1</v>
      </c>
      <c r="Q57" s="36">
        <v>0.8</v>
      </c>
      <c r="R57" s="36">
        <v>0.1</v>
      </c>
      <c r="S57" s="36"/>
      <c r="T57" s="36"/>
      <c r="U57" s="36"/>
      <c r="V57" s="36"/>
      <c r="W57" s="36"/>
      <c r="X57" s="36"/>
      <c r="Y57" s="36"/>
      <c r="Z57" s="15">
        <f t="shared" si="3"/>
        <v>3</v>
      </c>
      <c r="AA57" s="15">
        <f>SUM(Z$3:Z57)</f>
        <v>152</v>
      </c>
      <c r="AB57" s="37">
        <f t="shared" si="4"/>
        <v>19</v>
      </c>
      <c r="AC57" s="37">
        <f>COUNTIF(AB$3:AB57,AB57)</f>
        <v>3</v>
      </c>
      <c r="AD57" s="15" t="str">
        <f t="shared" ca="1" si="0"/>
        <v>91630+3</v>
      </c>
      <c r="AE57" s="37">
        <f t="shared" ca="1" si="5"/>
        <v>1803</v>
      </c>
      <c r="AF57" s="15">
        <f t="shared" ca="1" si="6"/>
        <v>18</v>
      </c>
      <c r="AG57" s="15">
        <f t="shared" ca="1" si="7"/>
        <v>91630</v>
      </c>
      <c r="AH57" s="15" t="str">
        <f t="shared" ca="1" si="8"/>
        <v>{3}</v>
      </c>
      <c r="AI57" s="15">
        <f t="shared" ca="1" si="1"/>
        <v>1000</v>
      </c>
      <c r="AJ57" s="26" t="str">
        <f t="shared" ca="1" si="9"/>
        <v>普通卡材料-91630+3|10%</v>
      </c>
    </row>
    <row r="58" spans="1:36" x14ac:dyDescent="0.25">
      <c r="A58" s="14">
        <v>56</v>
      </c>
      <c r="B58" s="14" t="s">
        <v>187</v>
      </c>
      <c r="C58" s="14"/>
      <c r="D58" s="14" t="s">
        <v>202</v>
      </c>
      <c r="E58" s="14" t="s">
        <v>203</v>
      </c>
      <c r="F58" s="14" t="s">
        <v>204</v>
      </c>
      <c r="G58" s="14"/>
      <c r="H58" s="14"/>
      <c r="I58" s="14"/>
      <c r="J58" s="14"/>
      <c r="K58" s="14"/>
      <c r="L58" s="14"/>
      <c r="M58" s="14"/>
      <c r="N58" s="13"/>
      <c r="O58" s="32">
        <f t="shared" si="2"/>
        <v>1</v>
      </c>
      <c r="P58" s="36">
        <v>0.1</v>
      </c>
      <c r="Q58" s="36">
        <v>0.8</v>
      </c>
      <c r="R58" s="36">
        <v>0.1</v>
      </c>
      <c r="S58" s="36"/>
      <c r="T58" s="36"/>
      <c r="U58" s="36"/>
      <c r="V58" s="36"/>
      <c r="W58" s="36"/>
      <c r="X58" s="36"/>
      <c r="Y58" s="36"/>
      <c r="Z58" s="15">
        <f t="shared" si="3"/>
        <v>3</v>
      </c>
      <c r="AA58" s="15">
        <f>SUM(Z$3:Z58)</f>
        <v>155</v>
      </c>
      <c r="AB58" s="37">
        <f t="shared" si="4"/>
        <v>20</v>
      </c>
      <c r="AC58" s="37">
        <f>COUNTIF(AB$3:AB58,AB58)</f>
        <v>1</v>
      </c>
      <c r="AD58" s="15" t="str">
        <f t="shared" ca="1" si="0"/>
        <v>91640+1</v>
      </c>
      <c r="AE58" s="37">
        <f t="shared" ca="1" si="5"/>
        <v>1901</v>
      </c>
      <c r="AF58" s="15">
        <f t="shared" ca="1" si="6"/>
        <v>19</v>
      </c>
      <c r="AG58" s="15">
        <f t="shared" ca="1" si="7"/>
        <v>91640</v>
      </c>
      <c r="AH58" s="15" t="str">
        <f t="shared" ca="1" si="8"/>
        <v>{1}</v>
      </c>
      <c r="AI58" s="15">
        <f t="shared" ca="1" si="1"/>
        <v>7000</v>
      </c>
      <c r="AJ58" s="26" t="str">
        <f t="shared" ca="1" si="9"/>
        <v>普通卡材料-91640+1|70%</v>
      </c>
    </row>
    <row r="59" spans="1:36" x14ac:dyDescent="0.25">
      <c r="A59" s="14">
        <v>57</v>
      </c>
      <c r="B59" s="14" t="s">
        <v>187</v>
      </c>
      <c r="C59" s="14"/>
      <c r="D59" s="14" t="s">
        <v>188</v>
      </c>
      <c r="E59" s="14" t="s">
        <v>205</v>
      </c>
      <c r="F59" s="14" t="s">
        <v>206</v>
      </c>
      <c r="G59" s="14"/>
      <c r="H59" s="14"/>
      <c r="I59" s="14"/>
      <c r="J59" s="14"/>
      <c r="K59" s="14"/>
      <c r="L59" s="14"/>
      <c r="M59" s="14"/>
      <c r="N59" s="13"/>
      <c r="O59" s="32">
        <f t="shared" si="2"/>
        <v>1</v>
      </c>
      <c r="P59" s="36">
        <v>0.1</v>
      </c>
      <c r="Q59" s="36">
        <v>0.8</v>
      </c>
      <c r="R59" s="36">
        <v>0.1</v>
      </c>
      <c r="S59" s="36"/>
      <c r="T59" s="36"/>
      <c r="U59" s="36"/>
      <c r="V59" s="36"/>
      <c r="W59" s="36"/>
      <c r="X59" s="36"/>
      <c r="Y59" s="36"/>
      <c r="Z59" s="15">
        <f t="shared" si="3"/>
        <v>3</v>
      </c>
      <c r="AA59" s="15">
        <f>SUM(Z$3:Z59)</f>
        <v>158</v>
      </c>
      <c r="AB59" s="37">
        <f t="shared" si="4"/>
        <v>20</v>
      </c>
      <c r="AC59" s="37">
        <f>COUNTIF(AB$3:AB59,AB59)</f>
        <v>2</v>
      </c>
      <c r="AD59" s="15" t="str">
        <f t="shared" ca="1" si="0"/>
        <v>91640+2</v>
      </c>
      <c r="AE59" s="37">
        <f t="shared" ca="1" si="5"/>
        <v>1902</v>
      </c>
      <c r="AF59" s="15">
        <f t="shared" ca="1" si="6"/>
        <v>19</v>
      </c>
      <c r="AG59" s="15">
        <f t="shared" ca="1" si="7"/>
        <v>91640</v>
      </c>
      <c r="AH59" s="15" t="str">
        <f t="shared" ca="1" si="8"/>
        <v>{2}</v>
      </c>
      <c r="AI59" s="15">
        <f t="shared" ca="1" si="1"/>
        <v>2000</v>
      </c>
      <c r="AJ59" s="26" t="str">
        <f t="shared" ca="1" si="9"/>
        <v>普通卡材料-91640+2|20%</v>
      </c>
    </row>
    <row r="60" spans="1:36" x14ac:dyDescent="0.25">
      <c r="A60" s="14">
        <v>58</v>
      </c>
      <c r="B60" s="14" t="s">
        <v>187</v>
      </c>
      <c r="C60" s="14"/>
      <c r="D60" s="14" t="s">
        <v>207</v>
      </c>
      <c r="E60" s="14" t="s">
        <v>208</v>
      </c>
      <c r="F60" s="14" t="s">
        <v>191</v>
      </c>
      <c r="G60" s="14"/>
      <c r="H60" s="14"/>
      <c r="I60" s="14"/>
      <c r="J60" s="14"/>
      <c r="K60" s="14"/>
      <c r="L60" s="14"/>
      <c r="M60" s="14"/>
      <c r="N60" s="13"/>
      <c r="O60" s="32">
        <f t="shared" si="2"/>
        <v>1</v>
      </c>
      <c r="P60" s="36">
        <v>0.1</v>
      </c>
      <c r="Q60" s="36">
        <v>0.8</v>
      </c>
      <c r="R60" s="36">
        <v>0.1</v>
      </c>
      <c r="S60" s="36"/>
      <c r="T60" s="36"/>
      <c r="U60" s="36"/>
      <c r="V60" s="36"/>
      <c r="W60" s="36"/>
      <c r="X60" s="36"/>
      <c r="Y60" s="36"/>
      <c r="Z60" s="15">
        <f t="shared" si="3"/>
        <v>3</v>
      </c>
      <c r="AA60" s="15">
        <f>SUM(Z$3:Z60)</f>
        <v>161</v>
      </c>
      <c r="AB60" s="37">
        <f t="shared" si="4"/>
        <v>20</v>
      </c>
      <c r="AC60" s="37">
        <f>COUNTIF(AB$3:AB60,AB60)</f>
        <v>3</v>
      </c>
      <c r="AD60" s="15" t="str">
        <f t="shared" ca="1" si="0"/>
        <v>91640+3</v>
      </c>
      <c r="AE60" s="37">
        <f t="shared" ca="1" si="5"/>
        <v>1903</v>
      </c>
      <c r="AF60" s="15">
        <f t="shared" ca="1" si="6"/>
        <v>19</v>
      </c>
      <c r="AG60" s="15">
        <f t="shared" ca="1" si="7"/>
        <v>91640</v>
      </c>
      <c r="AH60" s="15" t="str">
        <f t="shared" ca="1" si="8"/>
        <v>{3}</v>
      </c>
      <c r="AI60" s="15">
        <f t="shared" ca="1" si="1"/>
        <v>1000</v>
      </c>
      <c r="AJ60" s="26" t="str">
        <f t="shared" ca="1" si="9"/>
        <v>普通卡材料-91640+3|10%</v>
      </c>
    </row>
    <row r="61" spans="1:36" x14ac:dyDescent="0.25">
      <c r="A61" s="14">
        <v>59</v>
      </c>
      <c r="B61" s="14" t="s">
        <v>187</v>
      </c>
      <c r="C61" s="14"/>
      <c r="D61" s="14" t="s">
        <v>192</v>
      </c>
      <c r="E61" s="14" t="s">
        <v>193</v>
      </c>
      <c r="F61" s="14" t="s">
        <v>194</v>
      </c>
      <c r="G61" s="14"/>
      <c r="H61" s="14"/>
      <c r="I61" s="14"/>
      <c r="J61" s="14"/>
      <c r="K61" s="14"/>
      <c r="L61" s="14"/>
      <c r="M61" s="14"/>
      <c r="N61" s="13"/>
      <c r="O61" s="32">
        <f t="shared" si="2"/>
        <v>1</v>
      </c>
      <c r="P61" s="36">
        <v>0.1</v>
      </c>
      <c r="Q61" s="36">
        <v>0.8</v>
      </c>
      <c r="R61" s="36">
        <v>0.1</v>
      </c>
      <c r="S61" s="36"/>
      <c r="T61" s="36"/>
      <c r="U61" s="36"/>
      <c r="V61" s="36"/>
      <c r="W61" s="36"/>
      <c r="X61" s="36"/>
      <c r="Y61" s="36"/>
      <c r="Z61" s="15">
        <f t="shared" si="3"/>
        <v>3</v>
      </c>
      <c r="AA61" s="15">
        <f>SUM(Z$3:Z61)</f>
        <v>164</v>
      </c>
      <c r="AB61" s="37">
        <f t="shared" si="4"/>
        <v>21</v>
      </c>
      <c r="AC61" s="37">
        <f>COUNTIF(AB$3:AB61,AB61)</f>
        <v>1</v>
      </c>
      <c r="AD61" s="15" t="str">
        <f t="shared" ca="1" si="0"/>
        <v>91720+1</v>
      </c>
      <c r="AE61" s="37">
        <f t="shared" ca="1" si="5"/>
        <v>2001</v>
      </c>
      <c r="AF61" s="15">
        <f t="shared" ca="1" si="6"/>
        <v>20</v>
      </c>
      <c r="AG61" s="15">
        <f t="shared" ca="1" si="7"/>
        <v>91720</v>
      </c>
      <c r="AH61" s="15" t="str">
        <f t="shared" ca="1" si="8"/>
        <v>{1}</v>
      </c>
      <c r="AI61" s="15">
        <f t="shared" ca="1" si="1"/>
        <v>7000</v>
      </c>
      <c r="AJ61" s="26" t="str">
        <f t="shared" ca="1" si="9"/>
        <v>普通卡材料-91720+1|70%</v>
      </c>
    </row>
    <row r="62" spans="1:36" x14ac:dyDescent="0.25">
      <c r="A62" s="14">
        <v>60</v>
      </c>
      <c r="B62" s="14" t="s">
        <v>187</v>
      </c>
      <c r="C62" s="14"/>
      <c r="D62" s="14" t="s">
        <v>195</v>
      </c>
      <c r="E62" s="14" t="s">
        <v>196</v>
      </c>
      <c r="F62" s="14" t="s">
        <v>209</v>
      </c>
      <c r="G62" s="14"/>
      <c r="H62" s="14"/>
      <c r="I62" s="14"/>
      <c r="J62" s="14"/>
      <c r="K62" s="14"/>
      <c r="L62" s="14"/>
      <c r="M62" s="14"/>
      <c r="N62" s="13"/>
      <c r="O62" s="32">
        <f t="shared" si="2"/>
        <v>1</v>
      </c>
      <c r="P62" s="36">
        <v>0.1</v>
      </c>
      <c r="Q62" s="36">
        <v>0.8</v>
      </c>
      <c r="R62" s="36">
        <v>0.1</v>
      </c>
      <c r="S62" s="36"/>
      <c r="T62" s="36"/>
      <c r="U62" s="36"/>
      <c r="V62" s="36"/>
      <c r="W62" s="36"/>
      <c r="X62" s="36"/>
      <c r="Y62" s="36"/>
      <c r="Z62" s="15">
        <f t="shared" si="3"/>
        <v>3</v>
      </c>
      <c r="AA62" s="15">
        <f>SUM(Z$3:Z62)</f>
        <v>167</v>
      </c>
      <c r="AB62" s="37">
        <f t="shared" si="4"/>
        <v>21</v>
      </c>
      <c r="AC62" s="37">
        <f>COUNTIF(AB$3:AB62,AB62)</f>
        <v>2</v>
      </c>
      <c r="AD62" s="15" t="str">
        <f t="shared" ca="1" si="0"/>
        <v>91720+2</v>
      </c>
      <c r="AE62" s="37">
        <f t="shared" ca="1" si="5"/>
        <v>2002</v>
      </c>
      <c r="AF62" s="15">
        <f t="shared" ca="1" si="6"/>
        <v>20</v>
      </c>
      <c r="AG62" s="15">
        <f t="shared" ca="1" si="7"/>
        <v>91720</v>
      </c>
      <c r="AH62" s="15" t="str">
        <f t="shared" ca="1" si="8"/>
        <v>{2}</v>
      </c>
      <c r="AI62" s="15">
        <f t="shared" ca="1" si="1"/>
        <v>2000</v>
      </c>
      <c r="AJ62" s="26" t="str">
        <f t="shared" ca="1" si="9"/>
        <v>普通卡材料-91720+2|20%</v>
      </c>
    </row>
    <row r="63" spans="1:36" x14ac:dyDescent="0.25">
      <c r="A63" s="14">
        <v>61</v>
      </c>
      <c r="B63" s="14" t="s">
        <v>264</v>
      </c>
      <c r="C63" s="14"/>
      <c r="D63" s="14" t="s">
        <v>268</v>
      </c>
      <c r="E63" s="14"/>
      <c r="F63" s="14"/>
      <c r="G63" s="14"/>
      <c r="H63" s="14"/>
      <c r="I63" s="14"/>
      <c r="J63" s="14"/>
      <c r="K63" s="14"/>
      <c r="L63" s="14"/>
      <c r="M63" s="14"/>
      <c r="N63" s="13"/>
      <c r="O63" s="32">
        <f t="shared" si="2"/>
        <v>1</v>
      </c>
      <c r="P63" s="36">
        <v>1</v>
      </c>
      <c r="Q63" s="36"/>
      <c r="R63" s="36"/>
      <c r="S63" s="36"/>
      <c r="T63" s="36"/>
      <c r="U63" s="36"/>
      <c r="V63" s="36"/>
      <c r="W63" s="36"/>
      <c r="X63" s="36"/>
      <c r="Y63" s="36"/>
      <c r="Z63" s="15">
        <f t="shared" si="3"/>
        <v>1</v>
      </c>
      <c r="AA63" s="15">
        <f>SUM(Z$3:Z63)</f>
        <v>168</v>
      </c>
      <c r="AB63" s="37">
        <f t="shared" si="4"/>
        <v>21</v>
      </c>
      <c r="AC63" s="37">
        <f>COUNTIF(AB$3:AB63,AB63)</f>
        <v>3</v>
      </c>
      <c r="AD63" s="15" t="str">
        <f t="shared" ca="1" si="0"/>
        <v>91720+3</v>
      </c>
      <c r="AE63" s="37">
        <f t="shared" ca="1" si="5"/>
        <v>2003</v>
      </c>
      <c r="AF63" s="15">
        <f t="shared" ca="1" si="6"/>
        <v>20</v>
      </c>
      <c r="AG63" s="15">
        <f t="shared" ca="1" si="7"/>
        <v>91720</v>
      </c>
      <c r="AH63" s="15" t="str">
        <f t="shared" ca="1" si="8"/>
        <v>{3}</v>
      </c>
      <c r="AI63" s="15">
        <f t="shared" ca="1" si="1"/>
        <v>1000</v>
      </c>
      <c r="AJ63" s="26" t="str">
        <f t="shared" ca="1" si="9"/>
        <v>普通卡材料-91720+3|10%</v>
      </c>
    </row>
    <row r="64" spans="1:36" x14ac:dyDescent="0.25">
      <c r="A64" s="14">
        <v>62</v>
      </c>
      <c r="B64" s="14" t="s">
        <v>265</v>
      </c>
      <c r="C64" s="14"/>
      <c r="D64" s="14" t="s">
        <v>269</v>
      </c>
      <c r="E64" s="14" t="s">
        <v>270</v>
      </c>
      <c r="F64" s="14" t="s">
        <v>271</v>
      </c>
      <c r="G64" s="14" t="s">
        <v>272</v>
      </c>
      <c r="H64" s="14" t="s">
        <v>273</v>
      </c>
      <c r="I64" s="14"/>
      <c r="J64" s="14"/>
      <c r="K64" s="14"/>
      <c r="L64" s="14"/>
      <c r="M64" s="14"/>
      <c r="N64" s="13"/>
      <c r="O64" s="32">
        <f t="shared" si="2"/>
        <v>0.99999999999999989</v>
      </c>
      <c r="P64" s="36">
        <v>0.2</v>
      </c>
      <c r="Q64" s="36">
        <v>0.3</v>
      </c>
      <c r="R64" s="36">
        <v>0.2</v>
      </c>
      <c r="S64" s="36">
        <v>0.2</v>
      </c>
      <c r="T64" s="36">
        <v>0.1</v>
      </c>
      <c r="U64" s="36"/>
      <c r="V64" s="36"/>
      <c r="W64" s="36"/>
      <c r="X64" s="36"/>
      <c r="Y64" s="36"/>
      <c r="Z64" s="15">
        <f t="shared" si="3"/>
        <v>5</v>
      </c>
      <c r="AA64" s="15">
        <f>SUM(Z$3:Z64)</f>
        <v>173</v>
      </c>
      <c r="AB64" s="37">
        <f t="shared" si="4"/>
        <v>22</v>
      </c>
      <c r="AC64" s="37">
        <f>COUNTIF(AB$3:AB64,AB64)</f>
        <v>1</v>
      </c>
      <c r="AD64" s="15" t="str">
        <f t="shared" ca="1" si="0"/>
        <v>91730+1</v>
      </c>
      <c r="AE64" s="37">
        <f t="shared" ca="1" si="5"/>
        <v>2101</v>
      </c>
      <c r="AF64" s="15">
        <f t="shared" ca="1" si="6"/>
        <v>21</v>
      </c>
      <c r="AG64" s="15">
        <f t="shared" ca="1" si="7"/>
        <v>91730</v>
      </c>
      <c r="AH64" s="15" t="str">
        <f t="shared" ca="1" si="8"/>
        <v>{1}</v>
      </c>
      <c r="AI64" s="15">
        <f t="shared" ca="1" si="1"/>
        <v>7000</v>
      </c>
      <c r="AJ64" s="26" t="str">
        <f t="shared" ca="1" si="9"/>
        <v>普通卡材料-91730+1|70%</v>
      </c>
    </row>
    <row r="65" spans="1:36" x14ac:dyDescent="0.25">
      <c r="A65" s="14">
        <v>63</v>
      </c>
      <c r="B65" s="14" t="s">
        <v>266</v>
      </c>
      <c r="C65" s="14"/>
      <c r="D65" s="14" t="s">
        <v>274</v>
      </c>
      <c r="E65" s="14" t="s">
        <v>275</v>
      </c>
      <c r="F65" s="14" t="s">
        <v>276</v>
      </c>
      <c r="G65" s="14" t="s">
        <v>277</v>
      </c>
      <c r="H65" s="14" t="s">
        <v>278</v>
      </c>
      <c r="I65" s="14"/>
      <c r="J65" s="14"/>
      <c r="K65" s="14"/>
      <c r="L65" s="14"/>
      <c r="M65" s="14"/>
      <c r="N65" s="13"/>
      <c r="O65" s="32">
        <f t="shared" si="2"/>
        <v>0.99999999999999989</v>
      </c>
      <c r="P65" s="36">
        <v>0.2</v>
      </c>
      <c r="Q65" s="36">
        <v>0.3</v>
      </c>
      <c r="R65" s="36">
        <v>0.2</v>
      </c>
      <c r="S65" s="36">
        <v>0.2</v>
      </c>
      <c r="T65" s="36">
        <v>0.1</v>
      </c>
      <c r="U65" s="36"/>
      <c r="V65" s="36"/>
      <c r="W65" s="36"/>
      <c r="X65" s="36"/>
      <c r="Y65" s="36"/>
      <c r="Z65" s="15">
        <f t="shared" si="3"/>
        <v>5</v>
      </c>
      <c r="AA65" s="15">
        <f>SUM(Z$3:Z65)</f>
        <v>178</v>
      </c>
      <c r="AB65" s="37">
        <f t="shared" si="4"/>
        <v>22</v>
      </c>
      <c r="AC65" s="37">
        <f>COUNTIF(AB$3:AB65,AB65)</f>
        <v>2</v>
      </c>
      <c r="AD65" s="15" t="str">
        <f t="shared" ca="1" si="0"/>
        <v>91730+2</v>
      </c>
      <c r="AE65" s="37">
        <f t="shared" ca="1" si="5"/>
        <v>2102</v>
      </c>
      <c r="AF65" s="15">
        <f t="shared" ca="1" si="6"/>
        <v>21</v>
      </c>
      <c r="AG65" s="15">
        <f t="shared" ca="1" si="7"/>
        <v>91730</v>
      </c>
      <c r="AH65" s="15" t="str">
        <f t="shared" ca="1" si="8"/>
        <v>{2}</v>
      </c>
      <c r="AI65" s="15">
        <f t="shared" ca="1" si="1"/>
        <v>2000</v>
      </c>
      <c r="AJ65" s="26" t="str">
        <f t="shared" ca="1" si="9"/>
        <v>普通卡材料-91730+2|20%</v>
      </c>
    </row>
    <row r="66" spans="1:36" x14ac:dyDescent="0.25">
      <c r="A66" s="14">
        <v>64</v>
      </c>
      <c r="B66" s="14" t="s">
        <v>267</v>
      </c>
      <c r="C66" s="14"/>
      <c r="D66" s="14" t="s">
        <v>279</v>
      </c>
      <c r="E66" s="14" t="s">
        <v>280</v>
      </c>
      <c r="F66" s="14" t="s">
        <v>281</v>
      </c>
      <c r="G66" s="14" t="s">
        <v>282</v>
      </c>
      <c r="H66" s="14" t="s">
        <v>283</v>
      </c>
      <c r="I66" s="14"/>
      <c r="J66" s="14"/>
      <c r="K66" s="14"/>
      <c r="L66" s="14"/>
      <c r="M66" s="14"/>
      <c r="N66" s="13"/>
      <c r="O66" s="32">
        <f t="shared" si="2"/>
        <v>0.99999999999999989</v>
      </c>
      <c r="P66" s="36">
        <v>0.2</v>
      </c>
      <c r="Q66" s="36">
        <v>0.3</v>
      </c>
      <c r="R66" s="36">
        <v>0.2</v>
      </c>
      <c r="S66" s="36">
        <v>0.2</v>
      </c>
      <c r="T66" s="36">
        <v>0.1</v>
      </c>
      <c r="U66" s="36"/>
      <c r="V66" s="36"/>
      <c r="W66" s="36"/>
      <c r="X66" s="36"/>
      <c r="Y66" s="36"/>
      <c r="Z66" s="15">
        <f t="shared" si="3"/>
        <v>5</v>
      </c>
      <c r="AA66" s="15">
        <f>SUM(Z$3:Z66)</f>
        <v>183</v>
      </c>
      <c r="AB66" s="37">
        <f t="shared" si="4"/>
        <v>22</v>
      </c>
      <c r="AC66" s="37">
        <f>COUNTIF(AB$3:AB66,AB66)</f>
        <v>3</v>
      </c>
      <c r="AD66" s="15" t="str">
        <f t="shared" ca="1" si="0"/>
        <v>91730+3</v>
      </c>
      <c r="AE66" s="37">
        <f t="shared" ca="1" si="5"/>
        <v>2103</v>
      </c>
      <c r="AF66" s="15">
        <f t="shared" ca="1" si="6"/>
        <v>21</v>
      </c>
      <c r="AG66" s="15">
        <f t="shared" ca="1" si="7"/>
        <v>91730</v>
      </c>
      <c r="AH66" s="15" t="str">
        <f t="shared" ca="1" si="8"/>
        <v>{3}</v>
      </c>
      <c r="AI66" s="15">
        <f t="shared" ca="1" si="1"/>
        <v>1000</v>
      </c>
      <c r="AJ66" s="26" t="str">
        <f t="shared" ca="1" si="9"/>
        <v>普通卡材料-91730+3|10%</v>
      </c>
    </row>
    <row r="67" spans="1:36" x14ac:dyDescent="0.25">
      <c r="A67" s="14">
        <v>65</v>
      </c>
      <c r="B67" s="14" t="s">
        <v>284</v>
      </c>
      <c r="C67" s="14"/>
      <c r="D67" s="14" t="s">
        <v>288</v>
      </c>
      <c r="E67" s="14"/>
      <c r="F67" s="14"/>
      <c r="G67" s="14"/>
      <c r="H67" s="14"/>
      <c r="I67" s="14"/>
      <c r="J67" s="14"/>
      <c r="K67" s="14"/>
      <c r="L67" s="14"/>
      <c r="M67" s="14"/>
      <c r="N67" s="13"/>
      <c r="O67" s="32">
        <f t="shared" si="2"/>
        <v>1</v>
      </c>
      <c r="P67" s="36">
        <v>1</v>
      </c>
      <c r="Q67" s="36"/>
      <c r="R67" s="36"/>
      <c r="S67" s="36"/>
      <c r="T67" s="36"/>
      <c r="U67" s="36"/>
      <c r="V67" s="36"/>
      <c r="W67" s="36"/>
      <c r="X67" s="36"/>
      <c r="Y67" s="36"/>
      <c r="Z67" s="15">
        <f t="shared" si="3"/>
        <v>1</v>
      </c>
      <c r="AA67" s="15">
        <f>SUM(Z$3:Z67)</f>
        <v>184</v>
      </c>
      <c r="AB67" s="37">
        <f t="shared" si="4"/>
        <v>23</v>
      </c>
      <c r="AC67" s="37">
        <f>COUNTIF(AB$3:AB67,AB67)</f>
        <v>1</v>
      </c>
      <c r="AD67" s="15" t="str">
        <f t="shared" ref="AD67:AD130" ca="1" si="10">OFFSET($C$2,MATCH(AF67,$A:$A,0)-2,$AC67)</f>
        <v>91740+1</v>
      </c>
      <c r="AE67" s="37">
        <f t="shared" ca="1" si="5"/>
        <v>2201</v>
      </c>
      <c r="AF67" s="15">
        <f t="shared" ref="AF67:AF130" ca="1" si="11">IF(OFFSET(A$1,AB67,)="","无",OFFSET(A$1,AB67,))</f>
        <v>22</v>
      </c>
      <c r="AG67" s="15">
        <f t="shared" ca="1" si="7"/>
        <v>91740</v>
      </c>
      <c r="AH67" s="15" t="str">
        <f t="shared" ca="1" si="8"/>
        <v>{1}</v>
      </c>
      <c r="AI67" s="15">
        <f t="shared" ref="AI67:AI130" ca="1" si="12">IF(OFFSET($C$2,MATCH($AF67,A:A,0)-2,)="是",INT($AI$1/OFFSET($Z$2,MATCH(AF67,A:A,0)-2,)),OFFSET($O$2,MATCH($AF67,A:A,0)-2,$AC67)*$AI$1)</f>
        <v>7000</v>
      </c>
      <c r="AJ67" s="26" t="str">
        <f t="shared" ca="1" si="9"/>
        <v>普通卡材料-91740+1|70%</v>
      </c>
    </row>
    <row r="68" spans="1:36" x14ac:dyDescent="0.25">
      <c r="A68" s="14">
        <v>66</v>
      </c>
      <c r="B68" s="14" t="s">
        <v>285</v>
      </c>
      <c r="C68" s="14"/>
      <c r="D68" s="14" t="s">
        <v>289</v>
      </c>
      <c r="E68" s="14" t="s">
        <v>290</v>
      </c>
      <c r="F68" s="14" t="s">
        <v>291</v>
      </c>
      <c r="G68" s="14" t="s">
        <v>292</v>
      </c>
      <c r="H68" s="14" t="s">
        <v>293</v>
      </c>
      <c r="I68" s="14"/>
      <c r="J68" s="14"/>
      <c r="K68" s="14"/>
      <c r="L68" s="14"/>
      <c r="M68" s="14"/>
      <c r="N68" s="13"/>
      <c r="O68" s="32">
        <f t="shared" ref="O68:O131" si="13">SUM(P68:Y68)</f>
        <v>0.99999999999999989</v>
      </c>
      <c r="P68" s="36">
        <v>0.2</v>
      </c>
      <c r="Q68" s="36">
        <v>0.3</v>
      </c>
      <c r="R68" s="36">
        <v>0.2</v>
      </c>
      <c r="S68" s="36">
        <v>0.2</v>
      </c>
      <c r="T68" s="36">
        <v>0.1</v>
      </c>
      <c r="U68" s="36"/>
      <c r="V68" s="36"/>
      <c r="W68" s="36"/>
      <c r="X68" s="36"/>
      <c r="Y68" s="36"/>
      <c r="Z68" s="15">
        <f t="shared" ref="Z68:Z131" si="14">COUNTA(D68:M68)</f>
        <v>5</v>
      </c>
      <c r="AA68" s="15">
        <f>SUM(Z$3:Z68)</f>
        <v>189</v>
      </c>
      <c r="AB68" s="37">
        <f t="shared" ref="AB68:AB131" si="15">MATCH(ROW(AB66)-0.1,AA:AA,1)</f>
        <v>23</v>
      </c>
      <c r="AC68" s="37">
        <f>COUNTIF(AB$3:AB68,AB68)</f>
        <v>2</v>
      </c>
      <c r="AD68" s="15" t="str">
        <f t="shared" ca="1" si="10"/>
        <v>91740+2</v>
      </c>
      <c r="AE68" s="37">
        <f t="shared" ref="AE68:AE131" ca="1" si="16">AF68*100+AC68</f>
        <v>2202</v>
      </c>
      <c r="AF68" s="15">
        <f t="shared" ca="1" si="11"/>
        <v>22</v>
      </c>
      <c r="AG68" s="15">
        <f t="shared" ref="AG68:AG131" ca="1" si="17">VALUE(MID(AD68,1,FIND("+",AD68,1)-1))</f>
        <v>91740</v>
      </c>
      <c r="AH68" s="15" t="str">
        <f t="shared" ref="AH68:AH131" ca="1" si="18">"{" &amp; IFERROR(MID($AD68,FIND("+",$AD68,1)+1,IFERROR(FIND("/",$AD68),LEN($AD68)+1)-FIND("+",$AD68)-1),0) &amp; "}"</f>
        <v>{2}</v>
      </c>
      <c r="AI68" s="15">
        <f t="shared" ca="1" si="12"/>
        <v>2000</v>
      </c>
      <c r="AJ68" s="26" t="str">
        <f t="shared" ref="AJ68:AJ131" ca="1" si="19">OFFSET($B$2,MATCH($AF68,A:A,0)-2,) &amp; "-" &amp; $AD68 &amp; "|" &amp; AI68/$AI$1*100 &amp; "%"</f>
        <v>普通卡材料-91740+2|20%</v>
      </c>
    </row>
    <row r="69" spans="1:36" x14ac:dyDescent="0.25">
      <c r="A69" s="14">
        <v>67</v>
      </c>
      <c r="B69" s="14" t="s">
        <v>286</v>
      </c>
      <c r="C69" s="14"/>
      <c r="D69" s="14" t="s">
        <v>294</v>
      </c>
      <c r="E69" s="14" t="s">
        <v>295</v>
      </c>
      <c r="F69" s="14" t="s">
        <v>296</v>
      </c>
      <c r="G69" s="14" t="s">
        <v>297</v>
      </c>
      <c r="H69" s="14" t="s">
        <v>298</v>
      </c>
      <c r="I69" s="14"/>
      <c r="J69" s="14"/>
      <c r="K69" s="14"/>
      <c r="L69" s="14"/>
      <c r="M69" s="14"/>
      <c r="N69" s="13"/>
      <c r="O69" s="32">
        <f t="shared" si="13"/>
        <v>0.99999999999999989</v>
      </c>
      <c r="P69" s="36">
        <v>0.2</v>
      </c>
      <c r="Q69" s="36">
        <v>0.3</v>
      </c>
      <c r="R69" s="36">
        <v>0.2</v>
      </c>
      <c r="S69" s="36">
        <v>0.2</v>
      </c>
      <c r="T69" s="36">
        <v>0.1</v>
      </c>
      <c r="U69" s="36"/>
      <c r="V69" s="36"/>
      <c r="W69" s="36"/>
      <c r="X69" s="36"/>
      <c r="Y69" s="36"/>
      <c r="Z69" s="15">
        <f t="shared" si="14"/>
        <v>5</v>
      </c>
      <c r="AA69" s="15">
        <f>SUM(Z$3:Z69)</f>
        <v>194</v>
      </c>
      <c r="AB69" s="37">
        <f t="shared" si="15"/>
        <v>23</v>
      </c>
      <c r="AC69" s="37">
        <f>COUNTIF(AB$3:AB69,AB69)</f>
        <v>3</v>
      </c>
      <c r="AD69" s="15" t="str">
        <f t="shared" ca="1" si="10"/>
        <v>91740+3</v>
      </c>
      <c r="AE69" s="37">
        <f t="shared" ca="1" si="16"/>
        <v>2203</v>
      </c>
      <c r="AF69" s="15">
        <f t="shared" ca="1" si="11"/>
        <v>22</v>
      </c>
      <c r="AG69" s="15">
        <f t="shared" ca="1" si="17"/>
        <v>91740</v>
      </c>
      <c r="AH69" s="15" t="str">
        <f t="shared" ca="1" si="18"/>
        <v>{3}</v>
      </c>
      <c r="AI69" s="15">
        <f t="shared" ca="1" si="12"/>
        <v>1000</v>
      </c>
      <c r="AJ69" s="26" t="str">
        <f t="shared" ca="1" si="19"/>
        <v>普通卡材料-91740+3|10%</v>
      </c>
    </row>
    <row r="70" spans="1:36" x14ac:dyDescent="0.25">
      <c r="A70" s="14">
        <v>68</v>
      </c>
      <c r="B70" s="14" t="s">
        <v>287</v>
      </c>
      <c r="C70" s="14"/>
      <c r="D70" s="14" t="s">
        <v>299</v>
      </c>
      <c r="E70" s="14" t="s">
        <v>300</v>
      </c>
      <c r="F70" s="14" t="s">
        <v>301</v>
      </c>
      <c r="G70" s="14" t="s">
        <v>302</v>
      </c>
      <c r="H70" s="14" t="s">
        <v>303</v>
      </c>
      <c r="I70" s="14"/>
      <c r="J70" s="14"/>
      <c r="K70" s="14"/>
      <c r="L70" s="14"/>
      <c r="M70" s="14"/>
      <c r="N70" s="13"/>
      <c r="O70" s="32">
        <f t="shared" si="13"/>
        <v>0.99999999999999989</v>
      </c>
      <c r="P70" s="36">
        <v>0.2</v>
      </c>
      <c r="Q70" s="36">
        <v>0.3</v>
      </c>
      <c r="R70" s="36">
        <v>0.2</v>
      </c>
      <c r="S70" s="36">
        <v>0.2</v>
      </c>
      <c r="T70" s="36">
        <v>0.1</v>
      </c>
      <c r="U70" s="36"/>
      <c r="V70" s="36"/>
      <c r="W70" s="36"/>
      <c r="X70" s="36"/>
      <c r="Y70" s="36"/>
      <c r="Z70" s="15">
        <f t="shared" si="14"/>
        <v>5</v>
      </c>
      <c r="AA70" s="15">
        <f>SUM(Z$3:Z70)</f>
        <v>199</v>
      </c>
      <c r="AB70" s="37">
        <f t="shared" si="15"/>
        <v>24</v>
      </c>
      <c r="AC70" s="37">
        <f>COUNTIF(AB$3:AB70,AB70)</f>
        <v>1</v>
      </c>
      <c r="AD70" s="15" t="str">
        <f t="shared" ca="1" si="10"/>
        <v>4001100+1</v>
      </c>
      <c r="AE70" s="37">
        <f t="shared" ca="1" si="16"/>
        <v>2301</v>
      </c>
      <c r="AF70" s="15">
        <f t="shared" ca="1" si="11"/>
        <v>23</v>
      </c>
      <c r="AG70" s="15">
        <f t="shared" ca="1" si="17"/>
        <v>4001100</v>
      </c>
      <c r="AH70" s="15" t="str">
        <f t="shared" ca="1" si="18"/>
        <v>{1}</v>
      </c>
      <c r="AI70" s="15">
        <f t="shared" ca="1" si="12"/>
        <v>7000</v>
      </c>
      <c r="AJ70" s="26" t="str">
        <f t="shared" ca="1" si="19"/>
        <v>初级经验卡-4001100+1|70%</v>
      </c>
    </row>
    <row r="71" spans="1:36" x14ac:dyDescent="0.25">
      <c r="A71" s="14">
        <v>69</v>
      </c>
      <c r="B71" s="14" t="s">
        <v>307</v>
      </c>
      <c r="C71" s="14"/>
      <c r="D71" s="14" t="s">
        <v>304</v>
      </c>
      <c r="E71" s="14" t="s">
        <v>306</v>
      </c>
      <c r="F71" s="14"/>
      <c r="G71" s="14"/>
      <c r="H71" s="14"/>
      <c r="I71" s="14"/>
      <c r="J71" s="14"/>
      <c r="K71" s="14"/>
      <c r="L71" s="14"/>
      <c r="M71" s="14"/>
      <c r="N71" s="13"/>
      <c r="O71" s="32">
        <f t="shared" si="13"/>
        <v>1</v>
      </c>
      <c r="P71" s="36">
        <v>0.75</v>
      </c>
      <c r="Q71" s="36">
        <v>0.25</v>
      </c>
      <c r="R71" s="36"/>
      <c r="S71" s="36"/>
      <c r="T71" s="36"/>
      <c r="U71" s="36"/>
      <c r="V71" s="36"/>
      <c r="W71" s="36"/>
      <c r="X71" s="36"/>
      <c r="Y71" s="36"/>
      <c r="Z71" s="15">
        <f t="shared" si="14"/>
        <v>2</v>
      </c>
      <c r="AA71" s="15">
        <f>SUM(Z$3:Z71)</f>
        <v>201</v>
      </c>
      <c r="AB71" s="37">
        <f t="shared" si="15"/>
        <v>24</v>
      </c>
      <c r="AC71" s="37">
        <f>COUNTIF(AB$3:AB71,AB71)</f>
        <v>2</v>
      </c>
      <c r="AD71" s="15" t="str">
        <f t="shared" ca="1" si="10"/>
        <v>4001100+2</v>
      </c>
      <c r="AE71" s="37">
        <f t="shared" ca="1" si="16"/>
        <v>2302</v>
      </c>
      <c r="AF71" s="15">
        <f t="shared" ca="1" si="11"/>
        <v>23</v>
      </c>
      <c r="AG71" s="15">
        <f t="shared" ca="1" si="17"/>
        <v>4001100</v>
      </c>
      <c r="AH71" s="15" t="str">
        <f t="shared" ca="1" si="18"/>
        <v>{2}</v>
      </c>
      <c r="AI71" s="15">
        <f t="shared" ca="1" si="12"/>
        <v>2000</v>
      </c>
      <c r="AJ71" s="26" t="str">
        <f t="shared" ca="1" si="19"/>
        <v>初级经验卡-4001100+2|20%</v>
      </c>
    </row>
    <row r="72" spans="1:36" x14ac:dyDescent="0.25">
      <c r="A72" s="14">
        <v>70</v>
      </c>
      <c r="B72" s="14" t="s">
        <v>307</v>
      </c>
      <c r="C72" s="14"/>
      <c r="D72" s="14" t="s">
        <v>305</v>
      </c>
      <c r="E72" s="14" t="s">
        <v>308</v>
      </c>
      <c r="F72" s="14"/>
      <c r="G72" s="14"/>
      <c r="H72" s="14"/>
      <c r="I72" s="14"/>
      <c r="J72" s="14"/>
      <c r="K72" s="14"/>
      <c r="L72" s="14"/>
      <c r="M72" s="14"/>
      <c r="N72" s="13"/>
      <c r="O72" s="32">
        <f t="shared" si="13"/>
        <v>1</v>
      </c>
      <c r="P72" s="36">
        <v>0.75</v>
      </c>
      <c r="Q72" s="36">
        <v>0.25</v>
      </c>
      <c r="R72" s="36"/>
      <c r="S72" s="36"/>
      <c r="T72" s="36"/>
      <c r="U72" s="36"/>
      <c r="V72" s="36"/>
      <c r="W72" s="36"/>
      <c r="X72" s="36"/>
      <c r="Y72" s="36"/>
      <c r="Z72" s="15">
        <f t="shared" si="14"/>
        <v>2</v>
      </c>
      <c r="AA72" s="15">
        <f>SUM(Z$3:Z72)</f>
        <v>203</v>
      </c>
      <c r="AB72" s="37">
        <f t="shared" si="15"/>
        <v>24</v>
      </c>
      <c r="AC72" s="37">
        <f>COUNTIF(AB$3:AB72,AB72)</f>
        <v>3</v>
      </c>
      <c r="AD72" s="15" t="str">
        <f t="shared" ca="1" si="10"/>
        <v>4001100+3</v>
      </c>
      <c r="AE72" s="37">
        <f t="shared" ca="1" si="16"/>
        <v>2303</v>
      </c>
      <c r="AF72" s="15">
        <f t="shared" ca="1" si="11"/>
        <v>23</v>
      </c>
      <c r="AG72" s="15">
        <f t="shared" ca="1" si="17"/>
        <v>4001100</v>
      </c>
      <c r="AH72" s="15" t="str">
        <f t="shared" ca="1" si="18"/>
        <v>{3}</v>
      </c>
      <c r="AI72" s="15">
        <f t="shared" ca="1" si="12"/>
        <v>1000</v>
      </c>
      <c r="AJ72" s="26" t="str">
        <f t="shared" ca="1" si="19"/>
        <v>初级经验卡-4001100+3|10%</v>
      </c>
    </row>
    <row r="73" spans="1:36" x14ac:dyDescent="0.25">
      <c r="A73" s="14">
        <v>71</v>
      </c>
      <c r="B73" s="39" t="s">
        <v>309</v>
      </c>
      <c r="C73" s="14"/>
      <c r="D73" s="14" t="s">
        <v>310</v>
      </c>
      <c r="E73" s="14" t="s">
        <v>311</v>
      </c>
      <c r="F73" s="14" t="s">
        <v>312</v>
      </c>
      <c r="G73" s="14"/>
      <c r="H73" s="14"/>
      <c r="I73" s="14"/>
      <c r="J73" s="14"/>
      <c r="K73" s="14"/>
      <c r="L73" s="14"/>
      <c r="M73" s="14"/>
      <c r="N73" s="13"/>
      <c r="O73" s="32">
        <f t="shared" si="13"/>
        <v>1</v>
      </c>
      <c r="P73" s="36">
        <v>0.35</v>
      </c>
      <c r="Q73" s="36">
        <v>0.4</v>
      </c>
      <c r="R73" s="36">
        <v>0.25</v>
      </c>
      <c r="S73" s="36"/>
      <c r="T73" s="36"/>
      <c r="U73" s="36"/>
      <c r="V73" s="36"/>
      <c r="W73" s="36"/>
      <c r="X73" s="36"/>
      <c r="Y73" s="36"/>
      <c r="Z73" s="15">
        <f t="shared" si="14"/>
        <v>3</v>
      </c>
      <c r="AA73" s="15">
        <f>SUM(Z$3:Z73)</f>
        <v>206</v>
      </c>
      <c r="AB73" s="37">
        <f t="shared" si="15"/>
        <v>25</v>
      </c>
      <c r="AC73" s="37">
        <f>COUNTIF(AB$3:AB73,AB73)</f>
        <v>1</v>
      </c>
      <c r="AD73" s="15" t="str">
        <f t="shared" ca="1" si="10"/>
        <v>71110+1</v>
      </c>
      <c r="AE73" s="37">
        <f t="shared" ca="1" si="16"/>
        <v>2401</v>
      </c>
      <c r="AF73" s="15">
        <f t="shared" ca="1" si="11"/>
        <v>24</v>
      </c>
      <c r="AG73" s="15">
        <f t="shared" ca="1" si="17"/>
        <v>71110</v>
      </c>
      <c r="AH73" s="15" t="str">
        <f t="shared" ca="1" si="18"/>
        <v>{1}</v>
      </c>
      <c r="AI73" s="15">
        <f t="shared" ca="1" si="12"/>
        <v>10000</v>
      </c>
      <c r="AJ73" s="26" t="str">
        <f t="shared" ca="1" si="19"/>
        <v>装备设计图-71110+1|100%</v>
      </c>
    </row>
    <row r="74" spans="1:36" x14ac:dyDescent="0.25">
      <c r="A74" s="14">
        <v>72</v>
      </c>
      <c r="B74" s="40" t="s">
        <v>264</v>
      </c>
      <c r="C74" s="14"/>
      <c r="D74" s="14" t="s">
        <v>331</v>
      </c>
      <c r="E74" s="14"/>
      <c r="F74" s="14"/>
      <c r="G74" s="14"/>
      <c r="H74" s="14"/>
      <c r="I74" s="14"/>
      <c r="J74" s="14"/>
      <c r="K74" s="14"/>
      <c r="L74" s="14"/>
      <c r="M74" s="14"/>
      <c r="N74" s="13"/>
      <c r="O74" s="32">
        <f t="shared" si="13"/>
        <v>1</v>
      </c>
      <c r="P74" s="36">
        <v>1</v>
      </c>
      <c r="Q74" s="36"/>
      <c r="R74" s="36"/>
      <c r="S74" s="36"/>
      <c r="T74" s="36"/>
      <c r="U74" s="36"/>
      <c r="V74" s="36"/>
      <c r="W74" s="36"/>
      <c r="X74" s="36"/>
      <c r="Y74" s="36"/>
      <c r="Z74" s="15">
        <f t="shared" si="14"/>
        <v>1</v>
      </c>
      <c r="AA74" s="15">
        <f>SUM(Z$3:Z74)</f>
        <v>207</v>
      </c>
      <c r="AB74" s="37">
        <f t="shared" si="15"/>
        <v>26</v>
      </c>
      <c r="AC74" s="37">
        <f>COUNTIF(AB$3:AB74,AB74)</f>
        <v>1</v>
      </c>
      <c r="AD74" s="15" t="str">
        <f t="shared" ca="1" si="10"/>
        <v>71210+1</v>
      </c>
      <c r="AE74" s="37">
        <f t="shared" ca="1" si="16"/>
        <v>2501</v>
      </c>
      <c r="AF74" s="15">
        <f t="shared" ca="1" si="11"/>
        <v>25</v>
      </c>
      <c r="AG74" s="15">
        <f t="shared" ca="1" si="17"/>
        <v>71210</v>
      </c>
      <c r="AH74" s="15" t="str">
        <f t="shared" ca="1" si="18"/>
        <v>{1}</v>
      </c>
      <c r="AI74" s="15">
        <f t="shared" ca="1" si="12"/>
        <v>10000</v>
      </c>
      <c r="AJ74" s="26" t="str">
        <f t="shared" ca="1" si="19"/>
        <v>装备设计图-71210+1|100%</v>
      </c>
    </row>
    <row r="75" spans="1:36" x14ac:dyDescent="0.25">
      <c r="A75" s="14">
        <v>73</v>
      </c>
      <c r="B75" s="40" t="s">
        <v>265</v>
      </c>
      <c r="C75" s="14"/>
      <c r="D75" s="14" t="s">
        <v>326</v>
      </c>
      <c r="E75" s="14" t="s">
        <v>327</v>
      </c>
      <c r="F75" s="14" t="s">
        <v>328</v>
      </c>
      <c r="G75" s="14" t="s">
        <v>329</v>
      </c>
      <c r="H75" s="14" t="s">
        <v>330</v>
      </c>
      <c r="I75" s="14"/>
      <c r="J75" s="14"/>
      <c r="K75" s="14"/>
      <c r="L75" s="14"/>
      <c r="M75" s="14"/>
      <c r="N75" s="13"/>
      <c r="O75" s="32">
        <f t="shared" si="13"/>
        <v>0.99999999999999989</v>
      </c>
      <c r="P75" s="36">
        <v>0.2</v>
      </c>
      <c r="Q75" s="36">
        <v>0.3</v>
      </c>
      <c r="R75" s="36">
        <v>0.2</v>
      </c>
      <c r="S75" s="36">
        <v>0.2</v>
      </c>
      <c r="T75" s="36">
        <v>0.1</v>
      </c>
      <c r="U75" s="36"/>
      <c r="V75" s="36"/>
      <c r="W75" s="36"/>
      <c r="X75" s="36"/>
      <c r="Y75" s="36"/>
      <c r="Z75" s="15">
        <f t="shared" si="14"/>
        <v>5</v>
      </c>
      <c r="AA75" s="15">
        <f>SUM(Z$3:Z75)</f>
        <v>212</v>
      </c>
      <c r="AB75" s="37">
        <f t="shared" si="15"/>
        <v>27</v>
      </c>
      <c r="AC75" s="37">
        <f>COUNTIF(AB$3:AB75,AB75)</f>
        <v>1</v>
      </c>
      <c r="AD75" s="15" t="str">
        <f t="shared" ca="1" si="10"/>
        <v>71310+1</v>
      </c>
      <c r="AE75" s="37">
        <f t="shared" ca="1" si="16"/>
        <v>2601</v>
      </c>
      <c r="AF75" s="15">
        <f t="shared" ca="1" si="11"/>
        <v>26</v>
      </c>
      <c r="AG75" s="15">
        <f t="shared" ca="1" si="17"/>
        <v>71310</v>
      </c>
      <c r="AH75" s="15" t="str">
        <f t="shared" ca="1" si="18"/>
        <v>{1}</v>
      </c>
      <c r="AI75" s="15">
        <f t="shared" ca="1" si="12"/>
        <v>10000</v>
      </c>
      <c r="AJ75" s="26" t="str">
        <f t="shared" ca="1" si="19"/>
        <v>装备设计图-71310+1|100%</v>
      </c>
    </row>
    <row r="76" spans="1:36" x14ac:dyDescent="0.25">
      <c r="A76" s="14">
        <v>74</v>
      </c>
      <c r="B76" s="40" t="s">
        <v>266</v>
      </c>
      <c r="C76" s="14"/>
      <c r="D76" s="14" t="s">
        <v>316</v>
      </c>
      <c r="E76" s="14" t="s">
        <v>317</v>
      </c>
      <c r="F76" s="14" t="s">
        <v>318</v>
      </c>
      <c r="G76" s="14" t="s">
        <v>319</v>
      </c>
      <c r="H76" s="14" t="s">
        <v>320</v>
      </c>
      <c r="I76" s="14"/>
      <c r="J76" s="14"/>
      <c r="K76" s="14"/>
      <c r="L76" s="14"/>
      <c r="M76" s="14"/>
      <c r="N76" s="13"/>
      <c r="O76" s="32">
        <f t="shared" si="13"/>
        <v>0.99999999999999989</v>
      </c>
      <c r="P76" s="36">
        <v>0.2</v>
      </c>
      <c r="Q76" s="36">
        <v>0.3</v>
      </c>
      <c r="R76" s="36">
        <v>0.2</v>
      </c>
      <c r="S76" s="36">
        <v>0.2</v>
      </c>
      <c r="T76" s="36">
        <v>0.1</v>
      </c>
      <c r="U76" s="36"/>
      <c r="V76" s="36"/>
      <c r="W76" s="36"/>
      <c r="X76" s="36"/>
      <c r="Y76" s="36"/>
      <c r="Z76" s="15">
        <f t="shared" si="14"/>
        <v>5</v>
      </c>
      <c r="AA76" s="15">
        <f>SUM(Z$3:Z76)</f>
        <v>217</v>
      </c>
      <c r="AB76" s="37">
        <f t="shared" si="15"/>
        <v>28</v>
      </c>
      <c r="AC76" s="37">
        <f>COUNTIF(AB$3:AB76,AB76)</f>
        <v>1</v>
      </c>
      <c r="AD76" s="15" t="str">
        <f t="shared" ca="1" si="10"/>
        <v>71410+1</v>
      </c>
      <c r="AE76" s="37">
        <f t="shared" ca="1" si="16"/>
        <v>2701</v>
      </c>
      <c r="AF76" s="15">
        <f t="shared" ca="1" si="11"/>
        <v>27</v>
      </c>
      <c r="AG76" s="15">
        <f t="shared" ca="1" si="17"/>
        <v>71410</v>
      </c>
      <c r="AH76" s="15" t="str">
        <f t="shared" ca="1" si="18"/>
        <v>{1}</v>
      </c>
      <c r="AI76" s="15">
        <f t="shared" ca="1" si="12"/>
        <v>10000</v>
      </c>
      <c r="AJ76" s="26" t="str">
        <f t="shared" ca="1" si="19"/>
        <v>装备设计图-71410+1|100%</v>
      </c>
    </row>
    <row r="77" spans="1:36" x14ac:dyDescent="0.25">
      <c r="A77" s="14">
        <v>75</v>
      </c>
      <c r="B77" s="40" t="s">
        <v>267</v>
      </c>
      <c r="C77" s="14"/>
      <c r="D77" s="14" t="s">
        <v>321</v>
      </c>
      <c r="E77" s="14" t="s">
        <v>322</v>
      </c>
      <c r="F77" s="14" t="s">
        <v>323</v>
      </c>
      <c r="G77" s="14" t="s">
        <v>324</v>
      </c>
      <c r="H77" s="14" t="s">
        <v>325</v>
      </c>
      <c r="I77" s="14"/>
      <c r="J77" s="14"/>
      <c r="K77" s="14"/>
      <c r="L77" s="14"/>
      <c r="M77" s="14"/>
      <c r="N77" s="13"/>
      <c r="O77" s="32">
        <f t="shared" si="13"/>
        <v>0.99999999999999989</v>
      </c>
      <c r="P77" s="36">
        <v>0.2</v>
      </c>
      <c r="Q77" s="36">
        <v>0.3</v>
      </c>
      <c r="R77" s="36">
        <v>0.2</v>
      </c>
      <c r="S77" s="36">
        <v>0.2</v>
      </c>
      <c r="T77" s="36">
        <v>0.1</v>
      </c>
      <c r="U77" s="36"/>
      <c r="V77" s="36"/>
      <c r="W77" s="36"/>
      <c r="X77" s="36"/>
      <c r="Y77" s="36"/>
      <c r="Z77" s="15">
        <f t="shared" si="14"/>
        <v>5</v>
      </c>
      <c r="AA77" s="15">
        <f>SUM(Z$3:Z77)</f>
        <v>222</v>
      </c>
      <c r="AB77" s="37">
        <f t="shared" si="15"/>
        <v>29</v>
      </c>
      <c r="AC77" s="37">
        <f>COUNTIF(AB$3:AB77,AB77)</f>
        <v>1</v>
      </c>
      <c r="AD77" s="15" t="str">
        <f t="shared" ca="1" si="10"/>
        <v>71510+1</v>
      </c>
      <c r="AE77" s="37">
        <f t="shared" ca="1" si="16"/>
        <v>2801</v>
      </c>
      <c r="AF77" s="15">
        <f t="shared" ca="1" si="11"/>
        <v>28</v>
      </c>
      <c r="AG77" s="15">
        <f t="shared" ca="1" si="17"/>
        <v>71510</v>
      </c>
      <c r="AH77" s="15" t="str">
        <f t="shared" ca="1" si="18"/>
        <v>{1}</v>
      </c>
      <c r="AI77" s="15">
        <f t="shared" ca="1" si="12"/>
        <v>10000</v>
      </c>
      <c r="AJ77" s="26" t="str">
        <f t="shared" ca="1" si="19"/>
        <v>装备设计图-71510+1|100%</v>
      </c>
    </row>
    <row r="78" spans="1:36" x14ac:dyDescent="0.25">
      <c r="A78" s="14">
        <v>76</v>
      </c>
      <c r="B78" s="40" t="s">
        <v>284</v>
      </c>
      <c r="C78" s="14"/>
      <c r="D78" s="14" t="s">
        <v>332</v>
      </c>
      <c r="E78" s="14"/>
      <c r="F78" s="14"/>
      <c r="G78" s="14"/>
      <c r="H78" s="14"/>
      <c r="I78" s="14"/>
      <c r="J78" s="14"/>
      <c r="K78" s="14"/>
      <c r="L78" s="14"/>
      <c r="M78" s="14"/>
      <c r="N78" s="13"/>
      <c r="O78" s="32">
        <f t="shared" si="13"/>
        <v>1</v>
      </c>
      <c r="P78" s="36">
        <v>1</v>
      </c>
      <c r="Q78" s="36"/>
      <c r="R78" s="36"/>
      <c r="S78" s="36"/>
      <c r="T78" s="36"/>
      <c r="U78" s="36"/>
      <c r="V78" s="36"/>
      <c r="W78" s="36"/>
      <c r="X78" s="36"/>
      <c r="Y78" s="36"/>
      <c r="Z78" s="15">
        <f t="shared" si="14"/>
        <v>1</v>
      </c>
      <c r="AA78" s="15">
        <f>SUM(Z$3:Z78)</f>
        <v>223</v>
      </c>
      <c r="AB78" s="37">
        <f t="shared" si="15"/>
        <v>30</v>
      </c>
      <c r="AC78" s="37">
        <f>COUNTIF(AB$3:AB78,AB78)</f>
        <v>1</v>
      </c>
      <c r="AD78" s="15" t="str">
        <f t="shared" ca="1" si="10"/>
        <v>71610+1</v>
      </c>
      <c r="AE78" s="37">
        <f t="shared" ca="1" si="16"/>
        <v>2901</v>
      </c>
      <c r="AF78" s="15">
        <f t="shared" ca="1" si="11"/>
        <v>29</v>
      </c>
      <c r="AG78" s="15">
        <f t="shared" ca="1" si="17"/>
        <v>71610</v>
      </c>
      <c r="AH78" s="15" t="str">
        <f t="shared" ca="1" si="18"/>
        <v>{1}</v>
      </c>
      <c r="AI78" s="15">
        <f t="shared" ca="1" si="12"/>
        <v>10000</v>
      </c>
      <c r="AJ78" s="26" t="str">
        <f t="shared" ca="1" si="19"/>
        <v>装备设计图-71610+1|100%</v>
      </c>
    </row>
    <row r="79" spans="1:36" x14ac:dyDescent="0.25">
      <c r="A79" s="14">
        <v>77</v>
      </c>
      <c r="B79" s="40" t="s">
        <v>285</v>
      </c>
      <c r="C79" s="14"/>
      <c r="D79" s="14" t="s">
        <v>333</v>
      </c>
      <c r="E79" s="14" t="s">
        <v>334</v>
      </c>
      <c r="F79" s="14" t="s">
        <v>335</v>
      </c>
      <c r="G79" s="14" t="s">
        <v>336</v>
      </c>
      <c r="H79" s="14" t="s">
        <v>337</v>
      </c>
      <c r="I79" s="14"/>
      <c r="J79" s="14"/>
      <c r="K79" s="14"/>
      <c r="L79" s="14"/>
      <c r="M79" s="14"/>
      <c r="N79" s="13"/>
      <c r="O79" s="32">
        <f t="shared" si="13"/>
        <v>0.99999999999999989</v>
      </c>
      <c r="P79" s="36">
        <v>0.2</v>
      </c>
      <c r="Q79" s="36">
        <v>0.3</v>
      </c>
      <c r="R79" s="36">
        <v>0.2</v>
      </c>
      <c r="S79" s="36">
        <v>0.2</v>
      </c>
      <c r="T79" s="36">
        <v>0.1</v>
      </c>
      <c r="U79" s="36"/>
      <c r="V79" s="36"/>
      <c r="W79" s="36"/>
      <c r="X79" s="36"/>
      <c r="Y79" s="36"/>
      <c r="Z79" s="15">
        <f t="shared" si="14"/>
        <v>5</v>
      </c>
      <c r="AA79" s="15">
        <f>SUM(Z$3:Z79)</f>
        <v>228</v>
      </c>
      <c r="AB79" s="37">
        <f t="shared" si="15"/>
        <v>31</v>
      </c>
      <c r="AC79" s="37">
        <f>COUNTIF(AB$3:AB79,AB79)</f>
        <v>1</v>
      </c>
      <c r="AD79" s="15" t="str">
        <f t="shared" ca="1" si="10"/>
        <v>71710+1</v>
      </c>
      <c r="AE79" s="37">
        <f t="shared" ca="1" si="16"/>
        <v>3001</v>
      </c>
      <c r="AF79" s="15">
        <f t="shared" ca="1" si="11"/>
        <v>30</v>
      </c>
      <c r="AG79" s="15">
        <f t="shared" ca="1" si="17"/>
        <v>71710</v>
      </c>
      <c r="AH79" s="15" t="str">
        <f t="shared" ca="1" si="18"/>
        <v>{1}</v>
      </c>
      <c r="AI79" s="15">
        <f t="shared" ca="1" si="12"/>
        <v>10000</v>
      </c>
      <c r="AJ79" s="26" t="str">
        <f t="shared" ca="1" si="19"/>
        <v>装备设计图-71710+1|100%</v>
      </c>
    </row>
    <row r="80" spans="1:36" x14ac:dyDescent="0.25">
      <c r="A80" s="14">
        <v>78</v>
      </c>
      <c r="B80" s="40" t="s">
        <v>286</v>
      </c>
      <c r="C80" s="14"/>
      <c r="D80" s="14" t="s">
        <v>338</v>
      </c>
      <c r="E80" s="14" t="s">
        <v>339</v>
      </c>
      <c r="F80" s="14" t="s">
        <v>340</v>
      </c>
      <c r="G80" s="14" t="s">
        <v>341</v>
      </c>
      <c r="H80" s="14" t="s">
        <v>342</v>
      </c>
      <c r="I80" s="14"/>
      <c r="J80" s="14"/>
      <c r="K80" s="14"/>
      <c r="L80" s="14"/>
      <c r="M80" s="14"/>
      <c r="N80" s="13"/>
      <c r="O80" s="32">
        <f t="shared" si="13"/>
        <v>0.99999999999999989</v>
      </c>
      <c r="P80" s="36">
        <v>0.2</v>
      </c>
      <c r="Q80" s="36">
        <v>0.3</v>
      </c>
      <c r="R80" s="36">
        <v>0.2</v>
      </c>
      <c r="S80" s="36">
        <v>0.2</v>
      </c>
      <c r="T80" s="36">
        <v>0.1</v>
      </c>
      <c r="U80" s="36"/>
      <c r="V80" s="36"/>
      <c r="W80" s="36"/>
      <c r="X80" s="36"/>
      <c r="Y80" s="36"/>
      <c r="Z80" s="15">
        <f t="shared" si="14"/>
        <v>5</v>
      </c>
      <c r="AA80" s="15">
        <f>SUM(Z$3:Z80)</f>
        <v>233</v>
      </c>
      <c r="AB80" s="37">
        <f t="shared" si="15"/>
        <v>32</v>
      </c>
      <c r="AC80" s="37">
        <f>COUNTIF(AB$3:AB80,AB80)</f>
        <v>1</v>
      </c>
      <c r="AD80" s="15" t="str">
        <f t="shared" ca="1" si="10"/>
        <v>11001+1/3</v>
      </c>
      <c r="AE80" s="37">
        <f t="shared" ca="1" si="16"/>
        <v>3101</v>
      </c>
      <c r="AF80" s="15">
        <f t="shared" ca="1" si="11"/>
        <v>31</v>
      </c>
      <c r="AG80" s="15">
        <f t="shared" ca="1" si="17"/>
        <v>11001</v>
      </c>
      <c r="AH80" s="15" t="str">
        <f t="shared" ca="1" si="18"/>
        <v>{1}</v>
      </c>
      <c r="AI80" s="15">
        <f t="shared" ca="1" si="12"/>
        <v>3000</v>
      </c>
      <c r="AJ80" s="26" t="str">
        <f t="shared" ca="1" si="19"/>
        <v>卡碎片-11001+1/3|30%</v>
      </c>
    </row>
    <row r="81" spans="1:36" x14ac:dyDescent="0.25">
      <c r="A81" s="14">
        <v>79</v>
      </c>
      <c r="B81" s="40" t="s">
        <v>287</v>
      </c>
      <c r="C81" s="14"/>
      <c r="D81" s="14" t="s">
        <v>343</v>
      </c>
      <c r="E81" s="14" t="s">
        <v>344</v>
      </c>
      <c r="F81" s="14" t="s">
        <v>345</v>
      </c>
      <c r="G81" s="14" t="s">
        <v>346</v>
      </c>
      <c r="H81" s="14" t="s">
        <v>347</v>
      </c>
      <c r="I81" s="14"/>
      <c r="J81" s="14"/>
      <c r="K81" s="14"/>
      <c r="L81" s="14"/>
      <c r="M81" s="14"/>
      <c r="N81" s="13"/>
      <c r="O81" s="32">
        <f t="shared" si="13"/>
        <v>0.99999999999999989</v>
      </c>
      <c r="P81" s="36">
        <v>0.2</v>
      </c>
      <c r="Q81" s="36">
        <v>0.3</v>
      </c>
      <c r="R81" s="36">
        <v>0.2</v>
      </c>
      <c r="S81" s="36">
        <v>0.2</v>
      </c>
      <c r="T81" s="36">
        <v>0.1</v>
      </c>
      <c r="U81" s="36"/>
      <c r="V81" s="36"/>
      <c r="W81" s="36"/>
      <c r="X81" s="36"/>
      <c r="Y81" s="36"/>
      <c r="Z81" s="15">
        <f t="shared" si="14"/>
        <v>5</v>
      </c>
      <c r="AA81" s="15">
        <f>SUM(Z$3:Z81)</f>
        <v>238</v>
      </c>
      <c r="AB81" s="37">
        <f t="shared" si="15"/>
        <v>33</v>
      </c>
      <c r="AC81" s="37">
        <f>COUNTIF(AB$3:AB81,AB81)</f>
        <v>1</v>
      </c>
      <c r="AD81" s="15" t="str">
        <f t="shared" ca="1" si="10"/>
        <v>82110+5</v>
      </c>
      <c r="AE81" s="37">
        <f t="shared" ca="1" si="16"/>
        <v>3201</v>
      </c>
      <c r="AF81" s="15">
        <f t="shared" ca="1" si="11"/>
        <v>32</v>
      </c>
      <c r="AG81" s="15">
        <f t="shared" ca="1" si="17"/>
        <v>82110</v>
      </c>
      <c r="AH81" s="15" t="str">
        <f t="shared" ca="1" si="18"/>
        <v>{5}</v>
      </c>
      <c r="AI81" s="15">
        <f t="shared" ca="1" si="12"/>
        <v>1000</v>
      </c>
      <c r="AJ81" s="26" t="str">
        <f t="shared" ca="1" si="19"/>
        <v>融合卡材料-82110+5|10%</v>
      </c>
    </row>
    <row r="82" spans="1:36" x14ac:dyDescent="0.25">
      <c r="A82" s="14">
        <v>80</v>
      </c>
      <c r="B82" s="40" t="s">
        <v>307</v>
      </c>
      <c r="C82" s="14"/>
      <c r="D82" s="14" t="s">
        <v>348</v>
      </c>
      <c r="E82" s="14" t="s">
        <v>349</v>
      </c>
      <c r="F82" s="14" t="s">
        <v>350</v>
      </c>
      <c r="G82" s="14" t="s">
        <v>351</v>
      </c>
      <c r="H82" s="14" t="s">
        <v>352</v>
      </c>
      <c r="I82" s="14"/>
      <c r="J82" s="14"/>
      <c r="K82" s="14"/>
      <c r="L82" s="14"/>
      <c r="M82" s="14"/>
      <c r="N82" s="13"/>
      <c r="O82" s="32">
        <f t="shared" si="13"/>
        <v>0.99999999999999989</v>
      </c>
      <c r="P82" s="36">
        <v>0.2</v>
      </c>
      <c r="Q82" s="36">
        <v>0.3</v>
      </c>
      <c r="R82" s="36">
        <v>0.2</v>
      </c>
      <c r="S82" s="36">
        <v>0.2</v>
      </c>
      <c r="T82" s="36">
        <v>0.1</v>
      </c>
      <c r="U82" s="36"/>
      <c r="V82" s="36"/>
      <c r="W82" s="36"/>
      <c r="X82" s="36"/>
      <c r="Y82" s="36"/>
      <c r="Z82" s="15">
        <f t="shared" si="14"/>
        <v>5</v>
      </c>
      <c r="AA82" s="15">
        <f>SUM(Z$3:Z82)</f>
        <v>243</v>
      </c>
      <c r="AB82" s="37">
        <f t="shared" si="15"/>
        <v>33</v>
      </c>
      <c r="AC82" s="37">
        <f>COUNTIF(AB$3:AB82,AB82)</f>
        <v>2</v>
      </c>
      <c r="AD82" s="15" t="str">
        <f t="shared" ca="1" si="10"/>
        <v>82110+7</v>
      </c>
      <c r="AE82" s="37">
        <f t="shared" ca="1" si="16"/>
        <v>3202</v>
      </c>
      <c r="AF82" s="15">
        <f t="shared" ca="1" si="11"/>
        <v>32</v>
      </c>
      <c r="AG82" s="15">
        <f t="shared" ca="1" si="17"/>
        <v>82110</v>
      </c>
      <c r="AH82" s="15" t="str">
        <f t="shared" ca="1" si="18"/>
        <v>{7}</v>
      </c>
      <c r="AI82" s="15">
        <f t="shared" ca="1" si="12"/>
        <v>5000</v>
      </c>
      <c r="AJ82" s="26" t="str">
        <f t="shared" ca="1" si="19"/>
        <v>融合卡材料-82110+7|50%</v>
      </c>
    </row>
    <row r="83" spans="1:36" x14ac:dyDescent="0.25">
      <c r="A83" s="14">
        <v>81</v>
      </c>
      <c r="B83" s="40" t="s">
        <v>307</v>
      </c>
      <c r="C83" s="14"/>
      <c r="D83" s="14" t="s">
        <v>353</v>
      </c>
      <c r="E83" s="14" t="s">
        <v>354</v>
      </c>
      <c r="F83" s="14" t="s">
        <v>355</v>
      </c>
      <c r="G83" s="14" t="s">
        <v>356</v>
      </c>
      <c r="H83" s="14" t="s">
        <v>357</v>
      </c>
      <c r="I83" s="14"/>
      <c r="J83" s="14"/>
      <c r="K83" s="14"/>
      <c r="L83" s="14"/>
      <c r="M83" s="14"/>
      <c r="N83" s="13"/>
      <c r="O83" s="32">
        <f t="shared" si="13"/>
        <v>0.99999999999999989</v>
      </c>
      <c r="P83" s="36">
        <v>0.2</v>
      </c>
      <c r="Q83" s="36">
        <v>0.3</v>
      </c>
      <c r="R83" s="36">
        <v>0.2</v>
      </c>
      <c r="S83" s="36">
        <v>0.2</v>
      </c>
      <c r="T83" s="36">
        <v>0.1</v>
      </c>
      <c r="U83" s="36"/>
      <c r="V83" s="36"/>
      <c r="W83" s="36"/>
      <c r="X83" s="36"/>
      <c r="Y83" s="36"/>
      <c r="Z83" s="15">
        <f t="shared" si="14"/>
        <v>5</v>
      </c>
      <c r="AA83" s="15">
        <f>SUM(Z$3:Z83)</f>
        <v>248</v>
      </c>
      <c r="AB83" s="37">
        <f t="shared" si="15"/>
        <v>33</v>
      </c>
      <c r="AC83" s="37">
        <f>COUNTIF(AB$3:AB83,AB83)</f>
        <v>3</v>
      </c>
      <c r="AD83" s="15" t="str">
        <f t="shared" ca="1" si="10"/>
        <v>82110+9</v>
      </c>
      <c r="AE83" s="37">
        <f t="shared" ca="1" si="16"/>
        <v>3203</v>
      </c>
      <c r="AF83" s="15">
        <f t="shared" ca="1" si="11"/>
        <v>32</v>
      </c>
      <c r="AG83" s="15">
        <f t="shared" ca="1" si="17"/>
        <v>82110</v>
      </c>
      <c r="AH83" s="15" t="str">
        <f t="shared" ca="1" si="18"/>
        <v>{9}</v>
      </c>
      <c r="AI83" s="15">
        <f t="shared" ca="1" si="12"/>
        <v>3000</v>
      </c>
      <c r="AJ83" s="26" t="str">
        <f t="shared" ca="1" si="19"/>
        <v>融合卡材料-82110+9|30%</v>
      </c>
    </row>
    <row r="84" spans="1:36" x14ac:dyDescent="0.25">
      <c r="A84" s="14">
        <v>82</v>
      </c>
      <c r="B84" s="40" t="s">
        <v>309</v>
      </c>
      <c r="C84" s="14"/>
      <c r="D84" s="14" t="s">
        <v>358</v>
      </c>
      <c r="E84" s="14" t="s">
        <v>359</v>
      </c>
      <c r="F84" s="14" t="s">
        <v>360</v>
      </c>
      <c r="G84" s="14"/>
      <c r="H84" s="14"/>
      <c r="I84" s="14"/>
      <c r="J84" s="14"/>
      <c r="K84" s="14"/>
      <c r="L84" s="14"/>
      <c r="M84" s="14"/>
      <c r="N84" s="13"/>
      <c r="O84" s="32">
        <f t="shared" si="13"/>
        <v>1</v>
      </c>
      <c r="P84" s="36">
        <v>0.35</v>
      </c>
      <c r="Q84" s="36">
        <v>0.4</v>
      </c>
      <c r="R84" s="36">
        <v>0.25</v>
      </c>
      <c r="S84" s="36"/>
      <c r="T84" s="36"/>
      <c r="U84" s="36"/>
      <c r="V84" s="36"/>
      <c r="W84" s="36"/>
      <c r="X84" s="36"/>
      <c r="Y84" s="36"/>
      <c r="Z84" s="15">
        <f t="shared" si="14"/>
        <v>3</v>
      </c>
      <c r="AA84" s="15">
        <f>SUM(Z$3:Z84)</f>
        <v>251</v>
      </c>
      <c r="AB84" s="37">
        <f t="shared" si="15"/>
        <v>33</v>
      </c>
      <c r="AC84" s="37">
        <f>COUNTIF(AB$3:AB84,AB84)</f>
        <v>4</v>
      </c>
      <c r="AD84" s="15" t="str">
        <f t="shared" ca="1" si="10"/>
        <v>82110+11</v>
      </c>
      <c r="AE84" s="37">
        <f t="shared" ca="1" si="16"/>
        <v>3204</v>
      </c>
      <c r="AF84" s="15">
        <f t="shared" ca="1" si="11"/>
        <v>32</v>
      </c>
      <c r="AG84" s="15">
        <f t="shared" ca="1" si="17"/>
        <v>82110</v>
      </c>
      <c r="AH84" s="15" t="str">
        <f t="shared" ca="1" si="18"/>
        <v>{11}</v>
      </c>
      <c r="AI84" s="15">
        <f t="shared" ca="1" si="12"/>
        <v>1000</v>
      </c>
      <c r="AJ84" s="26" t="str">
        <f t="shared" ca="1" si="19"/>
        <v>融合卡材料-82110+11|10%</v>
      </c>
    </row>
    <row r="85" spans="1:36" x14ac:dyDescent="0.25">
      <c r="A85" s="14">
        <v>83</v>
      </c>
      <c r="B85" s="40" t="s">
        <v>363</v>
      </c>
      <c r="C85" s="14"/>
      <c r="D85" s="14" t="s">
        <v>362</v>
      </c>
      <c r="E85" s="14" t="s">
        <v>365</v>
      </c>
      <c r="F85" s="14" t="s">
        <v>366</v>
      </c>
      <c r="G85" s="14"/>
      <c r="H85" s="14"/>
      <c r="I85" s="14"/>
      <c r="J85" s="14"/>
      <c r="K85" s="14"/>
      <c r="L85" s="14"/>
      <c r="M85" s="14"/>
      <c r="N85" s="13"/>
      <c r="O85" s="32">
        <f t="shared" si="13"/>
        <v>1</v>
      </c>
      <c r="P85" s="36">
        <v>0.3</v>
      </c>
      <c r="Q85" s="36">
        <v>0.4</v>
      </c>
      <c r="R85" s="36">
        <v>0.3</v>
      </c>
      <c r="S85" s="36"/>
      <c r="T85" s="36"/>
      <c r="U85" s="36"/>
      <c r="V85" s="36"/>
      <c r="W85" s="36"/>
      <c r="X85" s="36"/>
      <c r="Y85" s="36"/>
      <c r="Z85" s="15">
        <f t="shared" si="14"/>
        <v>3</v>
      </c>
      <c r="AA85" s="15">
        <f>SUM(Z$3:Z85)</f>
        <v>254</v>
      </c>
      <c r="AB85" s="37">
        <f t="shared" si="15"/>
        <v>34</v>
      </c>
      <c r="AC85" s="37">
        <f>COUNTIF(AB$3:AB85,AB85)</f>
        <v>1</v>
      </c>
      <c r="AD85" s="15" t="str">
        <f t="shared" ca="1" si="10"/>
        <v>92120+3</v>
      </c>
      <c r="AE85" s="37">
        <f t="shared" ca="1" si="16"/>
        <v>3301</v>
      </c>
      <c r="AF85" s="15">
        <f t="shared" ca="1" si="11"/>
        <v>33</v>
      </c>
      <c r="AG85" s="15">
        <f t="shared" ca="1" si="17"/>
        <v>92120</v>
      </c>
      <c r="AH85" s="15" t="str">
        <f t="shared" ca="1" si="18"/>
        <v>{3}</v>
      </c>
      <c r="AI85" s="15">
        <f t="shared" ca="1" si="12"/>
        <v>7000</v>
      </c>
      <c r="AJ85" s="26" t="str">
        <f t="shared" ca="1" si="19"/>
        <v>融合卡材料-92120+3|70%</v>
      </c>
    </row>
    <row r="86" spans="1:36" x14ac:dyDescent="0.25">
      <c r="A86" s="14">
        <v>84</v>
      </c>
      <c r="B86" s="40" t="s">
        <v>364</v>
      </c>
      <c r="C86" s="14"/>
      <c r="D86" s="14" t="s">
        <v>367</v>
      </c>
      <c r="E86" s="14" t="s">
        <v>368</v>
      </c>
      <c r="F86" s="14" t="s">
        <v>369</v>
      </c>
      <c r="G86" s="14"/>
      <c r="H86" s="14"/>
      <c r="I86" s="14"/>
      <c r="J86" s="14"/>
      <c r="K86" s="14"/>
      <c r="L86" s="14"/>
      <c r="M86" s="14"/>
      <c r="N86" s="13"/>
      <c r="O86" s="32">
        <f t="shared" si="13"/>
        <v>1</v>
      </c>
      <c r="P86" s="36">
        <v>0.3</v>
      </c>
      <c r="Q86" s="36">
        <v>0.4</v>
      </c>
      <c r="R86" s="36">
        <v>0.3</v>
      </c>
      <c r="S86" s="36"/>
      <c r="T86" s="36"/>
      <c r="U86" s="36"/>
      <c r="V86" s="36"/>
      <c r="W86" s="36"/>
      <c r="X86" s="36"/>
      <c r="Y86" s="36"/>
      <c r="Z86" s="15">
        <f t="shared" si="14"/>
        <v>3</v>
      </c>
      <c r="AA86" s="15">
        <f>SUM(Z$3:Z86)</f>
        <v>257</v>
      </c>
      <c r="AB86" s="37">
        <f t="shared" si="15"/>
        <v>34</v>
      </c>
      <c r="AC86" s="37">
        <f>COUNTIF(AB$3:AB86,AB86)</f>
        <v>2</v>
      </c>
      <c r="AD86" s="15" t="str">
        <f t="shared" ca="1" si="10"/>
        <v>92120+4</v>
      </c>
      <c r="AE86" s="37">
        <f t="shared" ca="1" si="16"/>
        <v>3302</v>
      </c>
      <c r="AF86" s="15">
        <f t="shared" ca="1" si="11"/>
        <v>33</v>
      </c>
      <c r="AG86" s="15">
        <f t="shared" ca="1" si="17"/>
        <v>92120</v>
      </c>
      <c r="AH86" s="15" t="str">
        <f t="shared" ca="1" si="18"/>
        <v>{4}</v>
      </c>
      <c r="AI86" s="15">
        <f t="shared" ca="1" si="12"/>
        <v>2000</v>
      </c>
      <c r="AJ86" s="26" t="str">
        <f t="shared" ca="1" si="19"/>
        <v>融合卡材料-92120+4|20%</v>
      </c>
    </row>
    <row r="87" spans="1:3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3"/>
      <c r="O87" s="32">
        <f t="shared" si="13"/>
        <v>0</v>
      </c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15">
        <f t="shared" si="14"/>
        <v>0</v>
      </c>
      <c r="AA87" s="15">
        <f>SUM(Z$3:Z87)</f>
        <v>257</v>
      </c>
      <c r="AB87" s="37">
        <f t="shared" si="15"/>
        <v>34</v>
      </c>
      <c r="AC87" s="37">
        <f>COUNTIF(AB$3:AB87,AB87)</f>
        <v>3</v>
      </c>
      <c r="AD87" s="15" t="str">
        <f t="shared" ca="1" si="10"/>
        <v>92120+5</v>
      </c>
      <c r="AE87" s="37">
        <f t="shared" ca="1" si="16"/>
        <v>3303</v>
      </c>
      <c r="AF87" s="15">
        <f t="shared" ca="1" si="11"/>
        <v>33</v>
      </c>
      <c r="AG87" s="15">
        <f t="shared" ca="1" si="17"/>
        <v>92120</v>
      </c>
      <c r="AH87" s="15" t="str">
        <f t="shared" ca="1" si="18"/>
        <v>{5}</v>
      </c>
      <c r="AI87" s="15">
        <f t="shared" ca="1" si="12"/>
        <v>1000</v>
      </c>
      <c r="AJ87" s="26" t="str">
        <f t="shared" ca="1" si="19"/>
        <v>融合卡材料-92120+5|10%</v>
      </c>
    </row>
    <row r="88" spans="1:3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3"/>
      <c r="O88" s="32">
        <f t="shared" si="13"/>
        <v>0</v>
      </c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15">
        <f t="shared" si="14"/>
        <v>0</v>
      </c>
      <c r="AA88" s="15">
        <f>SUM(Z$3:Z88)</f>
        <v>257</v>
      </c>
      <c r="AB88" s="37">
        <f t="shared" si="15"/>
        <v>35</v>
      </c>
      <c r="AC88" s="37">
        <f>COUNTIF(AB$3:AB88,AB88)</f>
        <v>1</v>
      </c>
      <c r="AD88" s="15" t="str">
        <f t="shared" ca="1" si="10"/>
        <v>92130+3</v>
      </c>
      <c r="AE88" s="37">
        <f t="shared" ca="1" si="16"/>
        <v>3401</v>
      </c>
      <c r="AF88" s="15">
        <f t="shared" ca="1" si="11"/>
        <v>34</v>
      </c>
      <c r="AG88" s="15">
        <f t="shared" ca="1" si="17"/>
        <v>92130</v>
      </c>
      <c r="AH88" s="15" t="str">
        <f t="shared" ca="1" si="18"/>
        <v>{3}</v>
      </c>
      <c r="AI88" s="15">
        <f t="shared" ca="1" si="12"/>
        <v>7000</v>
      </c>
      <c r="AJ88" s="26" t="str">
        <f t="shared" ca="1" si="19"/>
        <v>融合卡材料-92130+3|70%</v>
      </c>
    </row>
    <row r="89" spans="1:3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3"/>
      <c r="O89" s="32">
        <f t="shared" si="13"/>
        <v>0</v>
      </c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15">
        <f t="shared" si="14"/>
        <v>0</v>
      </c>
      <c r="AA89" s="15">
        <f>SUM(Z$3:Z89)</f>
        <v>257</v>
      </c>
      <c r="AB89" s="37">
        <f t="shared" si="15"/>
        <v>35</v>
      </c>
      <c r="AC89" s="37">
        <f>COUNTIF(AB$3:AB89,AB89)</f>
        <v>2</v>
      </c>
      <c r="AD89" s="15" t="str">
        <f t="shared" ca="1" si="10"/>
        <v>92130+4</v>
      </c>
      <c r="AE89" s="37">
        <f t="shared" ca="1" si="16"/>
        <v>3402</v>
      </c>
      <c r="AF89" s="15">
        <f t="shared" ca="1" si="11"/>
        <v>34</v>
      </c>
      <c r="AG89" s="15">
        <f t="shared" ca="1" si="17"/>
        <v>92130</v>
      </c>
      <c r="AH89" s="15" t="str">
        <f t="shared" ca="1" si="18"/>
        <v>{4}</v>
      </c>
      <c r="AI89" s="15">
        <f t="shared" ca="1" si="12"/>
        <v>2000</v>
      </c>
      <c r="AJ89" s="26" t="str">
        <f t="shared" ca="1" si="19"/>
        <v>融合卡材料-92130+4|20%</v>
      </c>
    </row>
    <row r="90" spans="1:3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3"/>
      <c r="O90" s="32">
        <f t="shared" si="13"/>
        <v>0</v>
      </c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15">
        <f t="shared" si="14"/>
        <v>0</v>
      </c>
      <c r="AA90" s="15">
        <f>SUM(Z$3:Z90)</f>
        <v>257</v>
      </c>
      <c r="AB90" s="37">
        <f t="shared" si="15"/>
        <v>35</v>
      </c>
      <c r="AC90" s="37">
        <f>COUNTIF(AB$3:AB90,AB90)</f>
        <v>3</v>
      </c>
      <c r="AD90" s="15" t="str">
        <f t="shared" ca="1" si="10"/>
        <v>92130+5</v>
      </c>
      <c r="AE90" s="37">
        <f t="shared" ca="1" si="16"/>
        <v>3403</v>
      </c>
      <c r="AF90" s="15">
        <f t="shared" ca="1" si="11"/>
        <v>34</v>
      </c>
      <c r="AG90" s="15">
        <f t="shared" ca="1" si="17"/>
        <v>92130</v>
      </c>
      <c r="AH90" s="15" t="str">
        <f t="shared" ca="1" si="18"/>
        <v>{5}</v>
      </c>
      <c r="AI90" s="15">
        <f t="shared" ca="1" si="12"/>
        <v>1000</v>
      </c>
      <c r="AJ90" s="26" t="str">
        <f t="shared" ca="1" si="19"/>
        <v>融合卡材料-92130+5|10%</v>
      </c>
    </row>
    <row r="91" spans="1:3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3"/>
      <c r="O91" s="32">
        <f t="shared" si="13"/>
        <v>0</v>
      </c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15">
        <f t="shared" si="14"/>
        <v>0</v>
      </c>
      <c r="AA91" s="15">
        <f>SUM(Z$3:Z91)</f>
        <v>257</v>
      </c>
      <c r="AB91" s="37">
        <f t="shared" si="15"/>
        <v>36</v>
      </c>
      <c r="AC91" s="37">
        <f>COUNTIF(AB$3:AB91,AB91)</f>
        <v>1</v>
      </c>
      <c r="AD91" s="15" t="str">
        <f t="shared" ca="1" si="10"/>
        <v>92140+3</v>
      </c>
      <c r="AE91" s="37">
        <f t="shared" ca="1" si="16"/>
        <v>3501</v>
      </c>
      <c r="AF91" s="15">
        <f t="shared" ca="1" si="11"/>
        <v>35</v>
      </c>
      <c r="AG91" s="15">
        <f t="shared" ca="1" si="17"/>
        <v>92140</v>
      </c>
      <c r="AH91" s="15" t="str">
        <f t="shared" ca="1" si="18"/>
        <v>{3}</v>
      </c>
      <c r="AI91" s="15">
        <f t="shared" ca="1" si="12"/>
        <v>7000</v>
      </c>
      <c r="AJ91" s="26" t="str">
        <f t="shared" ca="1" si="19"/>
        <v>融合卡材料-92140+3|70%</v>
      </c>
    </row>
    <row r="92" spans="1:3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3"/>
      <c r="O92" s="32">
        <f t="shared" si="13"/>
        <v>0</v>
      </c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15">
        <f t="shared" si="14"/>
        <v>0</v>
      </c>
      <c r="AA92" s="15">
        <f>SUM(Z$3:Z92)</f>
        <v>257</v>
      </c>
      <c r="AB92" s="37">
        <f t="shared" si="15"/>
        <v>36</v>
      </c>
      <c r="AC92" s="37">
        <f>COUNTIF(AB$3:AB92,AB92)</f>
        <v>2</v>
      </c>
      <c r="AD92" s="15" t="str">
        <f t="shared" ca="1" si="10"/>
        <v>92140+4</v>
      </c>
      <c r="AE92" s="37">
        <f t="shared" ca="1" si="16"/>
        <v>3502</v>
      </c>
      <c r="AF92" s="15">
        <f t="shared" ca="1" si="11"/>
        <v>35</v>
      </c>
      <c r="AG92" s="15">
        <f t="shared" ca="1" si="17"/>
        <v>92140</v>
      </c>
      <c r="AH92" s="15" t="str">
        <f t="shared" ca="1" si="18"/>
        <v>{4}</v>
      </c>
      <c r="AI92" s="15">
        <f t="shared" ca="1" si="12"/>
        <v>2000</v>
      </c>
      <c r="AJ92" s="26" t="str">
        <f t="shared" ca="1" si="19"/>
        <v>融合卡材料-92140+4|20%</v>
      </c>
    </row>
    <row r="93" spans="1:3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3"/>
      <c r="O93" s="32">
        <f t="shared" si="13"/>
        <v>0</v>
      </c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15">
        <f t="shared" si="14"/>
        <v>0</v>
      </c>
      <c r="AA93" s="15">
        <f>SUM(Z$3:Z93)</f>
        <v>257</v>
      </c>
      <c r="AB93" s="37">
        <f t="shared" si="15"/>
        <v>36</v>
      </c>
      <c r="AC93" s="37">
        <f>COUNTIF(AB$3:AB93,AB93)</f>
        <v>3</v>
      </c>
      <c r="AD93" s="15" t="str">
        <f t="shared" ca="1" si="10"/>
        <v>92140+5</v>
      </c>
      <c r="AE93" s="37">
        <f t="shared" ca="1" si="16"/>
        <v>3503</v>
      </c>
      <c r="AF93" s="15">
        <f t="shared" ca="1" si="11"/>
        <v>35</v>
      </c>
      <c r="AG93" s="15">
        <f t="shared" ca="1" si="17"/>
        <v>92140</v>
      </c>
      <c r="AH93" s="15" t="str">
        <f t="shared" ca="1" si="18"/>
        <v>{5}</v>
      </c>
      <c r="AI93" s="15">
        <f t="shared" ca="1" si="12"/>
        <v>1000</v>
      </c>
      <c r="AJ93" s="26" t="str">
        <f t="shared" ca="1" si="19"/>
        <v>融合卡材料-92140+5|10%</v>
      </c>
    </row>
    <row r="94" spans="1:3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3"/>
      <c r="O94" s="32">
        <f t="shared" si="13"/>
        <v>0</v>
      </c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15">
        <f t="shared" si="14"/>
        <v>0</v>
      </c>
      <c r="AA94" s="15">
        <f>SUM(Z$3:Z94)</f>
        <v>257</v>
      </c>
      <c r="AB94" s="37">
        <f t="shared" si="15"/>
        <v>37</v>
      </c>
      <c r="AC94" s="37">
        <f>COUNTIF(AB$3:AB94,AB94)</f>
        <v>1</v>
      </c>
      <c r="AD94" s="15" t="str">
        <f t="shared" ca="1" si="10"/>
        <v>92220+3</v>
      </c>
      <c r="AE94" s="37">
        <f t="shared" ca="1" si="16"/>
        <v>3601</v>
      </c>
      <c r="AF94" s="15">
        <f t="shared" ca="1" si="11"/>
        <v>36</v>
      </c>
      <c r="AG94" s="15">
        <f t="shared" ca="1" si="17"/>
        <v>92220</v>
      </c>
      <c r="AH94" s="15" t="str">
        <f t="shared" ca="1" si="18"/>
        <v>{3}</v>
      </c>
      <c r="AI94" s="15">
        <f t="shared" ca="1" si="12"/>
        <v>7000</v>
      </c>
      <c r="AJ94" s="26" t="str">
        <f t="shared" ca="1" si="19"/>
        <v>融合卡材料-92220+3|70%</v>
      </c>
    </row>
    <row r="95" spans="1:3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3"/>
      <c r="O95" s="32">
        <f t="shared" si="13"/>
        <v>0</v>
      </c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15">
        <f t="shared" si="14"/>
        <v>0</v>
      </c>
      <c r="AA95" s="15">
        <f>SUM(Z$3:Z95)</f>
        <v>257</v>
      </c>
      <c r="AB95" s="37">
        <f t="shared" si="15"/>
        <v>37</v>
      </c>
      <c r="AC95" s="37">
        <f>COUNTIF(AB$3:AB95,AB95)</f>
        <v>2</v>
      </c>
      <c r="AD95" s="15" t="str">
        <f t="shared" ca="1" si="10"/>
        <v>92220+4</v>
      </c>
      <c r="AE95" s="37">
        <f t="shared" ca="1" si="16"/>
        <v>3602</v>
      </c>
      <c r="AF95" s="15">
        <f t="shared" ca="1" si="11"/>
        <v>36</v>
      </c>
      <c r="AG95" s="15">
        <f t="shared" ca="1" si="17"/>
        <v>92220</v>
      </c>
      <c r="AH95" s="15" t="str">
        <f t="shared" ca="1" si="18"/>
        <v>{4}</v>
      </c>
      <c r="AI95" s="15">
        <f t="shared" ca="1" si="12"/>
        <v>2000</v>
      </c>
      <c r="AJ95" s="26" t="str">
        <f t="shared" ca="1" si="19"/>
        <v>融合卡材料-92220+4|20%</v>
      </c>
    </row>
    <row r="96" spans="1:3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3"/>
      <c r="O96" s="32">
        <f t="shared" si="13"/>
        <v>0</v>
      </c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15">
        <f t="shared" si="14"/>
        <v>0</v>
      </c>
      <c r="AA96" s="15">
        <f>SUM(Z$3:Z96)</f>
        <v>257</v>
      </c>
      <c r="AB96" s="37">
        <f t="shared" si="15"/>
        <v>37</v>
      </c>
      <c r="AC96" s="37">
        <f>COUNTIF(AB$3:AB96,AB96)</f>
        <v>3</v>
      </c>
      <c r="AD96" s="15" t="str">
        <f t="shared" ca="1" si="10"/>
        <v>92220+5</v>
      </c>
      <c r="AE96" s="37">
        <f t="shared" ca="1" si="16"/>
        <v>3603</v>
      </c>
      <c r="AF96" s="15">
        <f t="shared" ca="1" si="11"/>
        <v>36</v>
      </c>
      <c r="AG96" s="15">
        <f t="shared" ca="1" si="17"/>
        <v>92220</v>
      </c>
      <c r="AH96" s="15" t="str">
        <f t="shared" ca="1" si="18"/>
        <v>{5}</v>
      </c>
      <c r="AI96" s="15">
        <f t="shared" ca="1" si="12"/>
        <v>1000</v>
      </c>
      <c r="AJ96" s="26" t="str">
        <f t="shared" ca="1" si="19"/>
        <v>融合卡材料-92220+5|10%</v>
      </c>
    </row>
    <row r="97" spans="1:3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3"/>
      <c r="O97" s="32">
        <f t="shared" si="13"/>
        <v>0</v>
      </c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15">
        <f t="shared" si="14"/>
        <v>0</v>
      </c>
      <c r="AA97" s="15">
        <f>SUM(Z$3:Z97)</f>
        <v>257</v>
      </c>
      <c r="AB97" s="37">
        <f t="shared" si="15"/>
        <v>38</v>
      </c>
      <c r="AC97" s="37">
        <f>COUNTIF(AB$3:AB97,AB97)</f>
        <v>1</v>
      </c>
      <c r="AD97" s="15" t="str">
        <f t="shared" ca="1" si="10"/>
        <v>92230+3</v>
      </c>
      <c r="AE97" s="37">
        <f t="shared" ca="1" si="16"/>
        <v>3701</v>
      </c>
      <c r="AF97" s="15">
        <f t="shared" ca="1" si="11"/>
        <v>37</v>
      </c>
      <c r="AG97" s="15">
        <f t="shared" ca="1" si="17"/>
        <v>92230</v>
      </c>
      <c r="AH97" s="15" t="str">
        <f t="shared" ca="1" si="18"/>
        <v>{3}</v>
      </c>
      <c r="AI97" s="15">
        <f t="shared" ca="1" si="12"/>
        <v>7000</v>
      </c>
      <c r="AJ97" s="26" t="str">
        <f t="shared" ca="1" si="19"/>
        <v>融合卡材料-92230+3|70%</v>
      </c>
    </row>
    <row r="98" spans="1:3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3"/>
      <c r="O98" s="32">
        <f t="shared" si="13"/>
        <v>0</v>
      </c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15">
        <f t="shared" si="14"/>
        <v>0</v>
      </c>
      <c r="AA98" s="15">
        <f>SUM(Z$3:Z98)</f>
        <v>257</v>
      </c>
      <c r="AB98" s="37">
        <f t="shared" si="15"/>
        <v>38</v>
      </c>
      <c r="AC98" s="37">
        <f>COUNTIF(AB$3:AB98,AB98)</f>
        <v>2</v>
      </c>
      <c r="AD98" s="15" t="str">
        <f t="shared" ca="1" si="10"/>
        <v>92230+4</v>
      </c>
      <c r="AE98" s="37">
        <f t="shared" ca="1" si="16"/>
        <v>3702</v>
      </c>
      <c r="AF98" s="15">
        <f t="shared" ca="1" si="11"/>
        <v>37</v>
      </c>
      <c r="AG98" s="15">
        <f t="shared" ca="1" si="17"/>
        <v>92230</v>
      </c>
      <c r="AH98" s="15" t="str">
        <f t="shared" ca="1" si="18"/>
        <v>{4}</v>
      </c>
      <c r="AI98" s="15">
        <f t="shared" ca="1" si="12"/>
        <v>2000</v>
      </c>
      <c r="AJ98" s="26" t="str">
        <f t="shared" ca="1" si="19"/>
        <v>融合卡材料-92230+4|20%</v>
      </c>
    </row>
    <row r="99" spans="1:3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3"/>
      <c r="O99" s="32">
        <f t="shared" si="13"/>
        <v>0</v>
      </c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15">
        <f t="shared" si="14"/>
        <v>0</v>
      </c>
      <c r="AA99" s="15">
        <f>SUM(Z$3:Z99)</f>
        <v>257</v>
      </c>
      <c r="AB99" s="37">
        <f t="shared" si="15"/>
        <v>38</v>
      </c>
      <c r="AC99" s="37">
        <f>COUNTIF(AB$3:AB99,AB99)</f>
        <v>3</v>
      </c>
      <c r="AD99" s="15" t="str">
        <f t="shared" ca="1" si="10"/>
        <v>92230+5</v>
      </c>
      <c r="AE99" s="37">
        <f t="shared" ca="1" si="16"/>
        <v>3703</v>
      </c>
      <c r="AF99" s="15">
        <f t="shared" ca="1" si="11"/>
        <v>37</v>
      </c>
      <c r="AG99" s="15">
        <f t="shared" ca="1" si="17"/>
        <v>92230</v>
      </c>
      <c r="AH99" s="15" t="str">
        <f t="shared" ca="1" si="18"/>
        <v>{5}</v>
      </c>
      <c r="AI99" s="15">
        <f t="shared" ca="1" si="12"/>
        <v>1000</v>
      </c>
      <c r="AJ99" s="26" t="str">
        <f t="shared" ca="1" si="19"/>
        <v>融合卡材料-92230+5|10%</v>
      </c>
    </row>
    <row r="100" spans="1:3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3"/>
      <c r="O100" s="32">
        <f t="shared" si="13"/>
        <v>0</v>
      </c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15">
        <f t="shared" si="14"/>
        <v>0</v>
      </c>
      <c r="AA100" s="15">
        <f>SUM(Z$3:Z100)</f>
        <v>257</v>
      </c>
      <c r="AB100" s="37">
        <f t="shared" si="15"/>
        <v>39</v>
      </c>
      <c r="AC100" s="37">
        <f>COUNTIF(AB$3:AB100,AB100)</f>
        <v>1</v>
      </c>
      <c r="AD100" s="15" t="str">
        <f t="shared" ca="1" si="10"/>
        <v>92240+3</v>
      </c>
      <c r="AE100" s="37">
        <f t="shared" ca="1" si="16"/>
        <v>3801</v>
      </c>
      <c r="AF100" s="15">
        <f t="shared" ca="1" si="11"/>
        <v>38</v>
      </c>
      <c r="AG100" s="15">
        <f t="shared" ca="1" si="17"/>
        <v>92240</v>
      </c>
      <c r="AH100" s="15" t="str">
        <f t="shared" ca="1" si="18"/>
        <v>{3}</v>
      </c>
      <c r="AI100" s="15">
        <f t="shared" ca="1" si="12"/>
        <v>7000</v>
      </c>
      <c r="AJ100" s="26" t="str">
        <f t="shared" ca="1" si="19"/>
        <v>融合卡材料-92240+3|70%</v>
      </c>
    </row>
    <row r="101" spans="1:3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3"/>
      <c r="O101" s="32">
        <f t="shared" si="13"/>
        <v>0</v>
      </c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15">
        <f t="shared" si="14"/>
        <v>0</v>
      </c>
      <c r="AA101" s="15">
        <f>SUM(Z$3:Z101)</f>
        <v>257</v>
      </c>
      <c r="AB101" s="37">
        <f t="shared" si="15"/>
        <v>39</v>
      </c>
      <c r="AC101" s="37">
        <f>COUNTIF(AB$3:AB101,AB101)</f>
        <v>2</v>
      </c>
      <c r="AD101" s="15" t="str">
        <f t="shared" ca="1" si="10"/>
        <v>92240+4</v>
      </c>
      <c r="AE101" s="37">
        <f t="shared" ca="1" si="16"/>
        <v>3802</v>
      </c>
      <c r="AF101" s="15">
        <f t="shared" ca="1" si="11"/>
        <v>38</v>
      </c>
      <c r="AG101" s="15">
        <f t="shared" ca="1" si="17"/>
        <v>92240</v>
      </c>
      <c r="AH101" s="15" t="str">
        <f t="shared" ca="1" si="18"/>
        <v>{4}</v>
      </c>
      <c r="AI101" s="15">
        <f t="shared" ca="1" si="12"/>
        <v>2000</v>
      </c>
      <c r="AJ101" s="26" t="str">
        <f t="shared" ca="1" si="19"/>
        <v>融合卡材料-92240+4|20%</v>
      </c>
    </row>
    <row r="102" spans="1:3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3"/>
      <c r="O102" s="32">
        <f t="shared" si="13"/>
        <v>0</v>
      </c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15">
        <f t="shared" si="14"/>
        <v>0</v>
      </c>
      <c r="AA102" s="15">
        <f>SUM(Z$3:Z102)</f>
        <v>257</v>
      </c>
      <c r="AB102" s="37">
        <f t="shared" si="15"/>
        <v>39</v>
      </c>
      <c r="AC102" s="37">
        <f>COUNTIF(AB$3:AB102,AB102)</f>
        <v>3</v>
      </c>
      <c r="AD102" s="15" t="str">
        <f t="shared" ca="1" si="10"/>
        <v>92240+5</v>
      </c>
      <c r="AE102" s="37">
        <f t="shared" ca="1" si="16"/>
        <v>3803</v>
      </c>
      <c r="AF102" s="15">
        <f t="shared" ca="1" si="11"/>
        <v>38</v>
      </c>
      <c r="AG102" s="15">
        <f t="shared" ca="1" si="17"/>
        <v>92240</v>
      </c>
      <c r="AH102" s="15" t="str">
        <f t="shared" ca="1" si="18"/>
        <v>{5}</v>
      </c>
      <c r="AI102" s="15">
        <f t="shared" ca="1" si="12"/>
        <v>1000</v>
      </c>
      <c r="AJ102" s="26" t="str">
        <f t="shared" ca="1" si="19"/>
        <v>融合卡材料-92240+5|10%</v>
      </c>
    </row>
    <row r="103" spans="1:3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3"/>
      <c r="O103" s="32">
        <f t="shared" si="13"/>
        <v>0</v>
      </c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15">
        <f t="shared" si="14"/>
        <v>0</v>
      </c>
      <c r="AA103" s="15">
        <f>SUM(Z$3:Z103)</f>
        <v>257</v>
      </c>
      <c r="AB103" s="37">
        <f t="shared" si="15"/>
        <v>40</v>
      </c>
      <c r="AC103" s="37">
        <f>COUNTIF(AB$3:AB103,AB103)</f>
        <v>1</v>
      </c>
      <c r="AD103" s="15" t="str">
        <f t="shared" ca="1" si="10"/>
        <v>92320+3</v>
      </c>
      <c r="AE103" s="37">
        <f t="shared" ca="1" si="16"/>
        <v>3901</v>
      </c>
      <c r="AF103" s="15">
        <f t="shared" ca="1" si="11"/>
        <v>39</v>
      </c>
      <c r="AG103" s="15">
        <f t="shared" ca="1" si="17"/>
        <v>92320</v>
      </c>
      <c r="AH103" s="15" t="str">
        <f t="shared" ca="1" si="18"/>
        <v>{3}</v>
      </c>
      <c r="AI103" s="15">
        <f t="shared" ca="1" si="12"/>
        <v>7000</v>
      </c>
      <c r="AJ103" s="26" t="str">
        <f t="shared" ca="1" si="19"/>
        <v>融合卡材料-92320+3|70%</v>
      </c>
    </row>
    <row r="104" spans="1:3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3"/>
      <c r="O104" s="32">
        <f t="shared" si="13"/>
        <v>0</v>
      </c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15">
        <f t="shared" si="14"/>
        <v>0</v>
      </c>
      <c r="AA104" s="15">
        <f>SUM(Z$3:Z104)</f>
        <v>257</v>
      </c>
      <c r="AB104" s="37">
        <f t="shared" si="15"/>
        <v>40</v>
      </c>
      <c r="AC104" s="37">
        <f>COUNTIF(AB$3:AB104,AB104)</f>
        <v>2</v>
      </c>
      <c r="AD104" s="15" t="str">
        <f t="shared" ca="1" si="10"/>
        <v>92320+4</v>
      </c>
      <c r="AE104" s="37">
        <f t="shared" ca="1" si="16"/>
        <v>3902</v>
      </c>
      <c r="AF104" s="15">
        <f t="shared" ca="1" si="11"/>
        <v>39</v>
      </c>
      <c r="AG104" s="15">
        <f t="shared" ca="1" si="17"/>
        <v>92320</v>
      </c>
      <c r="AH104" s="15" t="str">
        <f t="shared" ca="1" si="18"/>
        <v>{4}</v>
      </c>
      <c r="AI104" s="15">
        <f t="shared" ca="1" si="12"/>
        <v>2000</v>
      </c>
      <c r="AJ104" s="26" t="str">
        <f t="shared" ca="1" si="19"/>
        <v>融合卡材料-92320+4|20%</v>
      </c>
    </row>
    <row r="105" spans="1:3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3"/>
      <c r="O105" s="32">
        <f t="shared" si="13"/>
        <v>0</v>
      </c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15">
        <f t="shared" si="14"/>
        <v>0</v>
      </c>
      <c r="AA105" s="15">
        <f>SUM(Z$3:Z105)</f>
        <v>257</v>
      </c>
      <c r="AB105" s="37">
        <f t="shared" si="15"/>
        <v>40</v>
      </c>
      <c r="AC105" s="37">
        <f>COUNTIF(AB$3:AB105,AB105)</f>
        <v>3</v>
      </c>
      <c r="AD105" s="15" t="str">
        <f t="shared" ca="1" si="10"/>
        <v>92320+5</v>
      </c>
      <c r="AE105" s="37">
        <f t="shared" ca="1" si="16"/>
        <v>3903</v>
      </c>
      <c r="AF105" s="15">
        <f t="shared" ca="1" si="11"/>
        <v>39</v>
      </c>
      <c r="AG105" s="15">
        <f t="shared" ca="1" si="17"/>
        <v>92320</v>
      </c>
      <c r="AH105" s="15" t="str">
        <f t="shared" ca="1" si="18"/>
        <v>{5}</v>
      </c>
      <c r="AI105" s="15">
        <f t="shared" ca="1" si="12"/>
        <v>1000</v>
      </c>
      <c r="AJ105" s="26" t="str">
        <f t="shared" ca="1" si="19"/>
        <v>融合卡材料-92320+5|10%</v>
      </c>
    </row>
    <row r="106" spans="1:3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3"/>
      <c r="O106" s="32">
        <f t="shared" si="13"/>
        <v>0</v>
      </c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15">
        <f t="shared" si="14"/>
        <v>0</v>
      </c>
      <c r="AA106" s="15">
        <f>SUM(Z$3:Z106)</f>
        <v>257</v>
      </c>
      <c r="AB106" s="37">
        <f t="shared" si="15"/>
        <v>41</v>
      </c>
      <c r="AC106" s="37">
        <f>COUNTIF(AB$3:AB106,AB106)</f>
        <v>1</v>
      </c>
      <c r="AD106" s="15" t="str">
        <f t="shared" ca="1" si="10"/>
        <v>92330+3</v>
      </c>
      <c r="AE106" s="37">
        <f t="shared" ca="1" si="16"/>
        <v>4001</v>
      </c>
      <c r="AF106" s="15">
        <f t="shared" ca="1" si="11"/>
        <v>40</v>
      </c>
      <c r="AG106" s="15">
        <f t="shared" ca="1" si="17"/>
        <v>92330</v>
      </c>
      <c r="AH106" s="15" t="str">
        <f t="shared" ca="1" si="18"/>
        <v>{3}</v>
      </c>
      <c r="AI106" s="15">
        <f t="shared" ca="1" si="12"/>
        <v>7000</v>
      </c>
      <c r="AJ106" s="26" t="str">
        <f t="shared" ca="1" si="19"/>
        <v>融合卡材料-92330+3|70%</v>
      </c>
    </row>
    <row r="107" spans="1:3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3"/>
      <c r="O107" s="32">
        <f t="shared" si="13"/>
        <v>0</v>
      </c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15">
        <f t="shared" si="14"/>
        <v>0</v>
      </c>
      <c r="AA107" s="15">
        <f>SUM(Z$3:Z107)</f>
        <v>257</v>
      </c>
      <c r="AB107" s="37">
        <f t="shared" si="15"/>
        <v>41</v>
      </c>
      <c r="AC107" s="37">
        <f>COUNTIF(AB$3:AB107,AB107)</f>
        <v>2</v>
      </c>
      <c r="AD107" s="15" t="str">
        <f t="shared" ca="1" si="10"/>
        <v>92330+4</v>
      </c>
      <c r="AE107" s="37">
        <f t="shared" ca="1" si="16"/>
        <v>4002</v>
      </c>
      <c r="AF107" s="15">
        <f t="shared" ca="1" si="11"/>
        <v>40</v>
      </c>
      <c r="AG107" s="15">
        <f t="shared" ca="1" si="17"/>
        <v>92330</v>
      </c>
      <c r="AH107" s="15" t="str">
        <f t="shared" ca="1" si="18"/>
        <v>{4}</v>
      </c>
      <c r="AI107" s="15">
        <f t="shared" ca="1" si="12"/>
        <v>2000</v>
      </c>
      <c r="AJ107" s="26" t="str">
        <f t="shared" ca="1" si="19"/>
        <v>融合卡材料-92330+4|20%</v>
      </c>
    </row>
    <row r="108" spans="1:3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3"/>
      <c r="O108" s="32">
        <f t="shared" si="13"/>
        <v>0</v>
      </c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15">
        <f t="shared" si="14"/>
        <v>0</v>
      </c>
      <c r="AA108" s="15">
        <f>SUM(Z$3:Z108)</f>
        <v>257</v>
      </c>
      <c r="AB108" s="37">
        <f t="shared" si="15"/>
        <v>41</v>
      </c>
      <c r="AC108" s="37">
        <f>COUNTIF(AB$3:AB108,AB108)</f>
        <v>3</v>
      </c>
      <c r="AD108" s="15" t="str">
        <f t="shared" ca="1" si="10"/>
        <v>92330+5</v>
      </c>
      <c r="AE108" s="37">
        <f t="shared" ca="1" si="16"/>
        <v>4003</v>
      </c>
      <c r="AF108" s="15">
        <f t="shared" ca="1" si="11"/>
        <v>40</v>
      </c>
      <c r="AG108" s="15">
        <f t="shared" ca="1" si="17"/>
        <v>92330</v>
      </c>
      <c r="AH108" s="15" t="str">
        <f t="shared" ca="1" si="18"/>
        <v>{5}</v>
      </c>
      <c r="AI108" s="15">
        <f t="shared" ca="1" si="12"/>
        <v>1000</v>
      </c>
      <c r="AJ108" s="26" t="str">
        <f t="shared" ca="1" si="19"/>
        <v>融合卡材料-92330+5|10%</v>
      </c>
    </row>
    <row r="109" spans="1:3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3"/>
      <c r="O109" s="32">
        <f t="shared" si="13"/>
        <v>0</v>
      </c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15">
        <f t="shared" si="14"/>
        <v>0</v>
      </c>
      <c r="AA109" s="15">
        <f>SUM(Z$3:Z109)</f>
        <v>257</v>
      </c>
      <c r="AB109" s="37">
        <f t="shared" si="15"/>
        <v>42</v>
      </c>
      <c r="AC109" s="37">
        <f>COUNTIF(AB$3:AB109,AB109)</f>
        <v>1</v>
      </c>
      <c r="AD109" s="15" t="str">
        <f t="shared" ca="1" si="10"/>
        <v>92340+3</v>
      </c>
      <c r="AE109" s="37">
        <f t="shared" ca="1" si="16"/>
        <v>4101</v>
      </c>
      <c r="AF109" s="15">
        <f t="shared" ca="1" si="11"/>
        <v>41</v>
      </c>
      <c r="AG109" s="15">
        <f t="shared" ca="1" si="17"/>
        <v>92340</v>
      </c>
      <c r="AH109" s="15" t="str">
        <f t="shared" ca="1" si="18"/>
        <v>{3}</v>
      </c>
      <c r="AI109" s="15">
        <f t="shared" ca="1" si="12"/>
        <v>7000</v>
      </c>
      <c r="AJ109" s="26" t="str">
        <f t="shared" ca="1" si="19"/>
        <v>融合卡材料-92340+3|70%</v>
      </c>
    </row>
    <row r="110" spans="1:3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3"/>
      <c r="O110" s="32">
        <f t="shared" si="13"/>
        <v>0</v>
      </c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15">
        <f t="shared" si="14"/>
        <v>0</v>
      </c>
      <c r="AA110" s="15">
        <f>SUM(Z$3:Z110)</f>
        <v>257</v>
      </c>
      <c r="AB110" s="37">
        <f t="shared" si="15"/>
        <v>42</v>
      </c>
      <c r="AC110" s="37">
        <f>COUNTIF(AB$3:AB110,AB110)</f>
        <v>2</v>
      </c>
      <c r="AD110" s="15" t="str">
        <f t="shared" ca="1" si="10"/>
        <v>92340+4</v>
      </c>
      <c r="AE110" s="37">
        <f t="shared" ca="1" si="16"/>
        <v>4102</v>
      </c>
      <c r="AF110" s="15">
        <f t="shared" ca="1" si="11"/>
        <v>41</v>
      </c>
      <c r="AG110" s="15">
        <f t="shared" ca="1" si="17"/>
        <v>92340</v>
      </c>
      <c r="AH110" s="15" t="str">
        <f t="shared" ca="1" si="18"/>
        <v>{4}</v>
      </c>
      <c r="AI110" s="15">
        <f t="shared" ca="1" si="12"/>
        <v>2000</v>
      </c>
      <c r="AJ110" s="26" t="str">
        <f t="shared" ca="1" si="19"/>
        <v>融合卡材料-92340+4|20%</v>
      </c>
    </row>
    <row r="111" spans="1:3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3"/>
      <c r="O111" s="32">
        <f t="shared" si="13"/>
        <v>0</v>
      </c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15">
        <f t="shared" si="14"/>
        <v>0</v>
      </c>
      <c r="AA111" s="15">
        <f>SUM(Z$3:Z111)</f>
        <v>257</v>
      </c>
      <c r="AB111" s="37">
        <f t="shared" si="15"/>
        <v>42</v>
      </c>
      <c r="AC111" s="37">
        <f>COUNTIF(AB$3:AB111,AB111)</f>
        <v>3</v>
      </c>
      <c r="AD111" s="15" t="str">
        <f t="shared" ca="1" si="10"/>
        <v>92340+5</v>
      </c>
      <c r="AE111" s="37">
        <f t="shared" ca="1" si="16"/>
        <v>4103</v>
      </c>
      <c r="AF111" s="15">
        <f t="shared" ca="1" si="11"/>
        <v>41</v>
      </c>
      <c r="AG111" s="15">
        <f t="shared" ca="1" si="17"/>
        <v>92340</v>
      </c>
      <c r="AH111" s="15" t="str">
        <f t="shared" ca="1" si="18"/>
        <v>{5}</v>
      </c>
      <c r="AI111" s="15">
        <f t="shared" ca="1" si="12"/>
        <v>1000</v>
      </c>
      <c r="AJ111" s="26" t="str">
        <f t="shared" ca="1" si="19"/>
        <v>融合卡材料-92340+5|10%</v>
      </c>
    </row>
    <row r="112" spans="1:3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3"/>
      <c r="O112" s="32">
        <f t="shared" si="13"/>
        <v>0</v>
      </c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15">
        <f t="shared" si="14"/>
        <v>0</v>
      </c>
      <c r="AA112" s="15">
        <f>SUM(Z$3:Z112)</f>
        <v>257</v>
      </c>
      <c r="AB112" s="37">
        <f t="shared" si="15"/>
        <v>43</v>
      </c>
      <c r="AC112" s="37">
        <f>COUNTIF(AB$3:AB112,AB112)</f>
        <v>1</v>
      </c>
      <c r="AD112" s="15" t="str">
        <f t="shared" ca="1" si="10"/>
        <v>92420+3</v>
      </c>
      <c r="AE112" s="37">
        <f t="shared" ca="1" si="16"/>
        <v>4201</v>
      </c>
      <c r="AF112" s="15">
        <f t="shared" ca="1" si="11"/>
        <v>42</v>
      </c>
      <c r="AG112" s="15">
        <f t="shared" ca="1" si="17"/>
        <v>92420</v>
      </c>
      <c r="AH112" s="15" t="str">
        <f t="shared" ca="1" si="18"/>
        <v>{3}</v>
      </c>
      <c r="AI112" s="15">
        <f t="shared" ca="1" si="12"/>
        <v>7000</v>
      </c>
      <c r="AJ112" s="26" t="str">
        <f t="shared" ca="1" si="19"/>
        <v>融合卡材料-92420+3|70%</v>
      </c>
    </row>
    <row r="113" spans="1:3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3"/>
      <c r="O113" s="32">
        <f t="shared" si="13"/>
        <v>0</v>
      </c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15">
        <f t="shared" si="14"/>
        <v>0</v>
      </c>
      <c r="AA113" s="15">
        <f>SUM(Z$3:Z113)</f>
        <v>257</v>
      </c>
      <c r="AB113" s="37">
        <f t="shared" si="15"/>
        <v>43</v>
      </c>
      <c r="AC113" s="37">
        <f>COUNTIF(AB$3:AB113,AB113)</f>
        <v>2</v>
      </c>
      <c r="AD113" s="15" t="str">
        <f t="shared" ca="1" si="10"/>
        <v>92420+4</v>
      </c>
      <c r="AE113" s="37">
        <f t="shared" ca="1" si="16"/>
        <v>4202</v>
      </c>
      <c r="AF113" s="15">
        <f t="shared" ca="1" si="11"/>
        <v>42</v>
      </c>
      <c r="AG113" s="15">
        <f t="shared" ca="1" si="17"/>
        <v>92420</v>
      </c>
      <c r="AH113" s="15" t="str">
        <f t="shared" ca="1" si="18"/>
        <v>{4}</v>
      </c>
      <c r="AI113" s="15">
        <f t="shared" ca="1" si="12"/>
        <v>2000</v>
      </c>
      <c r="AJ113" s="26" t="str">
        <f t="shared" ca="1" si="19"/>
        <v>融合卡材料-92420+4|20%</v>
      </c>
    </row>
    <row r="114" spans="1:3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3"/>
      <c r="O114" s="32">
        <f t="shared" si="13"/>
        <v>0</v>
      </c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15">
        <f t="shared" si="14"/>
        <v>0</v>
      </c>
      <c r="AA114" s="15">
        <f>SUM(Z$3:Z114)</f>
        <v>257</v>
      </c>
      <c r="AB114" s="37">
        <f t="shared" si="15"/>
        <v>43</v>
      </c>
      <c r="AC114" s="37">
        <f>COUNTIF(AB$3:AB114,AB114)</f>
        <v>3</v>
      </c>
      <c r="AD114" s="15" t="str">
        <f t="shared" ca="1" si="10"/>
        <v>92420+5</v>
      </c>
      <c r="AE114" s="37">
        <f t="shared" ca="1" si="16"/>
        <v>4203</v>
      </c>
      <c r="AF114" s="15">
        <f t="shared" ca="1" si="11"/>
        <v>42</v>
      </c>
      <c r="AG114" s="15">
        <f t="shared" ca="1" si="17"/>
        <v>92420</v>
      </c>
      <c r="AH114" s="15" t="str">
        <f t="shared" ca="1" si="18"/>
        <v>{5}</v>
      </c>
      <c r="AI114" s="15">
        <f t="shared" ca="1" si="12"/>
        <v>1000</v>
      </c>
      <c r="AJ114" s="26" t="str">
        <f t="shared" ca="1" si="19"/>
        <v>融合卡材料-92420+5|10%</v>
      </c>
    </row>
    <row r="115" spans="1:3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3"/>
      <c r="O115" s="32">
        <f t="shared" si="13"/>
        <v>0</v>
      </c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15">
        <f t="shared" si="14"/>
        <v>0</v>
      </c>
      <c r="AA115" s="15">
        <f>SUM(Z$3:Z115)</f>
        <v>257</v>
      </c>
      <c r="AB115" s="37">
        <f t="shared" si="15"/>
        <v>44</v>
      </c>
      <c r="AC115" s="37">
        <f>COUNTIF(AB$3:AB115,AB115)</f>
        <v>1</v>
      </c>
      <c r="AD115" s="15" t="str">
        <f t="shared" ca="1" si="10"/>
        <v>92430+3</v>
      </c>
      <c r="AE115" s="37">
        <f t="shared" ca="1" si="16"/>
        <v>4301</v>
      </c>
      <c r="AF115" s="15">
        <f t="shared" ca="1" si="11"/>
        <v>43</v>
      </c>
      <c r="AG115" s="15">
        <f t="shared" ca="1" si="17"/>
        <v>92430</v>
      </c>
      <c r="AH115" s="15" t="str">
        <f t="shared" ca="1" si="18"/>
        <v>{3}</v>
      </c>
      <c r="AI115" s="15">
        <f t="shared" ca="1" si="12"/>
        <v>7000</v>
      </c>
      <c r="AJ115" s="26" t="str">
        <f t="shared" ca="1" si="19"/>
        <v>融合卡材料-92430+3|70%</v>
      </c>
    </row>
    <row r="116" spans="1:3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3"/>
      <c r="O116" s="32">
        <f t="shared" si="13"/>
        <v>0</v>
      </c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15">
        <f t="shared" si="14"/>
        <v>0</v>
      </c>
      <c r="AA116" s="15">
        <f>SUM(Z$3:Z116)</f>
        <v>257</v>
      </c>
      <c r="AB116" s="37">
        <f t="shared" si="15"/>
        <v>44</v>
      </c>
      <c r="AC116" s="37">
        <f>COUNTIF(AB$3:AB116,AB116)</f>
        <v>2</v>
      </c>
      <c r="AD116" s="15" t="str">
        <f t="shared" ca="1" si="10"/>
        <v>92430+4</v>
      </c>
      <c r="AE116" s="37">
        <f t="shared" ca="1" si="16"/>
        <v>4302</v>
      </c>
      <c r="AF116" s="15">
        <f t="shared" ca="1" si="11"/>
        <v>43</v>
      </c>
      <c r="AG116" s="15">
        <f t="shared" ca="1" si="17"/>
        <v>92430</v>
      </c>
      <c r="AH116" s="15" t="str">
        <f t="shared" ca="1" si="18"/>
        <v>{4}</v>
      </c>
      <c r="AI116" s="15">
        <f t="shared" ca="1" si="12"/>
        <v>2000</v>
      </c>
      <c r="AJ116" s="26" t="str">
        <f t="shared" ca="1" si="19"/>
        <v>融合卡材料-92430+4|20%</v>
      </c>
    </row>
    <row r="117" spans="1:3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3"/>
      <c r="O117" s="32">
        <f t="shared" si="13"/>
        <v>0</v>
      </c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15">
        <f t="shared" si="14"/>
        <v>0</v>
      </c>
      <c r="AA117" s="15">
        <f>SUM(Z$3:Z117)</f>
        <v>257</v>
      </c>
      <c r="AB117" s="37">
        <f t="shared" si="15"/>
        <v>44</v>
      </c>
      <c r="AC117" s="37">
        <f>COUNTIF(AB$3:AB117,AB117)</f>
        <v>3</v>
      </c>
      <c r="AD117" s="15" t="str">
        <f t="shared" ca="1" si="10"/>
        <v>92430+5</v>
      </c>
      <c r="AE117" s="37">
        <f t="shared" ca="1" si="16"/>
        <v>4303</v>
      </c>
      <c r="AF117" s="15">
        <f t="shared" ca="1" si="11"/>
        <v>43</v>
      </c>
      <c r="AG117" s="15">
        <f t="shared" ca="1" si="17"/>
        <v>92430</v>
      </c>
      <c r="AH117" s="15" t="str">
        <f t="shared" ca="1" si="18"/>
        <v>{5}</v>
      </c>
      <c r="AI117" s="15">
        <f t="shared" ca="1" si="12"/>
        <v>1000</v>
      </c>
      <c r="AJ117" s="26" t="str">
        <f t="shared" ca="1" si="19"/>
        <v>融合卡材料-92430+5|10%</v>
      </c>
    </row>
    <row r="118" spans="1:3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3"/>
      <c r="O118" s="32">
        <f t="shared" si="13"/>
        <v>0</v>
      </c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15">
        <f t="shared" si="14"/>
        <v>0</v>
      </c>
      <c r="AA118" s="15">
        <f>SUM(Z$3:Z118)</f>
        <v>257</v>
      </c>
      <c r="AB118" s="37">
        <f t="shared" si="15"/>
        <v>45</v>
      </c>
      <c r="AC118" s="37">
        <f>COUNTIF(AB$3:AB118,AB118)</f>
        <v>1</v>
      </c>
      <c r="AD118" s="15" t="str">
        <f t="shared" ca="1" si="10"/>
        <v>92440+3</v>
      </c>
      <c r="AE118" s="37">
        <f t="shared" ca="1" si="16"/>
        <v>4401</v>
      </c>
      <c r="AF118" s="15">
        <f t="shared" ca="1" si="11"/>
        <v>44</v>
      </c>
      <c r="AG118" s="15">
        <f t="shared" ca="1" si="17"/>
        <v>92440</v>
      </c>
      <c r="AH118" s="15" t="str">
        <f t="shared" ca="1" si="18"/>
        <v>{3}</v>
      </c>
      <c r="AI118" s="15">
        <f t="shared" ca="1" si="12"/>
        <v>7000</v>
      </c>
      <c r="AJ118" s="26" t="str">
        <f t="shared" ca="1" si="19"/>
        <v>融合卡材料-92440+3|70%</v>
      </c>
    </row>
    <row r="119" spans="1:3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3"/>
      <c r="O119" s="32">
        <f t="shared" si="13"/>
        <v>0</v>
      </c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15">
        <f t="shared" si="14"/>
        <v>0</v>
      </c>
      <c r="AA119" s="15">
        <f>SUM(Z$3:Z119)</f>
        <v>257</v>
      </c>
      <c r="AB119" s="37">
        <f t="shared" si="15"/>
        <v>45</v>
      </c>
      <c r="AC119" s="37">
        <f>COUNTIF(AB$3:AB119,AB119)</f>
        <v>2</v>
      </c>
      <c r="AD119" s="15" t="str">
        <f t="shared" ca="1" si="10"/>
        <v>92440+4</v>
      </c>
      <c r="AE119" s="37">
        <f t="shared" ca="1" si="16"/>
        <v>4402</v>
      </c>
      <c r="AF119" s="15">
        <f t="shared" ca="1" si="11"/>
        <v>44</v>
      </c>
      <c r="AG119" s="15">
        <f t="shared" ca="1" si="17"/>
        <v>92440</v>
      </c>
      <c r="AH119" s="15" t="str">
        <f t="shared" ca="1" si="18"/>
        <v>{4}</v>
      </c>
      <c r="AI119" s="15">
        <f t="shared" ca="1" si="12"/>
        <v>2000</v>
      </c>
      <c r="AJ119" s="26" t="str">
        <f t="shared" ca="1" si="19"/>
        <v>融合卡材料-92440+4|20%</v>
      </c>
    </row>
    <row r="120" spans="1:3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3"/>
      <c r="O120" s="32">
        <f t="shared" si="13"/>
        <v>0</v>
      </c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15">
        <f t="shared" si="14"/>
        <v>0</v>
      </c>
      <c r="AA120" s="15">
        <f>SUM(Z$3:Z120)</f>
        <v>257</v>
      </c>
      <c r="AB120" s="37">
        <f t="shared" si="15"/>
        <v>45</v>
      </c>
      <c r="AC120" s="37">
        <f>COUNTIF(AB$3:AB120,AB120)</f>
        <v>3</v>
      </c>
      <c r="AD120" s="15" t="str">
        <f t="shared" ca="1" si="10"/>
        <v>92440+5</v>
      </c>
      <c r="AE120" s="37">
        <f t="shared" ca="1" si="16"/>
        <v>4403</v>
      </c>
      <c r="AF120" s="15">
        <f t="shared" ca="1" si="11"/>
        <v>44</v>
      </c>
      <c r="AG120" s="15">
        <f t="shared" ca="1" si="17"/>
        <v>92440</v>
      </c>
      <c r="AH120" s="15" t="str">
        <f t="shared" ca="1" si="18"/>
        <v>{5}</v>
      </c>
      <c r="AI120" s="15">
        <f t="shared" ca="1" si="12"/>
        <v>1000</v>
      </c>
      <c r="AJ120" s="26" t="str">
        <f t="shared" ca="1" si="19"/>
        <v>融合卡材料-92440+5|10%</v>
      </c>
    </row>
    <row r="121" spans="1:3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3"/>
      <c r="O121" s="32">
        <f t="shared" si="13"/>
        <v>0</v>
      </c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15">
        <f t="shared" si="14"/>
        <v>0</v>
      </c>
      <c r="AA121" s="15">
        <f>SUM(Z$3:Z121)</f>
        <v>257</v>
      </c>
      <c r="AB121" s="37">
        <f t="shared" si="15"/>
        <v>46</v>
      </c>
      <c r="AC121" s="37">
        <f>COUNTIF(AB$3:AB121,AB121)</f>
        <v>1</v>
      </c>
      <c r="AD121" s="15" t="str">
        <f t="shared" ca="1" si="10"/>
        <v>92520+3</v>
      </c>
      <c r="AE121" s="37">
        <f t="shared" ca="1" si="16"/>
        <v>4501</v>
      </c>
      <c r="AF121" s="15">
        <f t="shared" ca="1" si="11"/>
        <v>45</v>
      </c>
      <c r="AG121" s="15">
        <f t="shared" ca="1" si="17"/>
        <v>92520</v>
      </c>
      <c r="AH121" s="15" t="str">
        <f t="shared" ca="1" si="18"/>
        <v>{3}</v>
      </c>
      <c r="AI121" s="15">
        <f t="shared" ca="1" si="12"/>
        <v>7000</v>
      </c>
      <c r="AJ121" s="26" t="str">
        <f t="shared" ca="1" si="19"/>
        <v>融合卡材料-92520+3|70%</v>
      </c>
    </row>
    <row r="122" spans="1:3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3"/>
      <c r="O122" s="32">
        <f t="shared" si="13"/>
        <v>0</v>
      </c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15">
        <f t="shared" si="14"/>
        <v>0</v>
      </c>
      <c r="AA122" s="15">
        <f>SUM(Z$3:Z122)</f>
        <v>257</v>
      </c>
      <c r="AB122" s="37">
        <f t="shared" si="15"/>
        <v>46</v>
      </c>
      <c r="AC122" s="37">
        <f>COUNTIF(AB$3:AB122,AB122)</f>
        <v>2</v>
      </c>
      <c r="AD122" s="15" t="str">
        <f t="shared" ca="1" si="10"/>
        <v>92520+4</v>
      </c>
      <c r="AE122" s="37">
        <f t="shared" ca="1" si="16"/>
        <v>4502</v>
      </c>
      <c r="AF122" s="15">
        <f t="shared" ca="1" si="11"/>
        <v>45</v>
      </c>
      <c r="AG122" s="15">
        <f t="shared" ca="1" si="17"/>
        <v>92520</v>
      </c>
      <c r="AH122" s="15" t="str">
        <f t="shared" ca="1" si="18"/>
        <v>{4}</v>
      </c>
      <c r="AI122" s="15">
        <f t="shared" ca="1" si="12"/>
        <v>2000</v>
      </c>
      <c r="AJ122" s="26" t="str">
        <f t="shared" ca="1" si="19"/>
        <v>融合卡材料-92520+4|20%</v>
      </c>
    </row>
    <row r="123" spans="1:3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3"/>
      <c r="O123" s="32">
        <f t="shared" si="13"/>
        <v>0</v>
      </c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15">
        <f t="shared" si="14"/>
        <v>0</v>
      </c>
      <c r="AA123" s="15">
        <f>SUM(Z$3:Z123)</f>
        <v>257</v>
      </c>
      <c r="AB123" s="37">
        <f t="shared" si="15"/>
        <v>46</v>
      </c>
      <c r="AC123" s="37">
        <f>COUNTIF(AB$3:AB123,AB123)</f>
        <v>3</v>
      </c>
      <c r="AD123" s="15" t="str">
        <f t="shared" ca="1" si="10"/>
        <v>92520+5</v>
      </c>
      <c r="AE123" s="37">
        <f t="shared" ca="1" si="16"/>
        <v>4503</v>
      </c>
      <c r="AF123" s="15">
        <f t="shared" ca="1" si="11"/>
        <v>45</v>
      </c>
      <c r="AG123" s="15">
        <f t="shared" ca="1" si="17"/>
        <v>92520</v>
      </c>
      <c r="AH123" s="15" t="str">
        <f t="shared" ca="1" si="18"/>
        <v>{5}</v>
      </c>
      <c r="AI123" s="15">
        <f t="shared" ca="1" si="12"/>
        <v>1000</v>
      </c>
      <c r="AJ123" s="26" t="str">
        <f t="shared" ca="1" si="19"/>
        <v>融合卡材料-92520+5|10%</v>
      </c>
    </row>
    <row r="124" spans="1:3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3"/>
      <c r="O124" s="32">
        <f t="shared" si="13"/>
        <v>0</v>
      </c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15">
        <f t="shared" si="14"/>
        <v>0</v>
      </c>
      <c r="AA124" s="15">
        <f>SUM(Z$3:Z124)</f>
        <v>257</v>
      </c>
      <c r="AB124" s="37">
        <f t="shared" si="15"/>
        <v>47</v>
      </c>
      <c r="AC124" s="37">
        <f>COUNTIF(AB$3:AB124,AB124)</f>
        <v>1</v>
      </c>
      <c r="AD124" s="15" t="str">
        <f t="shared" ca="1" si="10"/>
        <v>92530+3</v>
      </c>
      <c r="AE124" s="37">
        <f t="shared" ca="1" si="16"/>
        <v>4601</v>
      </c>
      <c r="AF124" s="15">
        <f t="shared" ca="1" si="11"/>
        <v>46</v>
      </c>
      <c r="AG124" s="15">
        <f t="shared" ca="1" si="17"/>
        <v>92530</v>
      </c>
      <c r="AH124" s="15" t="str">
        <f t="shared" ca="1" si="18"/>
        <v>{3}</v>
      </c>
      <c r="AI124" s="15">
        <f t="shared" ca="1" si="12"/>
        <v>7000</v>
      </c>
      <c r="AJ124" s="26" t="str">
        <f t="shared" ca="1" si="19"/>
        <v>融合卡材料-92530+3|70%</v>
      </c>
    </row>
    <row r="125" spans="1:3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3"/>
      <c r="O125" s="32">
        <f t="shared" si="13"/>
        <v>0</v>
      </c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15">
        <f t="shared" si="14"/>
        <v>0</v>
      </c>
      <c r="AA125" s="15">
        <f>SUM(Z$3:Z125)</f>
        <v>257</v>
      </c>
      <c r="AB125" s="37">
        <f t="shared" si="15"/>
        <v>47</v>
      </c>
      <c r="AC125" s="37">
        <f>COUNTIF(AB$3:AB125,AB125)</f>
        <v>2</v>
      </c>
      <c r="AD125" s="15" t="str">
        <f t="shared" ca="1" si="10"/>
        <v>92530+4</v>
      </c>
      <c r="AE125" s="37">
        <f t="shared" ca="1" si="16"/>
        <v>4602</v>
      </c>
      <c r="AF125" s="15">
        <f t="shared" ca="1" si="11"/>
        <v>46</v>
      </c>
      <c r="AG125" s="15">
        <f t="shared" ca="1" si="17"/>
        <v>92530</v>
      </c>
      <c r="AH125" s="15" t="str">
        <f t="shared" ca="1" si="18"/>
        <v>{4}</v>
      </c>
      <c r="AI125" s="15">
        <f t="shared" ca="1" si="12"/>
        <v>2000</v>
      </c>
      <c r="AJ125" s="26" t="str">
        <f t="shared" ca="1" si="19"/>
        <v>融合卡材料-92530+4|20%</v>
      </c>
    </row>
    <row r="126" spans="1:3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3"/>
      <c r="O126" s="32">
        <f t="shared" si="13"/>
        <v>0</v>
      </c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15">
        <f t="shared" si="14"/>
        <v>0</v>
      </c>
      <c r="AA126" s="15">
        <f>SUM(Z$3:Z126)</f>
        <v>257</v>
      </c>
      <c r="AB126" s="37">
        <f t="shared" si="15"/>
        <v>47</v>
      </c>
      <c r="AC126" s="37">
        <f>COUNTIF(AB$3:AB126,AB126)</f>
        <v>3</v>
      </c>
      <c r="AD126" s="15" t="str">
        <f t="shared" ca="1" si="10"/>
        <v>92530+5</v>
      </c>
      <c r="AE126" s="37">
        <f t="shared" ca="1" si="16"/>
        <v>4603</v>
      </c>
      <c r="AF126" s="15">
        <f t="shared" ca="1" si="11"/>
        <v>46</v>
      </c>
      <c r="AG126" s="15">
        <f t="shared" ca="1" si="17"/>
        <v>92530</v>
      </c>
      <c r="AH126" s="15" t="str">
        <f t="shared" ca="1" si="18"/>
        <v>{5}</v>
      </c>
      <c r="AI126" s="15">
        <f t="shared" ca="1" si="12"/>
        <v>1000</v>
      </c>
      <c r="AJ126" s="26" t="str">
        <f t="shared" ca="1" si="19"/>
        <v>融合卡材料-92530+5|10%</v>
      </c>
    </row>
    <row r="127" spans="1:3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3"/>
      <c r="O127" s="32">
        <f t="shared" si="13"/>
        <v>0</v>
      </c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15">
        <f t="shared" si="14"/>
        <v>0</v>
      </c>
      <c r="AA127" s="15">
        <f>SUM(Z$3:Z127)</f>
        <v>257</v>
      </c>
      <c r="AB127" s="37">
        <f t="shared" si="15"/>
        <v>48</v>
      </c>
      <c r="AC127" s="37">
        <f>COUNTIF(AB$3:AB127,AB127)</f>
        <v>1</v>
      </c>
      <c r="AD127" s="15" t="str">
        <f t="shared" ca="1" si="10"/>
        <v>92540+3</v>
      </c>
      <c r="AE127" s="37">
        <f t="shared" ca="1" si="16"/>
        <v>4701</v>
      </c>
      <c r="AF127" s="15">
        <f t="shared" ca="1" si="11"/>
        <v>47</v>
      </c>
      <c r="AG127" s="15">
        <f t="shared" ca="1" si="17"/>
        <v>92540</v>
      </c>
      <c r="AH127" s="15" t="str">
        <f t="shared" ca="1" si="18"/>
        <v>{3}</v>
      </c>
      <c r="AI127" s="15">
        <f t="shared" ca="1" si="12"/>
        <v>7000</v>
      </c>
      <c r="AJ127" s="26" t="str">
        <f t="shared" ca="1" si="19"/>
        <v>融合卡材料-92540+3|70%</v>
      </c>
    </row>
    <row r="128" spans="1:3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3"/>
      <c r="O128" s="32">
        <f t="shared" si="13"/>
        <v>0</v>
      </c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15">
        <f t="shared" si="14"/>
        <v>0</v>
      </c>
      <c r="AA128" s="15">
        <f>SUM(Z$3:Z128)</f>
        <v>257</v>
      </c>
      <c r="AB128" s="37">
        <f t="shared" si="15"/>
        <v>48</v>
      </c>
      <c r="AC128" s="37">
        <f>COUNTIF(AB$3:AB128,AB128)</f>
        <v>2</v>
      </c>
      <c r="AD128" s="15" t="str">
        <f t="shared" ca="1" si="10"/>
        <v>92540+4</v>
      </c>
      <c r="AE128" s="37">
        <f t="shared" ca="1" si="16"/>
        <v>4702</v>
      </c>
      <c r="AF128" s="15">
        <f t="shared" ca="1" si="11"/>
        <v>47</v>
      </c>
      <c r="AG128" s="15">
        <f t="shared" ca="1" si="17"/>
        <v>92540</v>
      </c>
      <c r="AH128" s="15" t="str">
        <f t="shared" ca="1" si="18"/>
        <v>{4}</v>
      </c>
      <c r="AI128" s="15">
        <f t="shared" ca="1" si="12"/>
        <v>2000</v>
      </c>
      <c r="AJ128" s="26" t="str">
        <f t="shared" ca="1" si="19"/>
        <v>融合卡材料-92540+4|20%</v>
      </c>
    </row>
    <row r="129" spans="1:3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3"/>
      <c r="O129" s="32">
        <f t="shared" si="13"/>
        <v>0</v>
      </c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15">
        <f t="shared" si="14"/>
        <v>0</v>
      </c>
      <c r="AA129" s="15">
        <f>SUM(Z$3:Z129)</f>
        <v>257</v>
      </c>
      <c r="AB129" s="37">
        <f t="shared" si="15"/>
        <v>48</v>
      </c>
      <c r="AC129" s="37">
        <f>COUNTIF(AB$3:AB129,AB129)</f>
        <v>3</v>
      </c>
      <c r="AD129" s="15" t="str">
        <f t="shared" ca="1" si="10"/>
        <v>92540+5</v>
      </c>
      <c r="AE129" s="37">
        <f t="shared" ca="1" si="16"/>
        <v>4703</v>
      </c>
      <c r="AF129" s="15">
        <f t="shared" ca="1" si="11"/>
        <v>47</v>
      </c>
      <c r="AG129" s="15">
        <f t="shared" ca="1" si="17"/>
        <v>92540</v>
      </c>
      <c r="AH129" s="15" t="str">
        <f t="shared" ca="1" si="18"/>
        <v>{5}</v>
      </c>
      <c r="AI129" s="15">
        <f t="shared" ca="1" si="12"/>
        <v>1000</v>
      </c>
      <c r="AJ129" s="26" t="str">
        <f t="shared" ca="1" si="19"/>
        <v>融合卡材料-92540+5|10%</v>
      </c>
    </row>
    <row r="130" spans="1:3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3"/>
      <c r="O130" s="32">
        <f t="shared" si="13"/>
        <v>0</v>
      </c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15">
        <f t="shared" si="14"/>
        <v>0</v>
      </c>
      <c r="AA130" s="15">
        <f>SUM(Z$3:Z130)</f>
        <v>257</v>
      </c>
      <c r="AB130" s="37">
        <f t="shared" si="15"/>
        <v>49</v>
      </c>
      <c r="AC130" s="37">
        <f>COUNTIF(AB$3:AB130,AB130)</f>
        <v>1</v>
      </c>
      <c r="AD130" s="15" t="str">
        <f t="shared" ca="1" si="10"/>
        <v>92620+3</v>
      </c>
      <c r="AE130" s="37">
        <f t="shared" ca="1" si="16"/>
        <v>4801</v>
      </c>
      <c r="AF130" s="15">
        <f t="shared" ca="1" si="11"/>
        <v>48</v>
      </c>
      <c r="AG130" s="15">
        <f t="shared" ca="1" si="17"/>
        <v>92620</v>
      </c>
      <c r="AH130" s="15" t="str">
        <f t="shared" ca="1" si="18"/>
        <v>{3}</v>
      </c>
      <c r="AI130" s="15">
        <f t="shared" ca="1" si="12"/>
        <v>7000</v>
      </c>
      <c r="AJ130" s="26" t="str">
        <f t="shared" ca="1" si="19"/>
        <v>融合卡材料-92620+3|70%</v>
      </c>
    </row>
    <row r="131" spans="1:3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3"/>
      <c r="O131" s="32">
        <f t="shared" si="13"/>
        <v>0</v>
      </c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15">
        <f t="shared" si="14"/>
        <v>0</v>
      </c>
      <c r="AA131" s="15">
        <f>SUM(Z$3:Z131)</f>
        <v>257</v>
      </c>
      <c r="AB131" s="37">
        <f t="shared" si="15"/>
        <v>49</v>
      </c>
      <c r="AC131" s="37">
        <f>COUNTIF(AB$3:AB131,AB131)</f>
        <v>2</v>
      </c>
      <c r="AD131" s="15" t="str">
        <f t="shared" ref="AD131:AD194" ca="1" si="20">OFFSET($C$2,MATCH(AF131,$A:$A,0)-2,$AC131)</f>
        <v>92620+4</v>
      </c>
      <c r="AE131" s="37">
        <f t="shared" ca="1" si="16"/>
        <v>4802</v>
      </c>
      <c r="AF131" s="15">
        <f t="shared" ref="AF131:AF194" ca="1" si="21">IF(OFFSET(A$1,AB131,)="","无",OFFSET(A$1,AB131,))</f>
        <v>48</v>
      </c>
      <c r="AG131" s="15">
        <f t="shared" ca="1" si="17"/>
        <v>92620</v>
      </c>
      <c r="AH131" s="15" t="str">
        <f t="shared" ca="1" si="18"/>
        <v>{4}</v>
      </c>
      <c r="AI131" s="15">
        <f t="shared" ref="AI131:AI194" ca="1" si="22">IF(OFFSET($C$2,MATCH($AF131,A:A,0)-2,)="是",INT($AI$1/OFFSET($Z$2,MATCH(AF131,A:A,0)-2,)),OFFSET($O$2,MATCH($AF131,A:A,0)-2,$AC131)*$AI$1)</f>
        <v>2000</v>
      </c>
      <c r="AJ131" s="26" t="str">
        <f t="shared" ca="1" si="19"/>
        <v>融合卡材料-92620+4|20%</v>
      </c>
    </row>
    <row r="132" spans="1:3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3"/>
      <c r="O132" s="32">
        <f t="shared" ref="O132:O195" si="23">SUM(P132:Y132)</f>
        <v>0</v>
      </c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15">
        <f t="shared" ref="Z132:Z195" si="24">COUNTA(D132:M132)</f>
        <v>0</v>
      </c>
      <c r="AA132" s="15">
        <f>SUM(Z$3:Z132)</f>
        <v>257</v>
      </c>
      <c r="AB132" s="37">
        <f t="shared" ref="AB132:AB195" si="25">MATCH(ROW(AB130)-0.1,AA:AA,1)</f>
        <v>49</v>
      </c>
      <c r="AC132" s="37">
        <f>COUNTIF(AB$3:AB132,AB132)</f>
        <v>3</v>
      </c>
      <c r="AD132" s="15" t="str">
        <f t="shared" ca="1" si="20"/>
        <v>92620+5</v>
      </c>
      <c r="AE132" s="37">
        <f t="shared" ref="AE132:AE195" ca="1" si="26">AF132*100+AC132</f>
        <v>4803</v>
      </c>
      <c r="AF132" s="15">
        <f t="shared" ca="1" si="21"/>
        <v>48</v>
      </c>
      <c r="AG132" s="15">
        <f t="shared" ref="AG132:AG195" ca="1" si="27">VALUE(MID(AD132,1,FIND("+",AD132,1)-1))</f>
        <v>92620</v>
      </c>
      <c r="AH132" s="15" t="str">
        <f t="shared" ref="AH132:AH195" ca="1" si="28">"{" &amp; IFERROR(MID($AD132,FIND("+",$AD132,1)+1,IFERROR(FIND("/",$AD132),LEN($AD132)+1)-FIND("+",$AD132)-1),0) &amp; "}"</f>
        <v>{5}</v>
      </c>
      <c r="AI132" s="15">
        <f t="shared" ca="1" si="22"/>
        <v>1000</v>
      </c>
      <c r="AJ132" s="26" t="str">
        <f t="shared" ref="AJ132:AJ195" ca="1" si="29">OFFSET($B$2,MATCH($AF132,A:A,0)-2,) &amp; "-" &amp; $AD132 &amp; "|" &amp; AI132/$AI$1*100 &amp; "%"</f>
        <v>融合卡材料-92620+5|10%</v>
      </c>
    </row>
    <row r="133" spans="1:3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3"/>
      <c r="O133" s="32">
        <f t="shared" si="23"/>
        <v>0</v>
      </c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15">
        <f t="shared" si="24"/>
        <v>0</v>
      </c>
      <c r="AA133" s="15">
        <f>SUM(Z$3:Z133)</f>
        <v>257</v>
      </c>
      <c r="AB133" s="37">
        <f t="shared" si="25"/>
        <v>50</v>
      </c>
      <c r="AC133" s="37">
        <f>COUNTIF(AB$3:AB133,AB133)</f>
        <v>1</v>
      </c>
      <c r="AD133" s="15" t="str">
        <f t="shared" ca="1" si="20"/>
        <v>92630+3</v>
      </c>
      <c r="AE133" s="37">
        <f t="shared" ca="1" si="26"/>
        <v>4901</v>
      </c>
      <c r="AF133" s="15">
        <f t="shared" ca="1" si="21"/>
        <v>49</v>
      </c>
      <c r="AG133" s="15">
        <f t="shared" ca="1" si="27"/>
        <v>92630</v>
      </c>
      <c r="AH133" s="15" t="str">
        <f t="shared" ca="1" si="28"/>
        <v>{3}</v>
      </c>
      <c r="AI133" s="15">
        <f t="shared" ca="1" si="22"/>
        <v>7000</v>
      </c>
      <c r="AJ133" s="26" t="str">
        <f t="shared" ca="1" si="29"/>
        <v>融合卡材料-92630+3|70%</v>
      </c>
    </row>
    <row r="134" spans="1:3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3"/>
      <c r="O134" s="32">
        <f t="shared" si="23"/>
        <v>0</v>
      </c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15">
        <f t="shared" si="24"/>
        <v>0</v>
      </c>
      <c r="AA134" s="15">
        <f>SUM(Z$3:Z134)</f>
        <v>257</v>
      </c>
      <c r="AB134" s="37">
        <f t="shared" si="25"/>
        <v>50</v>
      </c>
      <c r="AC134" s="37">
        <f>COUNTIF(AB$3:AB134,AB134)</f>
        <v>2</v>
      </c>
      <c r="AD134" s="15" t="str">
        <f t="shared" ca="1" si="20"/>
        <v>92630+4</v>
      </c>
      <c r="AE134" s="37">
        <f t="shared" ca="1" si="26"/>
        <v>4902</v>
      </c>
      <c r="AF134" s="15">
        <f t="shared" ca="1" si="21"/>
        <v>49</v>
      </c>
      <c r="AG134" s="15">
        <f t="shared" ca="1" si="27"/>
        <v>92630</v>
      </c>
      <c r="AH134" s="15" t="str">
        <f t="shared" ca="1" si="28"/>
        <v>{4}</v>
      </c>
      <c r="AI134" s="15">
        <f t="shared" ca="1" si="22"/>
        <v>2000</v>
      </c>
      <c r="AJ134" s="26" t="str">
        <f t="shared" ca="1" si="29"/>
        <v>融合卡材料-92630+4|20%</v>
      </c>
    </row>
    <row r="135" spans="1:3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3"/>
      <c r="O135" s="32">
        <f t="shared" si="23"/>
        <v>0</v>
      </c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15">
        <f t="shared" si="24"/>
        <v>0</v>
      </c>
      <c r="AA135" s="15">
        <f>SUM(Z$3:Z135)</f>
        <v>257</v>
      </c>
      <c r="AB135" s="37">
        <f t="shared" si="25"/>
        <v>50</v>
      </c>
      <c r="AC135" s="37">
        <f>COUNTIF(AB$3:AB135,AB135)</f>
        <v>3</v>
      </c>
      <c r="AD135" s="15" t="str">
        <f t="shared" ca="1" si="20"/>
        <v>92630+5</v>
      </c>
      <c r="AE135" s="37">
        <f t="shared" ca="1" si="26"/>
        <v>4903</v>
      </c>
      <c r="AF135" s="15">
        <f t="shared" ca="1" si="21"/>
        <v>49</v>
      </c>
      <c r="AG135" s="15">
        <f t="shared" ca="1" si="27"/>
        <v>92630</v>
      </c>
      <c r="AH135" s="15" t="str">
        <f t="shared" ca="1" si="28"/>
        <v>{5}</v>
      </c>
      <c r="AI135" s="15">
        <f t="shared" ca="1" si="22"/>
        <v>1000</v>
      </c>
      <c r="AJ135" s="26" t="str">
        <f t="shared" ca="1" si="29"/>
        <v>融合卡材料-92630+5|10%</v>
      </c>
    </row>
    <row r="136" spans="1:3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3"/>
      <c r="O136" s="32">
        <f t="shared" si="23"/>
        <v>0</v>
      </c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15">
        <f t="shared" si="24"/>
        <v>0</v>
      </c>
      <c r="AA136" s="15">
        <f>SUM(Z$3:Z136)</f>
        <v>257</v>
      </c>
      <c r="AB136" s="37">
        <f t="shared" si="25"/>
        <v>51</v>
      </c>
      <c r="AC136" s="37">
        <f>COUNTIF(AB$3:AB136,AB136)</f>
        <v>1</v>
      </c>
      <c r="AD136" s="15" t="str">
        <f t="shared" ca="1" si="20"/>
        <v>92640+3</v>
      </c>
      <c r="AE136" s="37">
        <f t="shared" ca="1" si="26"/>
        <v>5001</v>
      </c>
      <c r="AF136" s="15">
        <f t="shared" ca="1" si="21"/>
        <v>50</v>
      </c>
      <c r="AG136" s="15">
        <f t="shared" ca="1" si="27"/>
        <v>92640</v>
      </c>
      <c r="AH136" s="15" t="str">
        <f t="shared" ca="1" si="28"/>
        <v>{3}</v>
      </c>
      <c r="AI136" s="15">
        <f t="shared" ca="1" si="22"/>
        <v>7000</v>
      </c>
      <c r="AJ136" s="26" t="str">
        <f t="shared" ca="1" si="29"/>
        <v>融合卡材料-92640+3|70%</v>
      </c>
    </row>
    <row r="137" spans="1:3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3"/>
      <c r="O137" s="32">
        <f t="shared" si="23"/>
        <v>0</v>
      </c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15">
        <f t="shared" si="24"/>
        <v>0</v>
      </c>
      <c r="AA137" s="15">
        <f>SUM(Z$3:Z137)</f>
        <v>257</v>
      </c>
      <c r="AB137" s="37">
        <f t="shared" si="25"/>
        <v>51</v>
      </c>
      <c r="AC137" s="37">
        <f>COUNTIF(AB$3:AB137,AB137)</f>
        <v>2</v>
      </c>
      <c r="AD137" s="15" t="str">
        <f t="shared" ca="1" si="20"/>
        <v>92640+4</v>
      </c>
      <c r="AE137" s="37">
        <f t="shared" ca="1" si="26"/>
        <v>5002</v>
      </c>
      <c r="AF137" s="15">
        <f t="shared" ca="1" si="21"/>
        <v>50</v>
      </c>
      <c r="AG137" s="15">
        <f t="shared" ca="1" si="27"/>
        <v>92640</v>
      </c>
      <c r="AH137" s="15" t="str">
        <f t="shared" ca="1" si="28"/>
        <v>{4}</v>
      </c>
      <c r="AI137" s="15">
        <f t="shared" ca="1" si="22"/>
        <v>2000</v>
      </c>
      <c r="AJ137" s="26" t="str">
        <f t="shared" ca="1" si="29"/>
        <v>融合卡材料-92640+4|20%</v>
      </c>
    </row>
    <row r="138" spans="1:3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3"/>
      <c r="O138" s="32">
        <f t="shared" si="23"/>
        <v>0</v>
      </c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15">
        <f t="shared" si="24"/>
        <v>0</v>
      </c>
      <c r="AA138" s="15">
        <f>SUM(Z$3:Z138)</f>
        <v>257</v>
      </c>
      <c r="AB138" s="37">
        <f t="shared" si="25"/>
        <v>51</v>
      </c>
      <c r="AC138" s="37">
        <f>COUNTIF(AB$3:AB138,AB138)</f>
        <v>3</v>
      </c>
      <c r="AD138" s="15" t="str">
        <f t="shared" ca="1" si="20"/>
        <v>92640+5</v>
      </c>
      <c r="AE138" s="37">
        <f t="shared" ca="1" si="26"/>
        <v>5003</v>
      </c>
      <c r="AF138" s="15">
        <f t="shared" ca="1" si="21"/>
        <v>50</v>
      </c>
      <c r="AG138" s="15">
        <f t="shared" ca="1" si="27"/>
        <v>92640</v>
      </c>
      <c r="AH138" s="15" t="str">
        <f t="shared" ca="1" si="28"/>
        <v>{5}</v>
      </c>
      <c r="AI138" s="15">
        <f t="shared" ca="1" si="22"/>
        <v>1000</v>
      </c>
      <c r="AJ138" s="26" t="str">
        <f t="shared" ca="1" si="29"/>
        <v>融合卡材料-92640+5|10%</v>
      </c>
    </row>
    <row r="139" spans="1:3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3"/>
      <c r="O139" s="32">
        <f t="shared" si="23"/>
        <v>0</v>
      </c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15">
        <f t="shared" si="24"/>
        <v>0</v>
      </c>
      <c r="AA139" s="15">
        <f>SUM(Z$3:Z139)</f>
        <v>257</v>
      </c>
      <c r="AB139" s="37">
        <f t="shared" si="25"/>
        <v>52</v>
      </c>
      <c r="AC139" s="37">
        <f>COUNTIF(AB$3:AB139,AB139)</f>
        <v>1</v>
      </c>
      <c r="AD139" s="15" t="str">
        <f t="shared" ca="1" si="20"/>
        <v>92720+3</v>
      </c>
      <c r="AE139" s="37">
        <f t="shared" ca="1" si="26"/>
        <v>5101</v>
      </c>
      <c r="AF139" s="15">
        <f t="shared" ca="1" si="21"/>
        <v>51</v>
      </c>
      <c r="AG139" s="15">
        <f t="shared" ca="1" si="27"/>
        <v>92720</v>
      </c>
      <c r="AH139" s="15" t="str">
        <f t="shared" ca="1" si="28"/>
        <v>{3}</v>
      </c>
      <c r="AI139" s="15">
        <f t="shared" ca="1" si="22"/>
        <v>7000</v>
      </c>
      <c r="AJ139" s="26" t="str">
        <f t="shared" ca="1" si="29"/>
        <v>融合卡材料-92720+3|70%</v>
      </c>
    </row>
    <row r="140" spans="1:3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3"/>
      <c r="O140" s="32">
        <f t="shared" si="23"/>
        <v>0</v>
      </c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15">
        <f t="shared" si="24"/>
        <v>0</v>
      </c>
      <c r="AA140" s="15">
        <f>SUM(Z$3:Z140)</f>
        <v>257</v>
      </c>
      <c r="AB140" s="37">
        <f t="shared" si="25"/>
        <v>52</v>
      </c>
      <c r="AC140" s="37">
        <f>COUNTIF(AB$3:AB140,AB140)</f>
        <v>2</v>
      </c>
      <c r="AD140" s="15" t="str">
        <f t="shared" ca="1" si="20"/>
        <v>92720+4</v>
      </c>
      <c r="AE140" s="37">
        <f t="shared" ca="1" si="26"/>
        <v>5102</v>
      </c>
      <c r="AF140" s="15">
        <f t="shared" ca="1" si="21"/>
        <v>51</v>
      </c>
      <c r="AG140" s="15">
        <f t="shared" ca="1" si="27"/>
        <v>92720</v>
      </c>
      <c r="AH140" s="15" t="str">
        <f t="shared" ca="1" si="28"/>
        <v>{4}</v>
      </c>
      <c r="AI140" s="15">
        <f t="shared" ca="1" si="22"/>
        <v>2000</v>
      </c>
      <c r="AJ140" s="26" t="str">
        <f t="shared" ca="1" si="29"/>
        <v>融合卡材料-92720+4|20%</v>
      </c>
    </row>
    <row r="141" spans="1:3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3"/>
      <c r="O141" s="32">
        <f t="shared" si="23"/>
        <v>0</v>
      </c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15">
        <f t="shared" si="24"/>
        <v>0</v>
      </c>
      <c r="AA141" s="15">
        <f>SUM(Z$3:Z141)</f>
        <v>257</v>
      </c>
      <c r="AB141" s="37">
        <f t="shared" si="25"/>
        <v>52</v>
      </c>
      <c r="AC141" s="37">
        <f>COUNTIF(AB$3:AB141,AB141)</f>
        <v>3</v>
      </c>
      <c r="AD141" s="15" t="str">
        <f t="shared" ca="1" si="20"/>
        <v>92720+5</v>
      </c>
      <c r="AE141" s="37">
        <f t="shared" ca="1" si="26"/>
        <v>5103</v>
      </c>
      <c r="AF141" s="15">
        <f t="shared" ca="1" si="21"/>
        <v>51</v>
      </c>
      <c r="AG141" s="15">
        <f t="shared" ca="1" si="27"/>
        <v>92720</v>
      </c>
      <c r="AH141" s="15" t="str">
        <f t="shared" ca="1" si="28"/>
        <v>{5}</v>
      </c>
      <c r="AI141" s="15">
        <f t="shared" ca="1" si="22"/>
        <v>1000</v>
      </c>
      <c r="AJ141" s="26" t="str">
        <f t="shared" ca="1" si="29"/>
        <v>融合卡材料-92720+5|10%</v>
      </c>
    </row>
    <row r="142" spans="1:3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3"/>
      <c r="O142" s="32">
        <f t="shared" si="23"/>
        <v>0</v>
      </c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15">
        <f t="shared" si="24"/>
        <v>0</v>
      </c>
      <c r="AA142" s="15">
        <f>SUM(Z$3:Z142)</f>
        <v>257</v>
      </c>
      <c r="AB142" s="37">
        <f t="shared" si="25"/>
        <v>53</v>
      </c>
      <c r="AC142" s="37">
        <f>COUNTIF(AB$3:AB142,AB142)</f>
        <v>1</v>
      </c>
      <c r="AD142" s="15" t="str">
        <f t="shared" ca="1" si="20"/>
        <v>92730+3</v>
      </c>
      <c r="AE142" s="37">
        <f t="shared" ca="1" si="26"/>
        <v>5201</v>
      </c>
      <c r="AF142" s="15">
        <f t="shared" ca="1" si="21"/>
        <v>52</v>
      </c>
      <c r="AG142" s="15">
        <f t="shared" ca="1" si="27"/>
        <v>92730</v>
      </c>
      <c r="AH142" s="15" t="str">
        <f t="shared" ca="1" si="28"/>
        <v>{3}</v>
      </c>
      <c r="AI142" s="15">
        <f t="shared" ca="1" si="22"/>
        <v>7000</v>
      </c>
      <c r="AJ142" s="26" t="str">
        <f t="shared" ca="1" si="29"/>
        <v>融合卡材料-92730+3|70%</v>
      </c>
    </row>
    <row r="143" spans="1:3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3"/>
      <c r="O143" s="32">
        <f t="shared" si="23"/>
        <v>0</v>
      </c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15">
        <f t="shared" si="24"/>
        <v>0</v>
      </c>
      <c r="AA143" s="15">
        <f>SUM(Z$3:Z143)</f>
        <v>257</v>
      </c>
      <c r="AB143" s="37">
        <f t="shared" si="25"/>
        <v>53</v>
      </c>
      <c r="AC143" s="37">
        <f>COUNTIF(AB$3:AB143,AB143)</f>
        <v>2</v>
      </c>
      <c r="AD143" s="15" t="str">
        <f t="shared" ca="1" si="20"/>
        <v>92730+4</v>
      </c>
      <c r="AE143" s="37">
        <f t="shared" ca="1" si="26"/>
        <v>5202</v>
      </c>
      <c r="AF143" s="15">
        <f t="shared" ca="1" si="21"/>
        <v>52</v>
      </c>
      <c r="AG143" s="15">
        <f t="shared" ca="1" si="27"/>
        <v>92730</v>
      </c>
      <c r="AH143" s="15" t="str">
        <f t="shared" ca="1" si="28"/>
        <v>{4}</v>
      </c>
      <c r="AI143" s="15">
        <f t="shared" ca="1" si="22"/>
        <v>2000</v>
      </c>
      <c r="AJ143" s="26" t="str">
        <f t="shared" ca="1" si="29"/>
        <v>融合卡材料-92730+4|20%</v>
      </c>
    </row>
    <row r="144" spans="1:3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3"/>
      <c r="O144" s="32">
        <f t="shared" si="23"/>
        <v>0</v>
      </c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15">
        <f t="shared" si="24"/>
        <v>0</v>
      </c>
      <c r="AA144" s="15">
        <f>SUM(Z$3:Z144)</f>
        <v>257</v>
      </c>
      <c r="AB144" s="37">
        <f t="shared" si="25"/>
        <v>53</v>
      </c>
      <c r="AC144" s="37">
        <f>COUNTIF(AB$3:AB144,AB144)</f>
        <v>3</v>
      </c>
      <c r="AD144" s="15" t="str">
        <f t="shared" ca="1" si="20"/>
        <v>92730+5</v>
      </c>
      <c r="AE144" s="37">
        <f t="shared" ca="1" si="26"/>
        <v>5203</v>
      </c>
      <c r="AF144" s="15">
        <f t="shared" ca="1" si="21"/>
        <v>52</v>
      </c>
      <c r="AG144" s="15">
        <f t="shared" ca="1" si="27"/>
        <v>92730</v>
      </c>
      <c r="AH144" s="15" t="str">
        <f t="shared" ca="1" si="28"/>
        <v>{5}</v>
      </c>
      <c r="AI144" s="15">
        <f t="shared" ca="1" si="22"/>
        <v>1000</v>
      </c>
      <c r="AJ144" s="26" t="str">
        <f t="shared" ca="1" si="29"/>
        <v>融合卡材料-92730+5|10%</v>
      </c>
    </row>
    <row r="145" spans="1:3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3"/>
      <c r="O145" s="32">
        <f t="shared" si="23"/>
        <v>0</v>
      </c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15">
        <f t="shared" si="24"/>
        <v>0</v>
      </c>
      <c r="AA145" s="15">
        <f>SUM(Z$3:Z145)</f>
        <v>257</v>
      </c>
      <c r="AB145" s="37">
        <f t="shared" si="25"/>
        <v>54</v>
      </c>
      <c r="AC145" s="37">
        <f>COUNTIF(AB$3:AB145,AB145)</f>
        <v>1</v>
      </c>
      <c r="AD145" s="15" t="str">
        <f t="shared" ca="1" si="20"/>
        <v>92740+3</v>
      </c>
      <c r="AE145" s="37">
        <f t="shared" ca="1" si="26"/>
        <v>5301</v>
      </c>
      <c r="AF145" s="15">
        <f t="shared" ca="1" si="21"/>
        <v>53</v>
      </c>
      <c r="AG145" s="15">
        <f t="shared" ca="1" si="27"/>
        <v>92740</v>
      </c>
      <c r="AH145" s="15" t="str">
        <f t="shared" ca="1" si="28"/>
        <v>{3}</v>
      </c>
      <c r="AI145" s="15">
        <f t="shared" ca="1" si="22"/>
        <v>7000</v>
      </c>
      <c r="AJ145" s="26" t="str">
        <f t="shared" ca="1" si="29"/>
        <v>融合卡材料-92740+3|70%</v>
      </c>
    </row>
    <row r="146" spans="1:3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3"/>
      <c r="O146" s="32">
        <f t="shared" si="23"/>
        <v>0</v>
      </c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15">
        <f t="shared" si="24"/>
        <v>0</v>
      </c>
      <c r="AA146" s="15">
        <f>SUM(Z$3:Z146)</f>
        <v>257</v>
      </c>
      <c r="AB146" s="37">
        <f t="shared" si="25"/>
        <v>54</v>
      </c>
      <c r="AC146" s="37">
        <f>COUNTIF(AB$3:AB146,AB146)</f>
        <v>2</v>
      </c>
      <c r="AD146" s="15" t="str">
        <f t="shared" ca="1" si="20"/>
        <v>92740+4</v>
      </c>
      <c r="AE146" s="37">
        <f t="shared" ca="1" si="26"/>
        <v>5302</v>
      </c>
      <c r="AF146" s="15">
        <f t="shared" ca="1" si="21"/>
        <v>53</v>
      </c>
      <c r="AG146" s="15">
        <f t="shared" ca="1" si="27"/>
        <v>92740</v>
      </c>
      <c r="AH146" s="15" t="str">
        <f t="shared" ca="1" si="28"/>
        <v>{4}</v>
      </c>
      <c r="AI146" s="15">
        <f t="shared" ca="1" si="22"/>
        <v>2000</v>
      </c>
      <c r="AJ146" s="26" t="str">
        <f t="shared" ca="1" si="29"/>
        <v>融合卡材料-92740+4|20%</v>
      </c>
    </row>
    <row r="147" spans="1:3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3"/>
      <c r="O147" s="32">
        <f t="shared" si="23"/>
        <v>0</v>
      </c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15">
        <f t="shared" si="24"/>
        <v>0</v>
      </c>
      <c r="AA147" s="15">
        <f>SUM(Z$3:Z147)</f>
        <v>257</v>
      </c>
      <c r="AB147" s="37">
        <f t="shared" si="25"/>
        <v>54</v>
      </c>
      <c r="AC147" s="37">
        <f>COUNTIF(AB$3:AB147,AB147)</f>
        <v>3</v>
      </c>
      <c r="AD147" s="15" t="str">
        <f t="shared" ca="1" si="20"/>
        <v>92740+5</v>
      </c>
      <c r="AE147" s="37">
        <f t="shared" ca="1" si="26"/>
        <v>5303</v>
      </c>
      <c r="AF147" s="15">
        <f t="shared" ca="1" si="21"/>
        <v>53</v>
      </c>
      <c r="AG147" s="15">
        <f t="shared" ca="1" si="27"/>
        <v>92740</v>
      </c>
      <c r="AH147" s="15" t="str">
        <f t="shared" ca="1" si="28"/>
        <v>{5}</v>
      </c>
      <c r="AI147" s="15">
        <f t="shared" ca="1" si="22"/>
        <v>1000</v>
      </c>
      <c r="AJ147" s="26" t="str">
        <f t="shared" ca="1" si="29"/>
        <v>融合卡材料-92740+5|10%</v>
      </c>
    </row>
    <row r="148" spans="1:3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3"/>
      <c r="O148" s="32">
        <f t="shared" si="23"/>
        <v>0</v>
      </c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15">
        <f t="shared" si="24"/>
        <v>0</v>
      </c>
      <c r="AA148" s="15">
        <f>SUM(Z$3:Z148)</f>
        <v>257</v>
      </c>
      <c r="AB148" s="37">
        <f t="shared" si="25"/>
        <v>55</v>
      </c>
      <c r="AC148" s="37">
        <f>COUNTIF(AB$3:AB148,AB148)</f>
        <v>1</v>
      </c>
      <c r="AD148" s="15" t="str">
        <f t="shared" ca="1" si="20"/>
        <v>4002100+8</v>
      </c>
      <c r="AE148" s="37">
        <f t="shared" ca="1" si="26"/>
        <v>5401</v>
      </c>
      <c r="AF148" s="15">
        <f t="shared" ca="1" si="21"/>
        <v>54</v>
      </c>
      <c r="AG148" s="15">
        <f t="shared" ca="1" si="27"/>
        <v>4002100</v>
      </c>
      <c r="AH148" s="15" t="str">
        <f t="shared" ca="1" si="28"/>
        <v>{8}</v>
      </c>
      <c r="AI148" s="15">
        <f t="shared" ca="1" si="22"/>
        <v>1000</v>
      </c>
      <c r="AJ148" s="26" t="str">
        <f t="shared" ca="1" si="29"/>
        <v>中级经验卡-4002100+8|10%</v>
      </c>
    </row>
    <row r="149" spans="1:3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3"/>
      <c r="O149" s="32">
        <f t="shared" si="23"/>
        <v>0</v>
      </c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15">
        <f t="shared" si="24"/>
        <v>0</v>
      </c>
      <c r="AA149" s="15">
        <f>SUM(Z$3:Z149)</f>
        <v>257</v>
      </c>
      <c r="AB149" s="37">
        <f t="shared" si="25"/>
        <v>55</v>
      </c>
      <c r="AC149" s="37">
        <f>COUNTIF(AB$3:AB149,AB149)</f>
        <v>2</v>
      </c>
      <c r="AD149" s="15" t="str">
        <f t="shared" ca="1" si="20"/>
        <v>4002100+10</v>
      </c>
      <c r="AE149" s="37">
        <f t="shared" ca="1" si="26"/>
        <v>5402</v>
      </c>
      <c r="AF149" s="15">
        <f t="shared" ca="1" si="21"/>
        <v>54</v>
      </c>
      <c r="AG149" s="15">
        <f t="shared" ca="1" si="27"/>
        <v>4002100</v>
      </c>
      <c r="AH149" s="15" t="str">
        <f t="shared" ca="1" si="28"/>
        <v>{10}</v>
      </c>
      <c r="AI149" s="15">
        <f t="shared" ca="1" si="22"/>
        <v>4000</v>
      </c>
      <c r="AJ149" s="26" t="str">
        <f t="shared" ca="1" si="29"/>
        <v>中级经验卡-4002100+10|40%</v>
      </c>
    </row>
    <row r="150" spans="1:3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3"/>
      <c r="O150" s="32">
        <f t="shared" si="23"/>
        <v>0</v>
      </c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15">
        <f t="shared" si="24"/>
        <v>0</v>
      </c>
      <c r="AA150" s="15">
        <f>SUM(Z$3:Z150)</f>
        <v>257</v>
      </c>
      <c r="AB150" s="37">
        <f t="shared" si="25"/>
        <v>55</v>
      </c>
      <c r="AC150" s="37">
        <f>COUNTIF(AB$3:AB150,AB150)</f>
        <v>3</v>
      </c>
      <c r="AD150" s="15" t="str">
        <f t="shared" ca="1" si="20"/>
        <v>4002100+12</v>
      </c>
      <c r="AE150" s="37">
        <f t="shared" ca="1" si="26"/>
        <v>5403</v>
      </c>
      <c r="AF150" s="15">
        <f t="shared" ca="1" si="21"/>
        <v>54</v>
      </c>
      <c r="AG150" s="15">
        <f t="shared" ca="1" si="27"/>
        <v>4002100</v>
      </c>
      <c r="AH150" s="15" t="str">
        <f t="shared" ca="1" si="28"/>
        <v>{12}</v>
      </c>
      <c r="AI150" s="15">
        <f t="shared" ca="1" si="22"/>
        <v>4000</v>
      </c>
      <c r="AJ150" s="26" t="str">
        <f t="shared" ca="1" si="29"/>
        <v>中级经验卡-4002100+12|40%</v>
      </c>
    </row>
    <row r="151" spans="1:3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3"/>
      <c r="O151" s="32">
        <f t="shared" si="23"/>
        <v>0</v>
      </c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15">
        <f t="shared" si="24"/>
        <v>0</v>
      </c>
      <c r="AA151" s="15">
        <f>SUM(Z$3:Z151)</f>
        <v>257</v>
      </c>
      <c r="AB151" s="37">
        <f t="shared" si="25"/>
        <v>55</v>
      </c>
      <c r="AC151" s="37">
        <f>COUNTIF(AB$3:AB151,AB151)</f>
        <v>4</v>
      </c>
      <c r="AD151" s="15" t="str">
        <f t="shared" ca="1" si="20"/>
        <v>4002100+14</v>
      </c>
      <c r="AE151" s="37">
        <f t="shared" ca="1" si="26"/>
        <v>5404</v>
      </c>
      <c r="AF151" s="15">
        <f t="shared" ca="1" si="21"/>
        <v>54</v>
      </c>
      <c r="AG151" s="15">
        <f t="shared" ca="1" si="27"/>
        <v>4002100</v>
      </c>
      <c r="AH151" s="15" t="str">
        <f t="shared" ca="1" si="28"/>
        <v>{14}</v>
      </c>
      <c r="AI151" s="15">
        <f t="shared" ca="1" si="22"/>
        <v>1000</v>
      </c>
      <c r="AJ151" s="26" t="str">
        <f t="shared" ca="1" si="29"/>
        <v>中级经验卡-4002100+14|10%</v>
      </c>
    </row>
    <row r="152" spans="1:3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3"/>
      <c r="O152" s="32">
        <f t="shared" si="23"/>
        <v>0</v>
      </c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15">
        <f t="shared" si="24"/>
        <v>0</v>
      </c>
      <c r="AA152" s="15">
        <f>SUM(Z$3:Z152)</f>
        <v>257</v>
      </c>
      <c r="AB152" s="37">
        <f t="shared" si="25"/>
        <v>56</v>
      </c>
      <c r="AC152" s="37">
        <f>COUNTIF(AB$3:AB152,AB152)</f>
        <v>1</v>
      </c>
      <c r="AD152" s="15" t="str">
        <f t="shared" ca="1" si="20"/>
        <v>4003100+0</v>
      </c>
      <c r="AE152" s="37">
        <f t="shared" ca="1" si="26"/>
        <v>5501</v>
      </c>
      <c r="AF152" s="15">
        <f t="shared" ca="1" si="21"/>
        <v>55</v>
      </c>
      <c r="AG152" s="15">
        <f t="shared" ca="1" si="27"/>
        <v>4003100</v>
      </c>
      <c r="AH152" s="15" t="str">
        <f t="shared" ca="1" si="28"/>
        <v>{0}</v>
      </c>
      <c r="AI152" s="15">
        <f t="shared" ca="1" si="22"/>
        <v>1000</v>
      </c>
      <c r="AJ152" s="26" t="str">
        <f t="shared" ca="1" si="29"/>
        <v>高级经验卡-4003100+0|10%</v>
      </c>
    </row>
    <row r="153" spans="1:3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3"/>
      <c r="O153" s="32">
        <f t="shared" si="23"/>
        <v>0</v>
      </c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15">
        <f t="shared" si="24"/>
        <v>0</v>
      </c>
      <c r="AA153" s="15">
        <f>SUM(Z$3:Z153)</f>
        <v>257</v>
      </c>
      <c r="AB153" s="37">
        <f t="shared" si="25"/>
        <v>56</v>
      </c>
      <c r="AC153" s="37">
        <f>COUNTIF(AB$3:AB153,AB153)</f>
        <v>2</v>
      </c>
      <c r="AD153" s="15" t="str">
        <f t="shared" ca="1" si="20"/>
        <v>4003100+1</v>
      </c>
      <c r="AE153" s="37">
        <f t="shared" ca="1" si="26"/>
        <v>5502</v>
      </c>
      <c r="AF153" s="15">
        <f t="shared" ca="1" si="21"/>
        <v>55</v>
      </c>
      <c r="AG153" s="15">
        <f t="shared" ca="1" si="27"/>
        <v>4003100</v>
      </c>
      <c r="AH153" s="15" t="str">
        <f t="shared" ca="1" si="28"/>
        <v>{1}</v>
      </c>
      <c r="AI153" s="15">
        <f t="shared" ca="1" si="22"/>
        <v>8000</v>
      </c>
      <c r="AJ153" s="26" t="str">
        <f t="shared" ca="1" si="29"/>
        <v>高级经验卡-4003100+1|80%</v>
      </c>
    </row>
    <row r="154" spans="1:3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3"/>
      <c r="O154" s="32">
        <f t="shared" si="23"/>
        <v>0</v>
      </c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15">
        <f t="shared" si="24"/>
        <v>0</v>
      </c>
      <c r="AA154" s="15">
        <f>SUM(Z$3:Z154)</f>
        <v>257</v>
      </c>
      <c r="AB154" s="37">
        <f t="shared" si="25"/>
        <v>56</v>
      </c>
      <c r="AC154" s="37">
        <f>COUNTIF(AB$3:AB154,AB154)</f>
        <v>3</v>
      </c>
      <c r="AD154" s="15" t="str">
        <f t="shared" ca="1" si="20"/>
        <v>4003100+2</v>
      </c>
      <c r="AE154" s="37">
        <f t="shared" ca="1" si="26"/>
        <v>5503</v>
      </c>
      <c r="AF154" s="15">
        <f t="shared" ca="1" si="21"/>
        <v>55</v>
      </c>
      <c r="AG154" s="15">
        <f t="shared" ca="1" si="27"/>
        <v>4003100</v>
      </c>
      <c r="AH154" s="15" t="str">
        <f t="shared" ca="1" si="28"/>
        <v>{2}</v>
      </c>
      <c r="AI154" s="15">
        <f t="shared" ca="1" si="22"/>
        <v>1000</v>
      </c>
      <c r="AJ154" s="26" t="str">
        <f t="shared" ca="1" si="29"/>
        <v>高级经验卡-4003100+2|10%</v>
      </c>
    </row>
    <row r="155" spans="1:3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3"/>
      <c r="O155" s="32">
        <f t="shared" si="23"/>
        <v>0</v>
      </c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15">
        <f t="shared" si="24"/>
        <v>0</v>
      </c>
      <c r="AA155" s="15">
        <f>SUM(Z$3:Z155)</f>
        <v>257</v>
      </c>
      <c r="AB155" s="37">
        <f t="shared" si="25"/>
        <v>57</v>
      </c>
      <c r="AC155" s="37">
        <f>COUNTIF(AB$3:AB155,AB155)</f>
        <v>1</v>
      </c>
      <c r="AD155" s="15" t="str">
        <f t="shared" ca="1" si="20"/>
        <v>4003100+4</v>
      </c>
      <c r="AE155" s="37">
        <f t="shared" ca="1" si="26"/>
        <v>5601</v>
      </c>
      <c r="AF155" s="15">
        <f t="shared" ca="1" si="21"/>
        <v>56</v>
      </c>
      <c r="AG155" s="15">
        <f t="shared" ca="1" si="27"/>
        <v>4003100</v>
      </c>
      <c r="AH155" s="15" t="str">
        <f t="shared" ca="1" si="28"/>
        <v>{4}</v>
      </c>
      <c r="AI155" s="15">
        <f t="shared" ca="1" si="22"/>
        <v>1000</v>
      </c>
      <c r="AJ155" s="26" t="str">
        <f t="shared" ca="1" si="29"/>
        <v>高级经验卡-4003100+4|10%</v>
      </c>
    </row>
    <row r="156" spans="1:3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3"/>
      <c r="O156" s="32">
        <f t="shared" si="23"/>
        <v>0</v>
      </c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15">
        <f t="shared" si="24"/>
        <v>0</v>
      </c>
      <c r="AA156" s="15">
        <f>SUM(Z$3:Z156)</f>
        <v>257</v>
      </c>
      <c r="AB156" s="37">
        <f t="shared" si="25"/>
        <v>57</v>
      </c>
      <c r="AC156" s="37">
        <f>COUNTIF(AB$3:AB156,AB156)</f>
        <v>2</v>
      </c>
      <c r="AD156" s="15" t="str">
        <f t="shared" ca="1" si="20"/>
        <v>4003100+5</v>
      </c>
      <c r="AE156" s="37">
        <f t="shared" ca="1" si="26"/>
        <v>5602</v>
      </c>
      <c r="AF156" s="15">
        <f t="shared" ca="1" si="21"/>
        <v>56</v>
      </c>
      <c r="AG156" s="15">
        <f t="shared" ca="1" si="27"/>
        <v>4003100</v>
      </c>
      <c r="AH156" s="15" t="str">
        <f t="shared" ca="1" si="28"/>
        <v>{5}</v>
      </c>
      <c r="AI156" s="15">
        <f t="shared" ca="1" si="22"/>
        <v>8000</v>
      </c>
      <c r="AJ156" s="26" t="str">
        <f t="shared" ca="1" si="29"/>
        <v>高级经验卡-4003100+5|80%</v>
      </c>
    </row>
    <row r="157" spans="1:3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3"/>
      <c r="O157" s="32">
        <f t="shared" si="23"/>
        <v>0</v>
      </c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15">
        <f t="shared" si="24"/>
        <v>0</v>
      </c>
      <c r="AA157" s="15">
        <f>SUM(Z$3:Z157)</f>
        <v>257</v>
      </c>
      <c r="AB157" s="37">
        <f t="shared" si="25"/>
        <v>57</v>
      </c>
      <c r="AC157" s="37">
        <f>COUNTIF(AB$3:AB157,AB157)</f>
        <v>3</v>
      </c>
      <c r="AD157" s="15" t="str">
        <f t="shared" ca="1" si="20"/>
        <v>4003100+6</v>
      </c>
      <c r="AE157" s="37">
        <f t="shared" ca="1" si="26"/>
        <v>5603</v>
      </c>
      <c r="AF157" s="15">
        <f t="shared" ca="1" si="21"/>
        <v>56</v>
      </c>
      <c r="AG157" s="15">
        <f t="shared" ca="1" si="27"/>
        <v>4003100</v>
      </c>
      <c r="AH157" s="15" t="str">
        <f t="shared" ca="1" si="28"/>
        <v>{6}</v>
      </c>
      <c r="AI157" s="15">
        <f t="shared" ca="1" si="22"/>
        <v>1000</v>
      </c>
      <c r="AJ157" s="26" t="str">
        <f t="shared" ca="1" si="29"/>
        <v>高级经验卡-4003100+6|10%</v>
      </c>
    </row>
    <row r="158" spans="1:3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3"/>
      <c r="O158" s="32">
        <f t="shared" si="23"/>
        <v>0</v>
      </c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15">
        <f t="shared" si="24"/>
        <v>0</v>
      </c>
      <c r="AA158" s="15">
        <f>SUM(Z$3:Z158)</f>
        <v>257</v>
      </c>
      <c r="AB158" s="37">
        <f t="shared" si="25"/>
        <v>58</v>
      </c>
      <c r="AC158" s="37">
        <f>COUNTIF(AB$3:AB158,AB158)</f>
        <v>1</v>
      </c>
      <c r="AD158" s="15" t="str">
        <f t="shared" ca="1" si="20"/>
        <v>4003100+8</v>
      </c>
      <c r="AE158" s="37">
        <f t="shared" ca="1" si="26"/>
        <v>5701</v>
      </c>
      <c r="AF158" s="15">
        <f t="shared" ca="1" si="21"/>
        <v>57</v>
      </c>
      <c r="AG158" s="15">
        <f t="shared" ca="1" si="27"/>
        <v>4003100</v>
      </c>
      <c r="AH158" s="15" t="str">
        <f t="shared" ca="1" si="28"/>
        <v>{8}</v>
      </c>
      <c r="AI158" s="15">
        <f t="shared" ca="1" si="22"/>
        <v>1000</v>
      </c>
      <c r="AJ158" s="26" t="str">
        <f t="shared" ca="1" si="29"/>
        <v>高级经验卡-4003100+8|10%</v>
      </c>
    </row>
    <row r="159" spans="1:3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3"/>
      <c r="O159" s="32">
        <f t="shared" si="23"/>
        <v>0</v>
      </c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15">
        <f t="shared" si="24"/>
        <v>0</v>
      </c>
      <c r="AA159" s="15">
        <f>SUM(Z$3:Z159)</f>
        <v>257</v>
      </c>
      <c r="AB159" s="37">
        <f t="shared" si="25"/>
        <v>58</v>
      </c>
      <c r="AC159" s="37">
        <f>COUNTIF(AB$3:AB159,AB159)</f>
        <v>2</v>
      </c>
      <c r="AD159" s="15" t="str">
        <f t="shared" ca="1" si="20"/>
        <v>4003100+9</v>
      </c>
      <c r="AE159" s="37">
        <f t="shared" ca="1" si="26"/>
        <v>5702</v>
      </c>
      <c r="AF159" s="15">
        <f t="shared" ca="1" si="21"/>
        <v>57</v>
      </c>
      <c r="AG159" s="15">
        <f t="shared" ca="1" si="27"/>
        <v>4003100</v>
      </c>
      <c r="AH159" s="15" t="str">
        <f t="shared" ca="1" si="28"/>
        <v>{9}</v>
      </c>
      <c r="AI159" s="15">
        <f t="shared" ca="1" si="22"/>
        <v>8000</v>
      </c>
      <c r="AJ159" s="26" t="str">
        <f t="shared" ca="1" si="29"/>
        <v>高级经验卡-4003100+9|80%</v>
      </c>
    </row>
    <row r="160" spans="1:3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3"/>
      <c r="O160" s="32">
        <f t="shared" si="23"/>
        <v>0</v>
      </c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15">
        <f t="shared" si="24"/>
        <v>0</v>
      </c>
      <c r="AA160" s="15">
        <f>SUM(Z$3:Z160)</f>
        <v>257</v>
      </c>
      <c r="AB160" s="37">
        <f t="shared" si="25"/>
        <v>58</v>
      </c>
      <c r="AC160" s="37">
        <f>COUNTIF(AB$3:AB160,AB160)</f>
        <v>3</v>
      </c>
      <c r="AD160" s="15" t="str">
        <f t="shared" ca="1" si="20"/>
        <v>4003100+10</v>
      </c>
      <c r="AE160" s="37">
        <f t="shared" ca="1" si="26"/>
        <v>5703</v>
      </c>
      <c r="AF160" s="15">
        <f t="shared" ca="1" si="21"/>
        <v>57</v>
      </c>
      <c r="AG160" s="15">
        <f t="shared" ca="1" si="27"/>
        <v>4003100</v>
      </c>
      <c r="AH160" s="15" t="str">
        <f t="shared" ca="1" si="28"/>
        <v>{10}</v>
      </c>
      <c r="AI160" s="15">
        <f t="shared" ca="1" si="22"/>
        <v>1000</v>
      </c>
      <c r="AJ160" s="26" t="str">
        <f t="shared" ca="1" si="29"/>
        <v>高级经验卡-4003100+10|10%</v>
      </c>
    </row>
    <row r="161" spans="1:3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3"/>
      <c r="O161" s="32">
        <f t="shared" si="23"/>
        <v>0</v>
      </c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15">
        <f t="shared" si="24"/>
        <v>0</v>
      </c>
      <c r="AA161" s="15">
        <f>SUM(Z$3:Z161)</f>
        <v>257</v>
      </c>
      <c r="AB161" s="37">
        <f t="shared" si="25"/>
        <v>59</v>
      </c>
      <c r="AC161" s="37">
        <f>COUNTIF(AB$3:AB161,AB161)</f>
        <v>1</v>
      </c>
      <c r="AD161" s="15" t="str">
        <f t="shared" ca="1" si="20"/>
        <v>4003100+12</v>
      </c>
      <c r="AE161" s="37">
        <f t="shared" ca="1" si="26"/>
        <v>5801</v>
      </c>
      <c r="AF161" s="15">
        <f t="shared" ca="1" si="21"/>
        <v>58</v>
      </c>
      <c r="AG161" s="15">
        <f t="shared" ca="1" si="27"/>
        <v>4003100</v>
      </c>
      <c r="AH161" s="15" t="str">
        <f t="shared" ca="1" si="28"/>
        <v>{12}</v>
      </c>
      <c r="AI161" s="15">
        <f t="shared" ca="1" si="22"/>
        <v>1000</v>
      </c>
      <c r="AJ161" s="26" t="str">
        <f t="shared" ca="1" si="29"/>
        <v>高级经验卡-4003100+12|10%</v>
      </c>
    </row>
    <row r="162" spans="1:3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3"/>
      <c r="O162" s="32">
        <f t="shared" si="23"/>
        <v>0</v>
      </c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15">
        <f t="shared" si="24"/>
        <v>0</v>
      </c>
      <c r="AA162" s="15">
        <f>SUM(Z$3:Z162)</f>
        <v>257</v>
      </c>
      <c r="AB162" s="37">
        <f t="shared" si="25"/>
        <v>59</v>
      </c>
      <c r="AC162" s="37">
        <f>COUNTIF(AB$3:AB162,AB162)</f>
        <v>2</v>
      </c>
      <c r="AD162" s="15" t="str">
        <f t="shared" ca="1" si="20"/>
        <v>4003100+13</v>
      </c>
      <c r="AE162" s="37">
        <f t="shared" ca="1" si="26"/>
        <v>5802</v>
      </c>
      <c r="AF162" s="15">
        <f t="shared" ca="1" si="21"/>
        <v>58</v>
      </c>
      <c r="AG162" s="15">
        <f t="shared" ca="1" si="27"/>
        <v>4003100</v>
      </c>
      <c r="AH162" s="15" t="str">
        <f t="shared" ca="1" si="28"/>
        <v>{13}</v>
      </c>
      <c r="AI162" s="15">
        <f t="shared" ca="1" si="22"/>
        <v>8000</v>
      </c>
      <c r="AJ162" s="26" t="str">
        <f t="shared" ca="1" si="29"/>
        <v>高级经验卡-4003100+13|80%</v>
      </c>
    </row>
    <row r="163" spans="1:3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3"/>
      <c r="O163" s="32">
        <f t="shared" si="23"/>
        <v>0</v>
      </c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15">
        <f t="shared" si="24"/>
        <v>0</v>
      </c>
      <c r="AA163" s="15">
        <f>SUM(Z$3:Z163)</f>
        <v>257</v>
      </c>
      <c r="AB163" s="37">
        <f t="shared" si="25"/>
        <v>59</v>
      </c>
      <c r="AC163" s="37">
        <f>COUNTIF(AB$3:AB163,AB163)</f>
        <v>3</v>
      </c>
      <c r="AD163" s="15" t="str">
        <f t="shared" ca="1" si="20"/>
        <v>4003100+14</v>
      </c>
      <c r="AE163" s="37">
        <f t="shared" ca="1" si="26"/>
        <v>5803</v>
      </c>
      <c r="AF163" s="15">
        <f t="shared" ca="1" si="21"/>
        <v>58</v>
      </c>
      <c r="AG163" s="15">
        <f t="shared" ca="1" si="27"/>
        <v>4003100</v>
      </c>
      <c r="AH163" s="15" t="str">
        <f t="shared" ca="1" si="28"/>
        <v>{14}</v>
      </c>
      <c r="AI163" s="15">
        <f t="shared" ca="1" si="22"/>
        <v>1000</v>
      </c>
      <c r="AJ163" s="26" t="str">
        <f t="shared" ca="1" si="29"/>
        <v>高级经验卡-4003100+14|10%</v>
      </c>
    </row>
    <row r="164" spans="1:3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3"/>
      <c r="O164" s="32">
        <f t="shared" si="23"/>
        <v>0</v>
      </c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15">
        <f t="shared" si="24"/>
        <v>0</v>
      </c>
      <c r="AA164" s="15">
        <f>SUM(Z$3:Z164)</f>
        <v>257</v>
      </c>
      <c r="AB164" s="37">
        <f t="shared" si="25"/>
        <v>60</v>
      </c>
      <c r="AC164" s="37">
        <f>COUNTIF(AB$3:AB164,AB164)</f>
        <v>1</v>
      </c>
      <c r="AD164" s="15" t="str">
        <f t="shared" ca="1" si="20"/>
        <v>4003100+16</v>
      </c>
      <c r="AE164" s="37">
        <f t="shared" ca="1" si="26"/>
        <v>5901</v>
      </c>
      <c r="AF164" s="15">
        <f t="shared" ca="1" si="21"/>
        <v>59</v>
      </c>
      <c r="AG164" s="15">
        <f t="shared" ca="1" si="27"/>
        <v>4003100</v>
      </c>
      <c r="AH164" s="15" t="str">
        <f t="shared" ca="1" si="28"/>
        <v>{16}</v>
      </c>
      <c r="AI164" s="15">
        <f t="shared" ca="1" si="22"/>
        <v>1000</v>
      </c>
      <c r="AJ164" s="26" t="str">
        <f t="shared" ca="1" si="29"/>
        <v>高级经验卡-4003100+16|10%</v>
      </c>
    </row>
    <row r="165" spans="1:3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3"/>
      <c r="O165" s="32">
        <f t="shared" si="23"/>
        <v>0</v>
      </c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15">
        <f t="shared" si="24"/>
        <v>0</v>
      </c>
      <c r="AA165" s="15">
        <f>SUM(Z$3:Z165)</f>
        <v>257</v>
      </c>
      <c r="AB165" s="37">
        <f t="shared" si="25"/>
        <v>60</v>
      </c>
      <c r="AC165" s="37">
        <f>COUNTIF(AB$3:AB165,AB165)</f>
        <v>2</v>
      </c>
      <c r="AD165" s="15" t="str">
        <f t="shared" ca="1" si="20"/>
        <v>4003100+17</v>
      </c>
      <c r="AE165" s="37">
        <f t="shared" ca="1" si="26"/>
        <v>5902</v>
      </c>
      <c r="AF165" s="15">
        <f t="shared" ca="1" si="21"/>
        <v>59</v>
      </c>
      <c r="AG165" s="15">
        <f t="shared" ca="1" si="27"/>
        <v>4003100</v>
      </c>
      <c r="AH165" s="15" t="str">
        <f t="shared" ca="1" si="28"/>
        <v>{17}</v>
      </c>
      <c r="AI165" s="15">
        <f t="shared" ca="1" si="22"/>
        <v>8000</v>
      </c>
      <c r="AJ165" s="26" t="str">
        <f t="shared" ca="1" si="29"/>
        <v>高级经验卡-4003100+17|80%</v>
      </c>
    </row>
    <row r="166" spans="1:3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3"/>
      <c r="O166" s="32">
        <f t="shared" si="23"/>
        <v>0</v>
      </c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15">
        <f t="shared" si="24"/>
        <v>0</v>
      </c>
      <c r="AA166" s="15">
        <f>SUM(Z$3:Z166)</f>
        <v>257</v>
      </c>
      <c r="AB166" s="37">
        <f t="shared" si="25"/>
        <v>60</v>
      </c>
      <c r="AC166" s="37">
        <f>COUNTIF(AB$3:AB166,AB166)</f>
        <v>3</v>
      </c>
      <c r="AD166" s="15" t="str">
        <f t="shared" ca="1" si="20"/>
        <v>4003100+18</v>
      </c>
      <c r="AE166" s="37">
        <f t="shared" ca="1" si="26"/>
        <v>5903</v>
      </c>
      <c r="AF166" s="15">
        <f t="shared" ca="1" si="21"/>
        <v>59</v>
      </c>
      <c r="AG166" s="15">
        <f t="shared" ca="1" si="27"/>
        <v>4003100</v>
      </c>
      <c r="AH166" s="15" t="str">
        <f t="shared" ca="1" si="28"/>
        <v>{18}</v>
      </c>
      <c r="AI166" s="15">
        <f t="shared" ca="1" si="22"/>
        <v>1000</v>
      </c>
      <c r="AJ166" s="26" t="str">
        <f t="shared" ca="1" si="29"/>
        <v>高级经验卡-4003100+18|10%</v>
      </c>
    </row>
    <row r="167" spans="1:3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3"/>
      <c r="O167" s="32">
        <f t="shared" si="23"/>
        <v>0</v>
      </c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15">
        <f t="shared" si="24"/>
        <v>0</v>
      </c>
      <c r="AA167" s="15">
        <f>SUM(Z$3:Z167)</f>
        <v>257</v>
      </c>
      <c r="AB167" s="37">
        <f t="shared" si="25"/>
        <v>61</v>
      </c>
      <c r="AC167" s="37">
        <f>COUNTIF(AB$3:AB167,AB167)</f>
        <v>1</v>
      </c>
      <c r="AD167" s="15" t="str">
        <f t="shared" ca="1" si="20"/>
        <v>4003100+20</v>
      </c>
      <c r="AE167" s="37">
        <f t="shared" ca="1" si="26"/>
        <v>6001</v>
      </c>
      <c r="AF167" s="15">
        <f t="shared" ca="1" si="21"/>
        <v>60</v>
      </c>
      <c r="AG167" s="15">
        <f t="shared" ca="1" si="27"/>
        <v>4003100</v>
      </c>
      <c r="AH167" s="15" t="str">
        <f t="shared" ca="1" si="28"/>
        <v>{20}</v>
      </c>
      <c r="AI167" s="15">
        <f t="shared" ca="1" si="22"/>
        <v>1000</v>
      </c>
      <c r="AJ167" s="26" t="str">
        <f t="shared" ca="1" si="29"/>
        <v>高级经验卡-4003100+20|10%</v>
      </c>
    </row>
    <row r="168" spans="1:3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3"/>
      <c r="O168" s="32">
        <f t="shared" si="23"/>
        <v>0</v>
      </c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15">
        <f t="shared" si="24"/>
        <v>0</v>
      </c>
      <c r="AA168" s="15">
        <f>SUM(Z$3:Z168)</f>
        <v>257</v>
      </c>
      <c r="AB168" s="37">
        <f t="shared" si="25"/>
        <v>61</v>
      </c>
      <c r="AC168" s="37">
        <f>COUNTIF(AB$3:AB168,AB168)</f>
        <v>2</v>
      </c>
      <c r="AD168" s="15" t="str">
        <f t="shared" ca="1" si="20"/>
        <v>4003100+21</v>
      </c>
      <c r="AE168" s="37">
        <f t="shared" ca="1" si="26"/>
        <v>6002</v>
      </c>
      <c r="AF168" s="15">
        <f t="shared" ca="1" si="21"/>
        <v>60</v>
      </c>
      <c r="AG168" s="15">
        <f t="shared" ca="1" si="27"/>
        <v>4003100</v>
      </c>
      <c r="AH168" s="15" t="str">
        <f t="shared" ca="1" si="28"/>
        <v>{21}</v>
      </c>
      <c r="AI168" s="15">
        <f t="shared" ca="1" si="22"/>
        <v>8000</v>
      </c>
      <c r="AJ168" s="26" t="str">
        <f t="shared" ca="1" si="29"/>
        <v>高级经验卡-4003100+21|80%</v>
      </c>
    </row>
    <row r="169" spans="1:3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3"/>
      <c r="O169" s="32">
        <f t="shared" si="23"/>
        <v>0</v>
      </c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15">
        <f t="shared" si="24"/>
        <v>0</v>
      </c>
      <c r="AA169" s="15">
        <f>SUM(Z$3:Z169)</f>
        <v>257</v>
      </c>
      <c r="AB169" s="37">
        <f t="shared" si="25"/>
        <v>61</v>
      </c>
      <c r="AC169" s="37">
        <f>COUNTIF(AB$3:AB169,AB169)</f>
        <v>3</v>
      </c>
      <c r="AD169" s="15" t="str">
        <f t="shared" ca="1" si="20"/>
        <v>4003100+22</v>
      </c>
      <c r="AE169" s="37">
        <f t="shared" ca="1" si="26"/>
        <v>6003</v>
      </c>
      <c r="AF169" s="15">
        <f t="shared" ca="1" si="21"/>
        <v>60</v>
      </c>
      <c r="AG169" s="15">
        <f t="shared" ca="1" si="27"/>
        <v>4003100</v>
      </c>
      <c r="AH169" s="15" t="str">
        <f t="shared" ca="1" si="28"/>
        <v>{22}</v>
      </c>
      <c r="AI169" s="15">
        <f t="shared" ca="1" si="22"/>
        <v>1000</v>
      </c>
      <c r="AJ169" s="26" t="str">
        <f t="shared" ca="1" si="29"/>
        <v>高级经验卡-4003100+22|10%</v>
      </c>
    </row>
    <row r="170" spans="1:3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3"/>
      <c r="O170" s="32">
        <f t="shared" si="23"/>
        <v>0</v>
      </c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15">
        <f t="shared" si="24"/>
        <v>0</v>
      </c>
      <c r="AA170" s="15">
        <f>SUM(Z$3:Z170)</f>
        <v>257</v>
      </c>
      <c r="AB170" s="37">
        <f t="shared" si="25"/>
        <v>62</v>
      </c>
      <c r="AC170" s="37">
        <f>COUNTIF(AB$3:AB170,AB170)</f>
        <v>1</v>
      </c>
      <c r="AD170" s="15" t="str">
        <f t="shared" ca="1" si="20"/>
        <v>81110+1</v>
      </c>
      <c r="AE170" s="37">
        <f t="shared" ca="1" si="26"/>
        <v>6101</v>
      </c>
      <c r="AF170" s="15">
        <f t="shared" ca="1" si="21"/>
        <v>61</v>
      </c>
      <c r="AG170" s="15">
        <f t="shared" ca="1" si="27"/>
        <v>81110</v>
      </c>
      <c r="AH170" s="15" t="str">
        <f t="shared" ca="1" si="28"/>
        <v>{1}</v>
      </c>
      <c r="AI170" s="15">
        <f t="shared" ca="1" si="22"/>
        <v>10000</v>
      </c>
      <c r="AJ170" s="26" t="str">
        <f t="shared" ca="1" si="29"/>
        <v>普通卡A-81110+1|100%</v>
      </c>
    </row>
    <row r="171" spans="1:3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3"/>
      <c r="O171" s="32">
        <f t="shared" si="23"/>
        <v>0</v>
      </c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15">
        <f t="shared" si="24"/>
        <v>0</v>
      </c>
      <c r="AA171" s="15">
        <f>SUM(Z$3:Z171)</f>
        <v>257</v>
      </c>
      <c r="AB171" s="37">
        <f t="shared" si="25"/>
        <v>63</v>
      </c>
      <c r="AC171" s="37">
        <f>COUNTIF(AB$3:AB171,AB171)</f>
        <v>1</v>
      </c>
      <c r="AD171" s="15" t="str">
        <f t="shared" ca="1" si="20"/>
        <v>91120+1</v>
      </c>
      <c r="AE171" s="37">
        <f t="shared" ca="1" si="26"/>
        <v>6201</v>
      </c>
      <c r="AF171" s="15">
        <f t="shared" ca="1" si="21"/>
        <v>62</v>
      </c>
      <c r="AG171" s="15">
        <f t="shared" ca="1" si="27"/>
        <v>91120</v>
      </c>
      <c r="AH171" s="15" t="str">
        <f t="shared" ca="1" si="28"/>
        <v>{1}</v>
      </c>
      <c r="AI171" s="15">
        <f t="shared" ca="1" si="22"/>
        <v>2000</v>
      </c>
      <c r="AJ171" s="26" t="str">
        <f t="shared" ca="1" si="29"/>
        <v>普通卡B-91120+1|20%</v>
      </c>
    </row>
    <row r="172" spans="1:3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3"/>
      <c r="O172" s="32">
        <f t="shared" si="23"/>
        <v>0</v>
      </c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15">
        <f t="shared" si="24"/>
        <v>0</v>
      </c>
      <c r="AA172" s="15">
        <f>SUM(Z$3:Z172)</f>
        <v>257</v>
      </c>
      <c r="AB172" s="37">
        <f t="shared" si="25"/>
        <v>63</v>
      </c>
      <c r="AC172" s="37">
        <f>COUNTIF(AB$3:AB172,AB172)</f>
        <v>2</v>
      </c>
      <c r="AD172" s="15" t="str">
        <f t="shared" ca="1" si="20"/>
        <v>91220+1</v>
      </c>
      <c r="AE172" s="37">
        <f t="shared" ca="1" si="26"/>
        <v>6202</v>
      </c>
      <c r="AF172" s="15">
        <f t="shared" ca="1" si="21"/>
        <v>62</v>
      </c>
      <c r="AG172" s="15">
        <f t="shared" ca="1" si="27"/>
        <v>91220</v>
      </c>
      <c r="AH172" s="15" t="str">
        <f t="shared" ca="1" si="28"/>
        <v>{1}</v>
      </c>
      <c r="AI172" s="15">
        <f t="shared" ca="1" si="22"/>
        <v>3000</v>
      </c>
      <c r="AJ172" s="26" t="str">
        <f t="shared" ca="1" si="29"/>
        <v>普通卡B-91220+1|30%</v>
      </c>
    </row>
    <row r="173" spans="1:3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3"/>
      <c r="O173" s="32">
        <f t="shared" si="23"/>
        <v>0</v>
      </c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15">
        <f t="shared" si="24"/>
        <v>0</v>
      </c>
      <c r="AA173" s="15">
        <f>SUM(Z$3:Z173)</f>
        <v>257</v>
      </c>
      <c r="AB173" s="37">
        <f t="shared" si="25"/>
        <v>63</v>
      </c>
      <c r="AC173" s="37">
        <f>COUNTIF(AB$3:AB173,AB173)</f>
        <v>3</v>
      </c>
      <c r="AD173" s="15" t="str">
        <f t="shared" ca="1" si="20"/>
        <v>91320+1</v>
      </c>
      <c r="AE173" s="37">
        <f t="shared" ca="1" si="26"/>
        <v>6203</v>
      </c>
      <c r="AF173" s="15">
        <f t="shared" ca="1" si="21"/>
        <v>62</v>
      </c>
      <c r="AG173" s="15">
        <f t="shared" ca="1" si="27"/>
        <v>91320</v>
      </c>
      <c r="AH173" s="15" t="str">
        <f t="shared" ca="1" si="28"/>
        <v>{1}</v>
      </c>
      <c r="AI173" s="15">
        <f t="shared" ca="1" si="22"/>
        <v>2000</v>
      </c>
      <c r="AJ173" s="26" t="str">
        <f t="shared" ca="1" si="29"/>
        <v>普通卡B-91320+1|20%</v>
      </c>
    </row>
    <row r="174" spans="1:3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3"/>
      <c r="O174" s="32">
        <f t="shared" si="23"/>
        <v>0</v>
      </c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15">
        <f t="shared" si="24"/>
        <v>0</v>
      </c>
      <c r="AA174" s="15">
        <f>SUM(Z$3:Z174)</f>
        <v>257</v>
      </c>
      <c r="AB174" s="37">
        <f t="shared" si="25"/>
        <v>63</v>
      </c>
      <c r="AC174" s="37">
        <f>COUNTIF(AB$3:AB174,AB174)</f>
        <v>4</v>
      </c>
      <c r="AD174" s="15" t="str">
        <f t="shared" ca="1" si="20"/>
        <v>91420+1</v>
      </c>
      <c r="AE174" s="37">
        <f t="shared" ca="1" si="26"/>
        <v>6204</v>
      </c>
      <c r="AF174" s="15">
        <f t="shared" ca="1" si="21"/>
        <v>62</v>
      </c>
      <c r="AG174" s="15">
        <f t="shared" ca="1" si="27"/>
        <v>91420</v>
      </c>
      <c r="AH174" s="15" t="str">
        <f t="shared" ca="1" si="28"/>
        <v>{1}</v>
      </c>
      <c r="AI174" s="15">
        <f t="shared" ca="1" si="22"/>
        <v>2000</v>
      </c>
      <c r="AJ174" s="26" t="str">
        <f t="shared" ca="1" si="29"/>
        <v>普通卡B-91420+1|20%</v>
      </c>
    </row>
    <row r="175" spans="1:3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3"/>
      <c r="O175" s="32">
        <f t="shared" si="23"/>
        <v>0</v>
      </c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15">
        <f t="shared" si="24"/>
        <v>0</v>
      </c>
      <c r="AA175" s="15">
        <f>SUM(Z$3:Z175)</f>
        <v>257</v>
      </c>
      <c r="AB175" s="37">
        <f t="shared" si="25"/>
        <v>63</v>
      </c>
      <c r="AC175" s="37">
        <f>COUNTIF(AB$3:AB175,AB175)</f>
        <v>5</v>
      </c>
      <c r="AD175" s="15" t="str">
        <f t="shared" ca="1" si="20"/>
        <v>91520+1</v>
      </c>
      <c r="AE175" s="37">
        <f t="shared" ca="1" si="26"/>
        <v>6205</v>
      </c>
      <c r="AF175" s="15">
        <f t="shared" ca="1" si="21"/>
        <v>62</v>
      </c>
      <c r="AG175" s="15">
        <f t="shared" ca="1" si="27"/>
        <v>91520</v>
      </c>
      <c r="AH175" s="15" t="str">
        <f t="shared" ca="1" si="28"/>
        <v>{1}</v>
      </c>
      <c r="AI175" s="15">
        <f t="shared" ca="1" si="22"/>
        <v>1000</v>
      </c>
      <c r="AJ175" s="26" t="str">
        <f t="shared" ca="1" si="29"/>
        <v>普通卡B-91520+1|10%</v>
      </c>
    </row>
    <row r="176" spans="1:3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3"/>
      <c r="O176" s="32">
        <f t="shared" si="23"/>
        <v>0</v>
      </c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15">
        <f t="shared" si="24"/>
        <v>0</v>
      </c>
      <c r="AA176" s="15">
        <f>SUM(Z$3:Z176)</f>
        <v>257</v>
      </c>
      <c r="AB176" s="37">
        <f t="shared" si="25"/>
        <v>64</v>
      </c>
      <c r="AC176" s="37">
        <f>COUNTIF(AB$3:AB176,AB176)</f>
        <v>1</v>
      </c>
      <c r="AD176" s="15" t="str">
        <f t="shared" ca="1" si="20"/>
        <v>91130+1</v>
      </c>
      <c r="AE176" s="37">
        <f t="shared" ca="1" si="26"/>
        <v>6301</v>
      </c>
      <c r="AF176" s="15">
        <f t="shared" ca="1" si="21"/>
        <v>63</v>
      </c>
      <c r="AG176" s="15">
        <f t="shared" ca="1" si="27"/>
        <v>91130</v>
      </c>
      <c r="AH176" s="15" t="str">
        <f t="shared" ca="1" si="28"/>
        <v>{1}</v>
      </c>
      <c r="AI176" s="15">
        <f t="shared" ca="1" si="22"/>
        <v>2000</v>
      </c>
      <c r="AJ176" s="26" t="str">
        <f t="shared" ca="1" si="29"/>
        <v>普通卡C-91130+1|20%</v>
      </c>
    </row>
    <row r="177" spans="1:3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3"/>
      <c r="O177" s="32">
        <f t="shared" si="23"/>
        <v>0</v>
      </c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15">
        <f t="shared" si="24"/>
        <v>0</v>
      </c>
      <c r="AA177" s="15">
        <f>SUM(Z$3:Z177)</f>
        <v>257</v>
      </c>
      <c r="AB177" s="37">
        <f t="shared" si="25"/>
        <v>64</v>
      </c>
      <c r="AC177" s="37">
        <f>COUNTIF(AB$3:AB177,AB177)</f>
        <v>2</v>
      </c>
      <c r="AD177" s="15" t="str">
        <f t="shared" ca="1" si="20"/>
        <v>91230+1</v>
      </c>
      <c r="AE177" s="37">
        <f t="shared" ca="1" si="26"/>
        <v>6302</v>
      </c>
      <c r="AF177" s="15">
        <f t="shared" ca="1" si="21"/>
        <v>63</v>
      </c>
      <c r="AG177" s="15">
        <f t="shared" ca="1" si="27"/>
        <v>91230</v>
      </c>
      <c r="AH177" s="15" t="str">
        <f t="shared" ca="1" si="28"/>
        <v>{1}</v>
      </c>
      <c r="AI177" s="15">
        <f t="shared" ca="1" si="22"/>
        <v>3000</v>
      </c>
      <c r="AJ177" s="26" t="str">
        <f t="shared" ca="1" si="29"/>
        <v>普通卡C-91230+1|30%</v>
      </c>
    </row>
    <row r="178" spans="1:3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3"/>
      <c r="O178" s="32">
        <f t="shared" si="23"/>
        <v>0</v>
      </c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15">
        <f t="shared" si="24"/>
        <v>0</v>
      </c>
      <c r="AA178" s="15">
        <f>SUM(Z$3:Z178)</f>
        <v>257</v>
      </c>
      <c r="AB178" s="37">
        <f t="shared" si="25"/>
        <v>64</v>
      </c>
      <c r="AC178" s="37">
        <f>COUNTIF(AB$3:AB178,AB178)</f>
        <v>3</v>
      </c>
      <c r="AD178" s="15" t="str">
        <f t="shared" ca="1" si="20"/>
        <v>91330+1</v>
      </c>
      <c r="AE178" s="37">
        <f t="shared" ca="1" si="26"/>
        <v>6303</v>
      </c>
      <c r="AF178" s="15">
        <f t="shared" ca="1" si="21"/>
        <v>63</v>
      </c>
      <c r="AG178" s="15">
        <f t="shared" ca="1" si="27"/>
        <v>91330</v>
      </c>
      <c r="AH178" s="15" t="str">
        <f t="shared" ca="1" si="28"/>
        <v>{1}</v>
      </c>
      <c r="AI178" s="15">
        <f t="shared" ca="1" si="22"/>
        <v>2000</v>
      </c>
      <c r="AJ178" s="26" t="str">
        <f t="shared" ca="1" si="29"/>
        <v>普通卡C-91330+1|20%</v>
      </c>
    </row>
    <row r="179" spans="1:3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3"/>
      <c r="O179" s="32">
        <f t="shared" si="23"/>
        <v>0</v>
      </c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15">
        <f t="shared" si="24"/>
        <v>0</v>
      </c>
      <c r="AA179" s="15">
        <f>SUM(Z$3:Z179)</f>
        <v>257</v>
      </c>
      <c r="AB179" s="37">
        <f t="shared" si="25"/>
        <v>64</v>
      </c>
      <c r="AC179" s="37">
        <f>COUNTIF(AB$3:AB179,AB179)</f>
        <v>4</v>
      </c>
      <c r="AD179" s="15" t="str">
        <f t="shared" ca="1" si="20"/>
        <v>91430+1</v>
      </c>
      <c r="AE179" s="37">
        <f t="shared" ca="1" si="26"/>
        <v>6304</v>
      </c>
      <c r="AF179" s="15">
        <f t="shared" ca="1" si="21"/>
        <v>63</v>
      </c>
      <c r="AG179" s="15">
        <f t="shared" ca="1" si="27"/>
        <v>91430</v>
      </c>
      <c r="AH179" s="15" t="str">
        <f t="shared" ca="1" si="28"/>
        <v>{1}</v>
      </c>
      <c r="AI179" s="15">
        <f t="shared" ca="1" si="22"/>
        <v>2000</v>
      </c>
      <c r="AJ179" s="26" t="str">
        <f t="shared" ca="1" si="29"/>
        <v>普通卡C-91430+1|20%</v>
      </c>
    </row>
    <row r="180" spans="1:3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3"/>
      <c r="O180" s="32">
        <f t="shared" si="23"/>
        <v>0</v>
      </c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15">
        <f t="shared" si="24"/>
        <v>0</v>
      </c>
      <c r="AA180" s="15">
        <f>SUM(Z$3:Z180)</f>
        <v>257</v>
      </c>
      <c r="AB180" s="37">
        <f t="shared" si="25"/>
        <v>64</v>
      </c>
      <c r="AC180" s="37">
        <f>COUNTIF(AB$3:AB180,AB180)</f>
        <v>5</v>
      </c>
      <c r="AD180" s="15" t="str">
        <f t="shared" ca="1" si="20"/>
        <v>91530+1</v>
      </c>
      <c r="AE180" s="37">
        <f t="shared" ca="1" si="26"/>
        <v>6305</v>
      </c>
      <c r="AF180" s="15">
        <f t="shared" ca="1" si="21"/>
        <v>63</v>
      </c>
      <c r="AG180" s="15">
        <f t="shared" ca="1" si="27"/>
        <v>91530</v>
      </c>
      <c r="AH180" s="15" t="str">
        <f t="shared" ca="1" si="28"/>
        <v>{1}</v>
      </c>
      <c r="AI180" s="15">
        <f t="shared" ca="1" si="22"/>
        <v>1000</v>
      </c>
      <c r="AJ180" s="26" t="str">
        <f t="shared" ca="1" si="29"/>
        <v>普通卡C-91530+1|10%</v>
      </c>
    </row>
    <row r="181" spans="1:3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3"/>
      <c r="O181" s="32">
        <f t="shared" si="23"/>
        <v>0</v>
      </c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15">
        <f t="shared" si="24"/>
        <v>0</v>
      </c>
      <c r="AA181" s="15">
        <f>SUM(Z$3:Z181)</f>
        <v>257</v>
      </c>
      <c r="AB181" s="37">
        <f t="shared" si="25"/>
        <v>65</v>
      </c>
      <c r="AC181" s="37">
        <f>COUNTIF(AB$3:AB181,AB181)</f>
        <v>1</v>
      </c>
      <c r="AD181" s="15" t="str">
        <f t="shared" ca="1" si="20"/>
        <v>91140+1</v>
      </c>
      <c r="AE181" s="37">
        <f t="shared" ca="1" si="26"/>
        <v>6401</v>
      </c>
      <c r="AF181" s="15">
        <f t="shared" ca="1" si="21"/>
        <v>64</v>
      </c>
      <c r="AG181" s="15">
        <f t="shared" ca="1" si="27"/>
        <v>91140</v>
      </c>
      <c r="AH181" s="15" t="str">
        <f t="shared" ca="1" si="28"/>
        <v>{1}</v>
      </c>
      <c r="AI181" s="15">
        <f t="shared" ca="1" si="22"/>
        <v>2000</v>
      </c>
      <c r="AJ181" s="26" t="str">
        <f t="shared" ca="1" si="29"/>
        <v>普通卡D-91140+1|20%</v>
      </c>
    </row>
    <row r="182" spans="1:3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3"/>
      <c r="O182" s="32">
        <f t="shared" si="23"/>
        <v>0</v>
      </c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15">
        <f t="shared" si="24"/>
        <v>0</v>
      </c>
      <c r="AA182" s="15">
        <f>SUM(Z$3:Z182)</f>
        <v>257</v>
      </c>
      <c r="AB182" s="37">
        <f t="shared" si="25"/>
        <v>65</v>
      </c>
      <c r="AC182" s="37">
        <f>COUNTIF(AB$3:AB182,AB182)</f>
        <v>2</v>
      </c>
      <c r="AD182" s="15" t="str">
        <f t="shared" ca="1" si="20"/>
        <v>91240+1</v>
      </c>
      <c r="AE182" s="37">
        <f t="shared" ca="1" si="26"/>
        <v>6402</v>
      </c>
      <c r="AF182" s="15">
        <f t="shared" ca="1" si="21"/>
        <v>64</v>
      </c>
      <c r="AG182" s="15">
        <f t="shared" ca="1" si="27"/>
        <v>91240</v>
      </c>
      <c r="AH182" s="15" t="str">
        <f t="shared" ca="1" si="28"/>
        <v>{1}</v>
      </c>
      <c r="AI182" s="15">
        <f t="shared" ca="1" si="22"/>
        <v>3000</v>
      </c>
      <c r="AJ182" s="26" t="str">
        <f t="shared" ca="1" si="29"/>
        <v>普通卡D-91240+1|30%</v>
      </c>
    </row>
    <row r="183" spans="1:3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3"/>
      <c r="O183" s="32">
        <f t="shared" si="23"/>
        <v>0</v>
      </c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15">
        <f t="shared" si="24"/>
        <v>0</v>
      </c>
      <c r="AA183" s="15">
        <f>SUM(Z$3:Z183)</f>
        <v>257</v>
      </c>
      <c r="AB183" s="37">
        <f t="shared" si="25"/>
        <v>65</v>
      </c>
      <c r="AC183" s="37">
        <f>COUNTIF(AB$3:AB183,AB183)</f>
        <v>3</v>
      </c>
      <c r="AD183" s="15" t="str">
        <f t="shared" ca="1" si="20"/>
        <v>91340+1</v>
      </c>
      <c r="AE183" s="37">
        <f t="shared" ca="1" si="26"/>
        <v>6403</v>
      </c>
      <c r="AF183" s="15">
        <f t="shared" ca="1" si="21"/>
        <v>64</v>
      </c>
      <c r="AG183" s="15">
        <f t="shared" ca="1" si="27"/>
        <v>91340</v>
      </c>
      <c r="AH183" s="15" t="str">
        <f t="shared" ca="1" si="28"/>
        <v>{1}</v>
      </c>
      <c r="AI183" s="15">
        <f t="shared" ca="1" si="22"/>
        <v>2000</v>
      </c>
      <c r="AJ183" s="26" t="str">
        <f t="shared" ca="1" si="29"/>
        <v>普通卡D-91340+1|20%</v>
      </c>
    </row>
    <row r="184" spans="1:3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3"/>
      <c r="O184" s="32">
        <f t="shared" si="23"/>
        <v>0</v>
      </c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15">
        <f t="shared" si="24"/>
        <v>0</v>
      </c>
      <c r="AA184" s="15">
        <f>SUM(Z$3:Z184)</f>
        <v>257</v>
      </c>
      <c r="AB184" s="37">
        <f t="shared" si="25"/>
        <v>65</v>
      </c>
      <c r="AC184" s="37">
        <f>COUNTIF(AB$3:AB184,AB184)</f>
        <v>4</v>
      </c>
      <c r="AD184" s="15" t="str">
        <f t="shared" ca="1" si="20"/>
        <v>91440+1</v>
      </c>
      <c r="AE184" s="37">
        <f t="shared" ca="1" si="26"/>
        <v>6404</v>
      </c>
      <c r="AF184" s="15">
        <f t="shared" ca="1" si="21"/>
        <v>64</v>
      </c>
      <c r="AG184" s="15">
        <f t="shared" ca="1" si="27"/>
        <v>91440</v>
      </c>
      <c r="AH184" s="15" t="str">
        <f t="shared" ca="1" si="28"/>
        <v>{1}</v>
      </c>
      <c r="AI184" s="15">
        <f t="shared" ca="1" si="22"/>
        <v>2000</v>
      </c>
      <c r="AJ184" s="26" t="str">
        <f t="shared" ca="1" si="29"/>
        <v>普通卡D-91440+1|20%</v>
      </c>
    </row>
    <row r="185" spans="1:3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3"/>
      <c r="O185" s="32">
        <f t="shared" si="23"/>
        <v>0</v>
      </c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15">
        <f t="shared" si="24"/>
        <v>0</v>
      </c>
      <c r="AA185" s="15">
        <f>SUM(Z$3:Z185)</f>
        <v>257</v>
      </c>
      <c r="AB185" s="37">
        <f t="shared" si="25"/>
        <v>65</v>
      </c>
      <c r="AC185" s="37">
        <f>COUNTIF(AB$3:AB185,AB185)</f>
        <v>5</v>
      </c>
      <c r="AD185" s="15" t="str">
        <f t="shared" ca="1" si="20"/>
        <v>91540+1</v>
      </c>
      <c r="AE185" s="37">
        <f t="shared" ca="1" si="26"/>
        <v>6405</v>
      </c>
      <c r="AF185" s="15">
        <f t="shared" ca="1" si="21"/>
        <v>64</v>
      </c>
      <c r="AG185" s="15">
        <f t="shared" ca="1" si="27"/>
        <v>91540</v>
      </c>
      <c r="AH185" s="15" t="str">
        <f t="shared" ca="1" si="28"/>
        <v>{1}</v>
      </c>
      <c r="AI185" s="15">
        <f t="shared" ca="1" si="22"/>
        <v>1000</v>
      </c>
      <c r="AJ185" s="26" t="str">
        <f t="shared" ca="1" si="29"/>
        <v>普通卡D-91540+1|10%</v>
      </c>
    </row>
    <row r="186" spans="1:3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3"/>
      <c r="O186" s="32">
        <f t="shared" si="23"/>
        <v>0</v>
      </c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15">
        <f t="shared" si="24"/>
        <v>0</v>
      </c>
      <c r="AA186" s="15">
        <f>SUM(Z$3:Z186)</f>
        <v>257</v>
      </c>
      <c r="AB186" s="37">
        <f t="shared" si="25"/>
        <v>66</v>
      </c>
      <c r="AC186" s="37">
        <f>COUNTIF(AB$3:AB186,AB186)</f>
        <v>1</v>
      </c>
      <c r="AD186" s="15" t="str">
        <f t="shared" ca="1" si="20"/>
        <v>82110+1</v>
      </c>
      <c r="AE186" s="37">
        <f t="shared" ca="1" si="26"/>
        <v>6501</v>
      </c>
      <c r="AF186" s="15">
        <f t="shared" ca="1" si="21"/>
        <v>65</v>
      </c>
      <c r="AG186" s="15">
        <f t="shared" ca="1" si="27"/>
        <v>82110</v>
      </c>
      <c r="AH186" s="15" t="str">
        <f t="shared" ca="1" si="28"/>
        <v>{1}</v>
      </c>
      <c r="AI186" s="15">
        <f t="shared" ca="1" si="22"/>
        <v>10000</v>
      </c>
      <c r="AJ186" s="26" t="str">
        <f t="shared" ca="1" si="29"/>
        <v>融合卡A-82110+1|100%</v>
      </c>
    </row>
    <row r="187" spans="1:3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3"/>
      <c r="O187" s="32">
        <f t="shared" si="23"/>
        <v>0</v>
      </c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15">
        <f t="shared" si="24"/>
        <v>0</v>
      </c>
      <c r="AA187" s="15">
        <f>SUM(Z$3:Z187)</f>
        <v>257</v>
      </c>
      <c r="AB187" s="37">
        <f t="shared" si="25"/>
        <v>67</v>
      </c>
      <c r="AC187" s="37">
        <f>COUNTIF(AB$3:AB187,AB187)</f>
        <v>1</v>
      </c>
      <c r="AD187" s="15" t="str">
        <f t="shared" ca="1" si="20"/>
        <v>92120+1</v>
      </c>
      <c r="AE187" s="37">
        <f t="shared" ca="1" si="26"/>
        <v>6601</v>
      </c>
      <c r="AF187" s="15">
        <f t="shared" ca="1" si="21"/>
        <v>66</v>
      </c>
      <c r="AG187" s="15">
        <f t="shared" ca="1" si="27"/>
        <v>92120</v>
      </c>
      <c r="AH187" s="15" t="str">
        <f t="shared" ca="1" si="28"/>
        <v>{1}</v>
      </c>
      <c r="AI187" s="15">
        <f t="shared" ca="1" si="22"/>
        <v>2000</v>
      </c>
      <c r="AJ187" s="26" t="str">
        <f t="shared" ca="1" si="29"/>
        <v>融合卡B-92120+1|20%</v>
      </c>
    </row>
    <row r="188" spans="1:3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3"/>
      <c r="O188" s="32">
        <f t="shared" si="23"/>
        <v>0</v>
      </c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15">
        <f t="shared" si="24"/>
        <v>0</v>
      </c>
      <c r="AA188" s="15">
        <f>SUM(Z$3:Z188)</f>
        <v>257</v>
      </c>
      <c r="AB188" s="37">
        <f t="shared" si="25"/>
        <v>67</v>
      </c>
      <c r="AC188" s="37">
        <f>COUNTIF(AB$3:AB188,AB188)</f>
        <v>2</v>
      </c>
      <c r="AD188" s="15" t="str">
        <f t="shared" ca="1" si="20"/>
        <v>92220+1</v>
      </c>
      <c r="AE188" s="37">
        <f t="shared" ca="1" si="26"/>
        <v>6602</v>
      </c>
      <c r="AF188" s="15">
        <f t="shared" ca="1" si="21"/>
        <v>66</v>
      </c>
      <c r="AG188" s="15">
        <f t="shared" ca="1" si="27"/>
        <v>92220</v>
      </c>
      <c r="AH188" s="15" t="str">
        <f t="shared" ca="1" si="28"/>
        <v>{1}</v>
      </c>
      <c r="AI188" s="15">
        <f t="shared" ca="1" si="22"/>
        <v>3000</v>
      </c>
      <c r="AJ188" s="26" t="str">
        <f t="shared" ca="1" si="29"/>
        <v>融合卡B-92220+1|30%</v>
      </c>
    </row>
    <row r="189" spans="1:3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3"/>
      <c r="O189" s="32">
        <f t="shared" si="23"/>
        <v>0</v>
      </c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15">
        <f t="shared" si="24"/>
        <v>0</v>
      </c>
      <c r="AA189" s="15">
        <f>SUM(Z$3:Z189)</f>
        <v>257</v>
      </c>
      <c r="AB189" s="37">
        <f t="shared" si="25"/>
        <v>67</v>
      </c>
      <c r="AC189" s="37">
        <f>COUNTIF(AB$3:AB189,AB189)</f>
        <v>3</v>
      </c>
      <c r="AD189" s="15" t="str">
        <f t="shared" ca="1" si="20"/>
        <v>92320+1</v>
      </c>
      <c r="AE189" s="37">
        <f t="shared" ca="1" si="26"/>
        <v>6603</v>
      </c>
      <c r="AF189" s="15">
        <f t="shared" ca="1" si="21"/>
        <v>66</v>
      </c>
      <c r="AG189" s="15">
        <f t="shared" ca="1" si="27"/>
        <v>92320</v>
      </c>
      <c r="AH189" s="15" t="str">
        <f t="shared" ca="1" si="28"/>
        <v>{1}</v>
      </c>
      <c r="AI189" s="15">
        <f t="shared" ca="1" si="22"/>
        <v>2000</v>
      </c>
      <c r="AJ189" s="26" t="str">
        <f t="shared" ca="1" si="29"/>
        <v>融合卡B-92320+1|20%</v>
      </c>
    </row>
    <row r="190" spans="1:3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3"/>
      <c r="O190" s="32">
        <f t="shared" si="23"/>
        <v>0</v>
      </c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15">
        <f t="shared" si="24"/>
        <v>0</v>
      </c>
      <c r="AA190" s="15">
        <f>SUM(Z$3:Z190)</f>
        <v>257</v>
      </c>
      <c r="AB190" s="37">
        <f t="shared" si="25"/>
        <v>67</v>
      </c>
      <c r="AC190" s="37">
        <f>COUNTIF(AB$3:AB190,AB190)</f>
        <v>4</v>
      </c>
      <c r="AD190" s="15" t="str">
        <f t="shared" ca="1" si="20"/>
        <v>92420+1</v>
      </c>
      <c r="AE190" s="37">
        <f t="shared" ca="1" si="26"/>
        <v>6604</v>
      </c>
      <c r="AF190" s="15">
        <f t="shared" ca="1" si="21"/>
        <v>66</v>
      </c>
      <c r="AG190" s="15">
        <f t="shared" ca="1" si="27"/>
        <v>92420</v>
      </c>
      <c r="AH190" s="15" t="str">
        <f t="shared" ca="1" si="28"/>
        <v>{1}</v>
      </c>
      <c r="AI190" s="15">
        <f t="shared" ca="1" si="22"/>
        <v>2000</v>
      </c>
      <c r="AJ190" s="26" t="str">
        <f t="shared" ca="1" si="29"/>
        <v>融合卡B-92420+1|20%</v>
      </c>
    </row>
    <row r="191" spans="1:3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3"/>
      <c r="O191" s="32">
        <f t="shared" si="23"/>
        <v>0</v>
      </c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15">
        <f t="shared" si="24"/>
        <v>0</v>
      </c>
      <c r="AA191" s="15">
        <f>SUM(Z$3:Z191)</f>
        <v>257</v>
      </c>
      <c r="AB191" s="37">
        <f t="shared" si="25"/>
        <v>67</v>
      </c>
      <c r="AC191" s="37">
        <f>COUNTIF(AB$3:AB191,AB191)</f>
        <v>5</v>
      </c>
      <c r="AD191" s="15" t="str">
        <f t="shared" ca="1" si="20"/>
        <v>92520+1</v>
      </c>
      <c r="AE191" s="37">
        <f t="shared" ca="1" si="26"/>
        <v>6605</v>
      </c>
      <c r="AF191" s="15">
        <f t="shared" ca="1" si="21"/>
        <v>66</v>
      </c>
      <c r="AG191" s="15">
        <f t="shared" ca="1" si="27"/>
        <v>92520</v>
      </c>
      <c r="AH191" s="15" t="str">
        <f t="shared" ca="1" si="28"/>
        <v>{1}</v>
      </c>
      <c r="AI191" s="15">
        <f t="shared" ca="1" si="22"/>
        <v>1000</v>
      </c>
      <c r="AJ191" s="26" t="str">
        <f t="shared" ca="1" si="29"/>
        <v>融合卡B-92520+1|10%</v>
      </c>
    </row>
    <row r="192" spans="1:3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3"/>
      <c r="O192" s="32">
        <f t="shared" si="23"/>
        <v>0</v>
      </c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15">
        <f t="shared" si="24"/>
        <v>0</v>
      </c>
      <c r="AA192" s="15">
        <f>SUM(Z$3:Z192)</f>
        <v>257</v>
      </c>
      <c r="AB192" s="37">
        <f t="shared" si="25"/>
        <v>68</v>
      </c>
      <c r="AC192" s="37">
        <f>COUNTIF(AB$3:AB192,AB192)</f>
        <v>1</v>
      </c>
      <c r="AD192" s="15" t="str">
        <f t="shared" ca="1" si="20"/>
        <v>92130+1</v>
      </c>
      <c r="AE192" s="37">
        <f t="shared" ca="1" si="26"/>
        <v>6701</v>
      </c>
      <c r="AF192" s="15">
        <f t="shared" ca="1" si="21"/>
        <v>67</v>
      </c>
      <c r="AG192" s="15">
        <f t="shared" ca="1" si="27"/>
        <v>92130</v>
      </c>
      <c r="AH192" s="15" t="str">
        <f t="shared" ca="1" si="28"/>
        <v>{1}</v>
      </c>
      <c r="AI192" s="15">
        <f t="shared" ca="1" si="22"/>
        <v>2000</v>
      </c>
      <c r="AJ192" s="26" t="str">
        <f t="shared" ca="1" si="29"/>
        <v>融合卡C-92130+1|20%</v>
      </c>
    </row>
    <row r="193" spans="1:3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3"/>
      <c r="O193" s="32">
        <f t="shared" si="23"/>
        <v>0</v>
      </c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15">
        <f t="shared" si="24"/>
        <v>0</v>
      </c>
      <c r="AA193" s="15">
        <f>SUM(Z$3:Z193)</f>
        <v>257</v>
      </c>
      <c r="AB193" s="37">
        <f t="shared" si="25"/>
        <v>68</v>
      </c>
      <c r="AC193" s="37">
        <f>COUNTIF(AB$3:AB193,AB193)</f>
        <v>2</v>
      </c>
      <c r="AD193" s="15" t="str">
        <f t="shared" ca="1" si="20"/>
        <v>92230+1</v>
      </c>
      <c r="AE193" s="37">
        <f t="shared" ca="1" si="26"/>
        <v>6702</v>
      </c>
      <c r="AF193" s="15">
        <f t="shared" ca="1" si="21"/>
        <v>67</v>
      </c>
      <c r="AG193" s="15">
        <f t="shared" ca="1" si="27"/>
        <v>92230</v>
      </c>
      <c r="AH193" s="15" t="str">
        <f t="shared" ca="1" si="28"/>
        <v>{1}</v>
      </c>
      <c r="AI193" s="15">
        <f t="shared" ca="1" si="22"/>
        <v>3000</v>
      </c>
      <c r="AJ193" s="26" t="str">
        <f t="shared" ca="1" si="29"/>
        <v>融合卡C-92230+1|30%</v>
      </c>
    </row>
    <row r="194" spans="1:3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3"/>
      <c r="O194" s="32">
        <f t="shared" si="23"/>
        <v>0</v>
      </c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15">
        <f t="shared" si="24"/>
        <v>0</v>
      </c>
      <c r="AA194" s="15">
        <f>SUM(Z$3:Z194)</f>
        <v>257</v>
      </c>
      <c r="AB194" s="37">
        <f t="shared" si="25"/>
        <v>68</v>
      </c>
      <c r="AC194" s="37">
        <f>COUNTIF(AB$3:AB194,AB194)</f>
        <v>3</v>
      </c>
      <c r="AD194" s="15" t="str">
        <f t="shared" ca="1" si="20"/>
        <v>92330+1</v>
      </c>
      <c r="AE194" s="37">
        <f t="shared" ca="1" si="26"/>
        <v>6703</v>
      </c>
      <c r="AF194" s="15">
        <f t="shared" ca="1" si="21"/>
        <v>67</v>
      </c>
      <c r="AG194" s="15">
        <f t="shared" ca="1" si="27"/>
        <v>92330</v>
      </c>
      <c r="AH194" s="15" t="str">
        <f t="shared" ca="1" si="28"/>
        <v>{1}</v>
      </c>
      <c r="AI194" s="15">
        <f t="shared" ca="1" si="22"/>
        <v>2000</v>
      </c>
      <c r="AJ194" s="26" t="str">
        <f t="shared" ca="1" si="29"/>
        <v>融合卡C-92330+1|20%</v>
      </c>
    </row>
    <row r="195" spans="1:3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3"/>
      <c r="O195" s="32">
        <f t="shared" si="23"/>
        <v>0</v>
      </c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15">
        <f t="shared" si="24"/>
        <v>0</v>
      </c>
      <c r="AA195" s="15">
        <f>SUM(Z$3:Z195)</f>
        <v>257</v>
      </c>
      <c r="AB195" s="37">
        <f t="shared" si="25"/>
        <v>68</v>
      </c>
      <c r="AC195" s="37">
        <f>COUNTIF(AB$3:AB195,AB195)</f>
        <v>4</v>
      </c>
      <c r="AD195" s="15" t="str">
        <f t="shared" ref="AD195:AD258" ca="1" si="30">OFFSET($C$2,MATCH(AF195,$A:$A,0)-2,$AC195)</f>
        <v>92430+1</v>
      </c>
      <c r="AE195" s="37">
        <f t="shared" ca="1" si="26"/>
        <v>6704</v>
      </c>
      <c r="AF195" s="15">
        <f t="shared" ref="AF195:AF258" ca="1" si="31">IF(OFFSET(A$1,AB195,)="","无",OFFSET(A$1,AB195,))</f>
        <v>67</v>
      </c>
      <c r="AG195" s="15">
        <f t="shared" ca="1" si="27"/>
        <v>92430</v>
      </c>
      <c r="AH195" s="15" t="str">
        <f t="shared" ca="1" si="28"/>
        <v>{1}</v>
      </c>
      <c r="AI195" s="15">
        <f t="shared" ref="AI195:AI258" ca="1" si="32">IF(OFFSET($C$2,MATCH($AF195,A:A,0)-2,)="是",INT($AI$1/OFFSET($Z$2,MATCH(AF195,A:A,0)-2,)),OFFSET($O$2,MATCH($AF195,A:A,0)-2,$AC195)*$AI$1)</f>
        <v>2000</v>
      </c>
      <c r="AJ195" s="26" t="str">
        <f t="shared" ca="1" si="29"/>
        <v>融合卡C-92430+1|20%</v>
      </c>
    </row>
    <row r="196" spans="1:3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3"/>
      <c r="O196" s="32">
        <f t="shared" ref="O196:O259" si="33">SUM(P196:Y196)</f>
        <v>0</v>
      </c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15">
        <f t="shared" ref="Z196:Z259" si="34">COUNTA(D196:M196)</f>
        <v>0</v>
      </c>
      <c r="AA196" s="15">
        <f>SUM(Z$3:Z196)</f>
        <v>257</v>
      </c>
      <c r="AB196" s="37">
        <f t="shared" ref="AB196:AB259" si="35">MATCH(ROW(AB194)-0.1,AA:AA,1)</f>
        <v>68</v>
      </c>
      <c r="AC196" s="37">
        <f>COUNTIF(AB$3:AB196,AB196)</f>
        <v>5</v>
      </c>
      <c r="AD196" s="15" t="str">
        <f t="shared" ca="1" si="30"/>
        <v>92530+1</v>
      </c>
      <c r="AE196" s="37">
        <f t="shared" ref="AE196:AE259" ca="1" si="36">AF196*100+AC196</f>
        <v>6705</v>
      </c>
      <c r="AF196" s="15">
        <f t="shared" ca="1" si="31"/>
        <v>67</v>
      </c>
      <c r="AG196" s="15">
        <f t="shared" ref="AG196:AG259" ca="1" si="37">VALUE(MID(AD196,1,FIND("+",AD196,1)-1))</f>
        <v>92530</v>
      </c>
      <c r="AH196" s="15" t="str">
        <f t="shared" ref="AH196:AH259" ca="1" si="38">"{" &amp; IFERROR(MID($AD196,FIND("+",$AD196,1)+1,IFERROR(FIND("/",$AD196),LEN($AD196)+1)-FIND("+",$AD196)-1),0) &amp; "}"</f>
        <v>{1}</v>
      </c>
      <c r="AI196" s="15">
        <f t="shared" ca="1" si="32"/>
        <v>1000</v>
      </c>
      <c r="AJ196" s="26" t="str">
        <f t="shared" ref="AJ196:AJ259" ca="1" si="39">OFFSET($B$2,MATCH($AF196,A:A,0)-2,) &amp; "-" &amp; $AD196 &amp; "|" &amp; AI196/$AI$1*100 &amp; "%"</f>
        <v>融合卡C-92530+1|10%</v>
      </c>
    </row>
    <row r="197" spans="1:3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3"/>
      <c r="O197" s="32">
        <f t="shared" si="33"/>
        <v>0</v>
      </c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15">
        <f t="shared" si="34"/>
        <v>0</v>
      </c>
      <c r="AA197" s="15">
        <f>SUM(Z$3:Z197)</f>
        <v>257</v>
      </c>
      <c r="AB197" s="37">
        <f t="shared" si="35"/>
        <v>69</v>
      </c>
      <c r="AC197" s="37">
        <f>COUNTIF(AB$3:AB197,AB197)</f>
        <v>1</v>
      </c>
      <c r="AD197" s="15" t="str">
        <f t="shared" ca="1" si="30"/>
        <v>92140+1</v>
      </c>
      <c r="AE197" s="37">
        <f t="shared" ca="1" si="36"/>
        <v>6801</v>
      </c>
      <c r="AF197" s="15">
        <f t="shared" ca="1" si="31"/>
        <v>68</v>
      </c>
      <c r="AG197" s="15">
        <f t="shared" ca="1" si="37"/>
        <v>92140</v>
      </c>
      <c r="AH197" s="15" t="str">
        <f t="shared" ca="1" si="38"/>
        <v>{1}</v>
      </c>
      <c r="AI197" s="15">
        <f t="shared" ca="1" si="32"/>
        <v>2000</v>
      </c>
      <c r="AJ197" s="26" t="str">
        <f t="shared" ca="1" si="39"/>
        <v>融合卡D-92140+1|20%</v>
      </c>
    </row>
    <row r="198" spans="1:3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3"/>
      <c r="O198" s="32">
        <f t="shared" si="33"/>
        <v>0</v>
      </c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15">
        <f t="shared" si="34"/>
        <v>0</v>
      </c>
      <c r="AA198" s="15">
        <f>SUM(Z$3:Z198)</f>
        <v>257</v>
      </c>
      <c r="AB198" s="37">
        <f t="shared" si="35"/>
        <v>69</v>
      </c>
      <c r="AC198" s="37">
        <f>COUNTIF(AB$3:AB198,AB198)</f>
        <v>2</v>
      </c>
      <c r="AD198" s="15" t="str">
        <f t="shared" ca="1" si="30"/>
        <v>92240+1</v>
      </c>
      <c r="AE198" s="37">
        <f t="shared" ca="1" si="36"/>
        <v>6802</v>
      </c>
      <c r="AF198" s="15">
        <f t="shared" ca="1" si="31"/>
        <v>68</v>
      </c>
      <c r="AG198" s="15">
        <f t="shared" ca="1" si="37"/>
        <v>92240</v>
      </c>
      <c r="AH198" s="15" t="str">
        <f t="shared" ca="1" si="38"/>
        <v>{1}</v>
      </c>
      <c r="AI198" s="15">
        <f t="shared" ca="1" si="32"/>
        <v>3000</v>
      </c>
      <c r="AJ198" s="26" t="str">
        <f t="shared" ca="1" si="39"/>
        <v>融合卡D-92240+1|30%</v>
      </c>
    </row>
    <row r="199" spans="1:3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3"/>
      <c r="O199" s="32">
        <f t="shared" si="33"/>
        <v>0</v>
      </c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15">
        <f t="shared" si="34"/>
        <v>0</v>
      </c>
      <c r="AA199" s="15">
        <f>SUM(Z$3:Z199)</f>
        <v>257</v>
      </c>
      <c r="AB199" s="37">
        <f t="shared" si="35"/>
        <v>69</v>
      </c>
      <c r="AC199" s="37">
        <f>COUNTIF(AB$3:AB199,AB199)</f>
        <v>3</v>
      </c>
      <c r="AD199" s="15" t="str">
        <f t="shared" ca="1" si="30"/>
        <v>92340+1</v>
      </c>
      <c r="AE199" s="37">
        <f t="shared" ca="1" si="36"/>
        <v>6803</v>
      </c>
      <c r="AF199" s="15">
        <f t="shared" ca="1" si="31"/>
        <v>68</v>
      </c>
      <c r="AG199" s="15">
        <f t="shared" ca="1" si="37"/>
        <v>92340</v>
      </c>
      <c r="AH199" s="15" t="str">
        <f t="shared" ca="1" si="38"/>
        <v>{1}</v>
      </c>
      <c r="AI199" s="15">
        <f t="shared" ca="1" si="32"/>
        <v>2000</v>
      </c>
      <c r="AJ199" s="26" t="str">
        <f t="shared" ca="1" si="39"/>
        <v>融合卡D-92340+1|20%</v>
      </c>
    </row>
    <row r="200" spans="1:3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3"/>
      <c r="O200" s="32">
        <f t="shared" si="33"/>
        <v>0</v>
      </c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15">
        <f t="shared" si="34"/>
        <v>0</v>
      </c>
      <c r="AA200" s="15">
        <f>SUM(Z$3:Z200)</f>
        <v>257</v>
      </c>
      <c r="AB200" s="37">
        <f t="shared" si="35"/>
        <v>69</v>
      </c>
      <c r="AC200" s="37">
        <f>COUNTIF(AB$3:AB200,AB200)</f>
        <v>4</v>
      </c>
      <c r="AD200" s="15" t="str">
        <f t="shared" ca="1" si="30"/>
        <v>92440+1</v>
      </c>
      <c r="AE200" s="37">
        <f t="shared" ca="1" si="36"/>
        <v>6804</v>
      </c>
      <c r="AF200" s="15">
        <f t="shared" ca="1" si="31"/>
        <v>68</v>
      </c>
      <c r="AG200" s="15">
        <f t="shared" ca="1" si="37"/>
        <v>92440</v>
      </c>
      <c r="AH200" s="15" t="str">
        <f t="shared" ca="1" si="38"/>
        <v>{1}</v>
      </c>
      <c r="AI200" s="15">
        <f t="shared" ca="1" si="32"/>
        <v>2000</v>
      </c>
      <c r="AJ200" s="26" t="str">
        <f t="shared" ca="1" si="39"/>
        <v>融合卡D-92440+1|20%</v>
      </c>
    </row>
    <row r="201" spans="1:3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3"/>
      <c r="O201" s="32">
        <f t="shared" si="33"/>
        <v>0</v>
      </c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15">
        <f t="shared" si="34"/>
        <v>0</v>
      </c>
      <c r="AA201" s="15">
        <f>SUM(Z$3:Z201)</f>
        <v>257</v>
      </c>
      <c r="AB201" s="37">
        <f t="shared" si="35"/>
        <v>69</v>
      </c>
      <c r="AC201" s="37">
        <f>COUNTIF(AB$3:AB201,AB201)</f>
        <v>5</v>
      </c>
      <c r="AD201" s="15" t="str">
        <f t="shared" ca="1" si="30"/>
        <v>92540+1</v>
      </c>
      <c r="AE201" s="37">
        <f t="shared" ca="1" si="36"/>
        <v>6805</v>
      </c>
      <c r="AF201" s="15">
        <f t="shared" ca="1" si="31"/>
        <v>68</v>
      </c>
      <c r="AG201" s="15">
        <f t="shared" ca="1" si="37"/>
        <v>92540</v>
      </c>
      <c r="AH201" s="15" t="str">
        <f t="shared" ca="1" si="38"/>
        <v>{1}</v>
      </c>
      <c r="AI201" s="15">
        <f t="shared" ca="1" si="32"/>
        <v>1000</v>
      </c>
      <c r="AJ201" s="26" t="str">
        <f t="shared" ca="1" si="39"/>
        <v>融合卡D-92540+1|10%</v>
      </c>
    </row>
    <row r="202" spans="1:3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3"/>
      <c r="O202" s="32">
        <f t="shared" si="33"/>
        <v>0</v>
      </c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15">
        <f t="shared" si="34"/>
        <v>0</v>
      </c>
      <c r="AA202" s="15">
        <f>SUM(Z$3:Z202)</f>
        <v>257</v>
      </c>
      <c r="AB202" s="37">
        <f t="shared" si="35"/>
        <v>70</v>
      </c>
      <c r="AC202" s="37">
        <f>COUNTIF(AB$3:AB202,AB202)</f>
        <v>1</v>
      </c>
      <c r="AD202" s="15" t="str">
        <f t="shared" ca="1" si="30"/>
        <v>71110+1</v>
      </c>
      <c r="AE202" s="37">
        <f t="shared" ca="1" si="36"/>
        <v>6901</v>
      </c>
      <c r="AF202" s="15">
        <f t="shared" ca="1" si="31"/>
        <v>69</v>
      </c>
      <c r="AG202" s="15">
        <f t="shared" ca="1" si="37"/>
        <v>71110</v>
      </c>
      <c r="AH202" s="15" t="str">
        <f t="shared" ca="1" si="38"/>
        <v>{1}</v>
      </c>
      <c r="AI202" s="15">
        <f t="shared" ca="1" si="32"/>
        <v>7500</v>
      </c>
      <c r="AJ202" s="26" t="str">
        <f t="shared" ca="1" si="39"/>
        <v>装备设计图-71110+1|75%</v>
      </c>
    </row>
    <row r="203" spans="1:3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3"/>
      <c r="O203" s="32">
        <f t="shared" si="33"/>
        <v>0</v>
      </c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15">
        <f t="shared" si="34"/>
        <v>0</v>
      </c>
      <c r="AA203" s="15">
        <f>SUM(Z$3:Z203)</f>
        <v>257</v>
      </c>
      <c r="AB203" s="37">
        <f t="shared" si="35"/>
        <v>70</v>
      </c>
      <c r="AC203" s="37">
        <f>COUNTIF(AB$3:AB203,AB203)</f>
        <v>2</v>
      </c>
      <c r="AD203" s="15" t="str">
        <f t="shared" ca="1" si="30"/>
        <v>71210+1</v>
      </c>
      <c r="AE203" s="37">
        <f t="shared" ca="1" si="36"/>
        <v>6902</v>
      </c>
      <c r="AF203" s="15">
        <f t="shared" ca="1" si="31"/>
        <v>69</v>
      </c>
      <c r="AG203" s="15">
        <f t="shared" ca="1" si="37"/>
        <v>71210</v>
      </c>
      <c r="AH203" s="15" t="str">
        <f t="shared" ca="1" si="38"/>
        <v>{1}</v>
      </c>
      <c r="AI203" s="15">
        <f t="shared" ca="1" si="32"/>
        <v>2500</v>
      </c>
      <c r="AJ203" s="26" t="str">
        <f t="shared" ca="1" si="39"/>
        <v>装备设计图-71210+1|25%</v>
      </c>
    </row>
    <row r="204" spans="1:3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3"/>
      <c r="O204" s="32">
        <f t="shared" si="33"/>
        <v>0</v>
      </c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15">
        <f t="shared" si="34"/>
        <v>0</v>
      </c>
      <c r="AA204" s="15">
        <f>SUM(Z$3:Z204)</f>
        <v>257</v>
      </c>
      <c r="AB204" s="37">
        <f t="shared" si="35"/>
        <v>71</v>
      </c>
      <c r="AC204" s="37">
        <f>COUNTIF(AB$3:AB204,AB204)</f>
        <v>1</v>
      </c>
      <c r="AD204" s="15" t="str">
        <f t="shared" ca="1" si="30"/>
        <v>72110+1</v>
      </c>
      <c r="AE204" s="37">
        <f t="shared" ca="1" si="36"/>
        <v>7001</v>
      </c>
      <c r="AF204" s="15">
        <f t="shared" ca="1" si="31"/>
        <v>70</v>
      </c>
      <c r="AG204" s="15">
        <f t="shared" ca="1" si="37"/>
        <v>72110</v>
      </c>
      <c r="AH204" s="15" t="str">
        <f t="shared" ca="1" si="38"/>
        <v>{1}</v>
      </c>
      <c r="AI204" s="15">
        <f t="shared" ca="1" si="32"/>
        <v>7500</v>
      </c>
      <c r="AJ204" s="26" t="str">
        <f t="shared" ca="1" si="39"/>
        <v>装备设计图-72110+1|75%</v>
      </c>
    </row>
    <row r="205" spans="1:3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3"/>
      <c r="O205" s="32">
        <f t="shared" si="33"/>
        <v>0</v>
      </c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15">
        <f t="shared" si="34"/>
        <v>0</v>
      </c>
      <c r="AA205" s="15">
        <f>SUM(Z$3:Z205)</f>
        <v>257</v>
      </c>
      <c r="AB205" s="37">
        <f t="shared" si="35"/>
        <v>71</v>
      </c>
      <c r="AC205" s="37">
        <f>COUNTIF(AB$3:AB205,AB205)</f>
        <v>2</v>
      </c>
      <c r="AD205" s="15" t="str">
        <f t="shared" ca="1" si="30"/>
        <v>72210+1</v>
      </c>
      <c r="AE205" s="37">
        <f t="shared" ca="1" si="36"/>
        <v>7002</v>
      </c>
      <c r="AF205" s="15">
        <f t="shared" ca="1" si="31"/>
        <v>70</v>
      </c>
      <c r="AG205" s="15">
        <f t="shared" ca="1" si="37"/>
        <v>72210</v>
      </c>
      <c r="AH205" s="15" t="str">
        <f t="shared" ca="1" si="38"/>
        <v>{1}</v>
      </c>
      <c r="AI205" s="15">
        <f t="shared" ca="1" si="32"/>
        <v>2500</v>
      </c>
      <c r="AJ205" s="26" t="str">
        <f t="shared" ca="1" si="39"/>
        <v>装备设计图-72210+1|25%</v>
      </c>
    </row>
    <row r="206" spans="1:3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3"/>
      <c r="O206" s="32">
        <f t="shared" si="33"/>
        <v>0</v>
      </c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15">
        <f t="shared" si="34"/>
        <v>0</v>
      </c>
      <c r="AA206" s="15">
        <f>SUM(Z$3:Z206)</f>
        <v>257</v>
      </c>
      <c r="AB206" s="37">
        <f t="shared" si="35"/>
        <v>72</v>
      </c>
      <c r="AC206" s="37">
        <f>COUNTIF(AB$3:AB206,AB206)</f>
        <v>1</v>
      </c>
      <c r="AD206" s="15" t="str">
        <f t="shared" ca="1" si="30"/>
        <v>4002100+3</v>
      </c>
      <c r="AE206" s="37">
        <f t="shared" ca="1" si="36"/>
        <v>7101</v>
      </c>
      <c r="AF206" s="15">
        <f t="shared" ca="1" si="31"/>
        <v>71</v>
      </c>
      <c r="AG206" s="15">
        <f t="shared" ca="1" si="37"/>
        <v>4002100</v>
      </c>
      <c r="AH206" s="15" t="str">
        <f t="shared" ca="1" si="38"/>
        <v>{3}</v>
      </c>
      <c r="AI206" s="15">
        <f t="shared" ca="1" si="32"/>
        <v>3500</v>
      </c>
      <c r="AJ206" s="26" t="str">
        <f t="shared" ca="1" si="39"/>
        <v>经验卡-4002100+3|35%</v>
      </c>
    </row>
    <row r="207" spans="1:3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3"/>
      <c r="O207" s="32">
        <f t="shared" si="33"/>
        <v>0</v>
      </c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15">
        <f t="shared" si="34"/>
        <v>0</v>
      </c>
      <c r="AA207" s="15">
        <f>SUM(Z$3:Z207)</f>
        <v>257</v>
      </c>
      <c r="AB207" s="37">
        <f t="shared" si="35"/>
        <v>72</v>
      </c>
      <c r="AC207" s="37">
        <f>COUNTIF(AB$3:AB207,AB207)</f>
        <v>2</v>
      </c>
      <c r="AD207" s="15" t="str">
        <f t="shared" ca="1" si="30"/>
        <v>4003100+1</v>
      </c>
      <c r="AE207" s="37">
        <f t="shared" ca="1" si="36"/>
        <v>7102</v>
      </c>
      <c r="AF207" s="15">
        <f t="shared" ca="1" si="31"/>
        <v>71</v>
      </c>
      <c r="AG207" s="15">
        <f t="shared" ca="1" si="37"/>
        <v>4003100</v>
      </c>
      <c r="AH207" s="15" t="str">
        <f t="shared" ca="1" si="38"/>
        <v>{1}</v>
      </c>
      <c r="AI207" s="15">
        <f t="shared" ca="1" si="32"/>
        <v>4000</v>
      </c>
      <c r="AJ207" s="26" t="str">
        <f t="shared" ca="1" si="39"/>
        <v>经验卡-4003100+1|40%</v>
      </c>
    </row>
    <row r="208" spans="1:3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3"/>
      <c r="O208" s="32">
        <f t="shared" si="33"/>
        <v>0</v>
      </c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15">
        <f t="shared" si="34"/>
        <v>0</v>
      </c>
      <c r="AA208" s="15">
        <f>SUM(Z$3:Z208)</f>
        <v>257</v>
      </c>
      <c r="AB208" s="37">
        <f t="shared" si="35"/>
        <v>72</v>
      </c>
      <c r="AC208" s="37">
        <f>COUNTIF(AB$3:AB208,AB208)</f>
        <v>3</v>
      </c>
      <c r="AD208" s="15" t="str">
        <f t="shared" ca="1" si="30"/>
        <v>4003100+2</v>
      </c>
      <c r="AE208" s="37">
        <f t="shared" ca="1" si="36"/>
        <v>7103</v>
      </c>
      <c r="AF208" s="15">
        <f t="shared" ca="1" si="31"/>
        <v>71</v>
      </c>
      <c r="AG208" s="15">
        <f t="shared" ca="1" si="37"/>
        <v>4003100</v>
      </c>
      <c r="AH208" s="15" t="str">
        <f t="shared" ca="1" si="38"/>
        <v>{2}</v>
      </c>
      <c r="AI208" s="15">
        <f t="shared" ca="1" si="32"/>
        <v>2500</v>
      </c>
      <c r="AJ208" s="26" t="str">
        <f t="shared" ca="1" si="39"/>
        <v>经验卡-4003100+2|25%</v>
      </c>
    </row>
    <row r="209" spans="1:3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3"/>
      <c r="O209" s="32">
        <f t="shared" si="33"/>
        <v>0</v>
      </c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15">
        <f t="shared" si="34"/>
        <v>0</v>
      </c>
      <c r="AA209" s="15">
        <f>SUM(Z$3:Z209)</f>
        <v>257</v>
      </c>
      <c r="AB209" s="37">
        <f t="shared" si="35"/>
        <v>73</v>
      </c>
      <c r="AC209" s="37">
        <f>COUNTIF(AB$3:AB209,AB209)</f>
        <v>1</v>
      </c>
      <c r="AD209" s="15" t="str">
        <f t="shared" ca="1" si="30"/>
        <v>81110+20</v>
      </c>
      <c r="AE209" s="37">
        <f t="shared" ca="1" si="36"/>
        <v>7201</v>
      </c>
      <c r="AF209" s="15">
        <f t="shared" ca="1" si="31"/>
        <v>72</v>
      </c>
      <c r="AG209" s="15">
        <f t="shared" ca="1" si="37"/>
        <v>81110</v>
      </c>
      <c r="AH209" s="15" t="str">
        <f t="shared" ca="1" si="38"/>
        <v>{20}</v>
      </c>
      <c r="AI209" s="15">
        <f t="shared" ca="1" si="32"/>
        <v>10000</v>
      </c>
      <c r="AJ209" s="26" t="str">
        <f t="shared" ca="1" si="39"/>
        <v>普通卡A-81110+20|100%</v>
      </c>
    </row>
    <row r="210" spans="1:3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3"/>
      <c r="O210" s="32">
        <f t="shared" si="33"/>
        <v>0</v>
      </c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15">
        <f t="shared" si="34"/>
        <v>0</v>
      </c>
      <c r="AA210" s="15">
        <f>SUM(Z$3:Z210)</f>
        <v>257</v>
      </c>
      <c r="AB210" s="37">
        <f t="shared" si="35"/>
        <v>74</v>
      </c>
      <c r="AC210" s="37">
        <f>COUNTIF(AB$3:AB210,AB210)</f>
        <v>1</v>
      </c>
      <c r="AD210" s="15" t="str">
        <f t="shared" ca="1" si="30"/>
        <v>91120+15</v>
      </c>
      <c r="AE210" s="37">
        <f t="shared" ca="1" si="36"/>
        <v>7301</v>
      </c>
      <c r="AF210" s="15">
        <f t="shared" ca="1" si="31"/>
        <v>73</v>
      </c>
      <c r="AG210" s="15">
        <f t="shared" ca="1" si="37"/>
        <v>91120</v>
      </c>
      <c r="AH210" s="15" t="str">
        <f t="shared" ca="1" si="38"/>
        <v>{15}</v>
      </c>
      <c r="AI210" s="15">
        <f t="shared" ca="1" si="32"/>
        <v>2000</v>
      </c>
      <c r="AJ210" s="26" t="str">
        <f t="shared" ca="1" si="39"/>
        <v>普通卡B-91120+15|20%</v>
      </c>
    </row>
    <row r="211" spans="1:3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3"/>
      <c r="O211" s="32">
        <f t="shared" si="33"/>
        <v>0</v>
      </c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15">
        <f t="shared" si="34"/>
        <v>0</v>
      </c>
      <c r="AA211" s="15">
        <f>SUM(Z$3:Z211)</f>
        <v>257</v>
      </c>
      <c r="AB211" s="37">
        <f t="shared" si="35"/>
        <v>74</v>
      </c>
      <c r="AC211" s="37">
        <f>COUNTIF(AB$3:AB211,AB211)</f>
        <v>2</v>
      </c>
      <c r="AD211" s="15" t="str">
        <f t="shared" ca="1" si="30"/>
        <v>91220+15</v>
      </c>
      <c r="AE211" s="37">
        <f t="shared" ca="1" si="36"/>
        <v>7302</v>
      </c>
      <c r="AF211" s="15">
        <f t="shared" ca="1" si="31"/>
        <v>73</v>
      </c>
      <c r="AG211" s="15">
        <f t="shared" ca="1" si="37"/>
        <v>91220</v>
      </c>
      <c r="AH211" s="15" t="str">
        <f t="shared" ca="1" si="38"/>
        <v>{15}</v>
      </c>
      <c r="AI211" s="15">
        <f t="shared" ca="1" si="32"/>
        <v>3000</v>
      </c>
      <c r="AJ211" s="26" t="str">
        <f t="shared" ca="1" si="39"/>
        <v>普通卡B-91220+15|30%</v>
      </c>
    </row>
    <row r="212" spans="1:3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3"/>
      <c r="O212" s="32">
        <f t="shared" si="33"/>
        <v>0</v>
      </c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15">
        <f t="shared" si="34"/>
        <v>0</v>
      </c>
      <c r="AA212" s="15">
        <f>SUM(Z$3:Z212)</f>
        <v>257</v>
      </c>
      <c r="AB212" s="37">
        <f t="shared" si="35"/>
        <v>74</v>
      </c>
      <c r="AC212" s="37">
        <f>COUNTIF(AB$3:AB212,AB212)</f>
        <v>3</v>
      </c>
      <c r="AD212" s="15" t="str">
        <f t="shared" ca="1" si="30"/>
        <v>91320+15</v>
      </c>
      <c r="AE212" s="37">
        <f t="shared" ca="1" si="36"/>
        <v>7303</v>
      </c>
      <c r="AF212" s="15">
        <f t="shared" ca="1" si="31"/>
        <v>73</v>
      </c>
      <c r="AG212" s="15">
        <f t="shared" ca="1" si="37"/>
        <v>91320</v>
      </c>
      <c r="AH212" s="15" t="str">
        <f t="shared" ca="1" si="38"/>
        <v>{15}</v>
      </c>
      <c r="AI212" s="15">
        <f t="shared" ca="1" si="32"/>
        <v>2000</v>
      </c>
      <c r="AJ212" s="26" t="str">
        <f t="shared" ca="1" si="39"/>
        <v>普通卡B-91320+15|20%</v>
      </c>
    </row>
    <row r="213" spans="1:3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3"/>
      <c r="O213" s="32">
        <f t="shared" si="33"/>
        <v>0</v>
      </c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15">
        <f t="shared" si="34"/>
        <v>0</v>
      </c>
      <c r="AA213" s="15">
        <f>SUM(Z$3:Z213)</f>
        <v>257</v>
      </c>
      <c r="AB213" s="37">
        <f t="shared" si="35"/>
        <v>74</v>
      </c>
      <c r="AC213" s="37">
        <f>COUNTIF(AB$3:AB213,AB213)</f>
        <v>4</v>
      </c>
      <c r="AD213" s="15" t="str">
        <f t="shared" ca="1" si="30"/>
        <v>91420+15</v>
      </c>
      <c r="AE213" s="37">
        <f t="shared" ca="1" si="36"/>
        <v>7304</v>
      </c>
      <c r="AF213" s="15">
        <f t="shared" ca="1" si="31"/>
        <v>73</v>
      </c>
      <c r="AG213" s="15">
        <f t="shared" ca="1" si="37"/>
        <v>91420</v>
      </c>
      <c r="AH213" s="15" t="str">
        <f t="shared" ca="1" si="38"/>
        <v>{15}</v>
      </c>
      <c r="AI213" s="15">
        <f t="shared" ca="1" si="32"/>
        <v>2000</v>
      </c>
      <c r="AJ213" s="26" t="str">
        <f t="shared" ca="1" si="39"/>
        <v>普通卡B-91420+15|20%</v>
      </c>
    </row>
    <row r="214" spans="1:3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3"/>
      <c r="O214" s="32">
        <f t="shared" si="33"/>
        <v>0</v>
      </c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15">
        <f t="shared" si="34"/>
        <v>0</v>
      </c>
      <c r="AA214" s="15">
        <f>SUM(Z$3:Z214)</f>
        <v>257</v>
      </c>
      <c r="AB214" s="37">
        <f t="shared" si="35"/>
        <v>74</v>
      </c>
      <c r="AC214" s="37">
        <f>COUNTIF(AB$3:AB214,AB214)</f>
        <v>5</v>
      </c>
      <c r="AD214" s="15" t="str">
        <f t="shared" ca="1" si="30"/>
        <v>91520+15</v>
      </c>
      <c r="AE214" s="37">
        <f t="shared" ca="1" si="36"/>
        <v>7305</v>
      </c>
      <c r="AF214" s="15">
        <f t="shared" ca="1" si="31"/>
        <v>73</v>
      </c>
      <c r="AG214" s="15">
        <f t="shared" ca="1" si="37"/>
        <v>91520</v>
      </c>
      <c r="AH214" s="15" t="str">
        <f t="shared" ca="1" si="38"/>
        <v>{15}</v>
      </c>
      <c r="AI214" s="15">
        <f t="shared" ca="1" si="32"/>
        <v>1000</v>
      </c>
      <c r="AJ214" s="26" t="str">
        <f t="shared" ca="1" si="39"/>
        <v>普通卡B-91520+15|10%</v>
      </c>
    </row>
    <row r="215" spans="1:3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3"/>
      <c r="O215" s="32">
        <f t="shared" si="33"/>
        <v>0</v>
      </c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15">
        <f t="shared" si="34"/>
        <v>0</v>
      </c>
      <c r="AA215" s="15">
        <f>SUM(Z$3:Z215)</f>
        <v>257</v>
      </c>
      <c r="AB215" s="37">
        <f t="shared" si="35"/>
        <v>75</v>
      </c>
      <c r="AC215" s="37">
        <f>COUNTIF(AB$3:AB215,AB215)</f>
        <v>1</v>
      </c>
      <c r="AD215" s="15" t="str">
        <f t="shared" ca="1" si="30"/>
        <v>91130+15</v>
      </c>
      <c r="AE215" s="37">
        <f t="shared" ca="1" si="36"/>
        <v>7401</v>
      </c>
      <c r="AF215" s="15">
        <f t="shared" ca="1" si="31"/>
        <v>74</v>
      </c>
      <c r="AG215" s="15">
        <f t="shared" ca="1" si="37"/>
        <v>91130</v>
      </c>
      <c r="AH215" s="15" t="str">
        <f t="shared" ca="1" si="38"/>
        <v>{15}</v>
      </c>
      <c r="AI215" s="15">
        <f t="shared" ca="1" si="32"/>
        <v>2000</v>
      </c>
      <c r="AJ215" s="26" t="str">
        <f t="shared" ca="1" si="39"/>
        <v>普通卡C-91130+15|20%</v>
      </c>
    </row>
    <row r="216" spans="1:3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3"/>
      <c r="O216" s="32">
        <f t="shared" si="33"/>
        <v>0</v>
      </c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15">
        <f t="shared" si="34"/>
        <v>0</v>
      </c>
      <c r="AA216" s="15">
        <f>SUM(Z$3:Z216)</f>
        <v>257</v>
      </c>
      <c r="AB216" s="37">
        <f t="shared" si="35"/>
        <v>75</v>
      </c>
      <c r="AC216" s="37">
        <f>COUNTIF(AB$3:AB216,AB216)</f>
        <v>2</v>
      </c>
      <c r="AD216" s="15" t="str">
        <f t="shared" ca="1" si="30"/>
        <v>91230+15</v>
      </c>
      <c r="AE216" s="37">
        <f t="shared" ca="1" si="36"/>
        <v>7402</v>
      </c>
      <c r="AF216" s="15">
        <f t="shared" ca="1" si="31"/>
        <v>74</v>
      </c>
      <c r="AG216" s="15">
        <f t="shared" ca="1" si="37"/>
        <v>91230</v>
      </c>
      <c r="AH216" s="15" t="str">
        <f t="shared" ca="1" si="38"/>
        <v>{15}</v>
      </c>
      <c r="AI216" s="15">
        <f t="shared" ca="1" si="32"/>
        <v>3000</v>
      </c>
      <c r="AJ216" s="26" t="str">
        <f t="shared" ca="1" si="39"/>
        <v>普通卡C-91230+15|30%</v>
      </c>
    </row>
    <row r="217" spans="1:3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3"/>
      <c r="O217" s="32">
        <f t="shared" si="33"/>
        <v>0</v>
      </c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15">
        <f t="shared" si="34"/>
        <v>0</v>
      </c>
      <c r="AA217" s="15">
        <f>SUM(Z$3:Z217)</f>
        <v>257</v>
      </c>
      <c r="AB217" s="37">
        <f t="shared" si="35"/>
        <v>75</v>
      </c>
      <c r="AC217" s="37">
        <f>COUNTIF(AB$3:AB217,AB217)</f>
        <v>3</v>
      </c>
      <c r="AD217" s="15" t="str">
        <f t="shared" ca="1" si="30"/>
        <v>91330+15</v>
      </c>
      <c r="AE217" s="37">
        <f t="shared" ca="1" si="36"/>
        <v>7403</v>
      </c>
      <c r="AF217" s="15">
        <f t="shared" ca="1" si="31"/>
        <v>74</v>
      </c>
      <c r="AG217" s="15">
        <f t="shared" ca="1" si="37"/>
        <v>91330</v>
      </c>
      <c r="AH217" s="15" t="str">
        <f t="shared" ca="1" si="38"/>
        <v>{15}</v>
      </c>
      <c r="AI217" s="15">
        <f t="shared" ca="1" si="32"/>
        <v>2000</v>
      </c>
      <c r="AJ217" s="26" t="str">
        <f t="shared" ca="1" si="39"/>
        <v>普通卡C-91330+15|20%</v>
      </c>
    </row>
    <row r="218" spans="1:3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3"/>
      <c r="O218" s="32">
        <f t="shared" si="33"/>
        <v>0</v>
      </c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15">
        <f t="shared" si="34"/>
        <v>0</v>
      </c>
      <c r="AA218" s="15">
        <f>SUM(Z$3:Z218)</f>
        <v>257</v>
      </c>
      <c r="AB218" s="37">
        <f t="shared" si="35"/>
        <v>75</v>
      </c>
      <c r="AC218" s="37">
        <f>COUNTIF(AB$3:AB218,AB218)</f>
        <v>4</v>
      </c>
      <c r="AD218" s="15" t="str">
        <f t="shared" ca="1" si="30"/>
        <v>91430+15</v>
      </c>
      <c r="AE218" s="37">
        <f t="shared" ca="1" si="36"/>
        <v>7404</v>
      </c>
      <c r="AF218" s="15">
        <f t="shared" ca="1" si="31"/>
        <v>74</v>
      </c>
      <c r="AG218" s="15">
        <f t="shared" ca="1" si="37"/>
        <v>91430</v>
      </c>
      <c r="AH218" s="15" t="str">
        <f t="shared" ca="1" si="38"/>
        <v>{15}</v>
      </c>
      <c r="AI218" s="15">
        <f t="shared" ca="1" si="32"/>
        <v>2000</v>
      </c>
      <c r="AJ218" s="26" t="str">
        <f t="shared" ca="1" si="39"/>
        <v>普通卡C-91430+15|20%</v>
      </c>
    </row>
    <row r="219" spans="1:3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3"/>
      <c r="O219" s="32">
        <f t="shared" si="33"/>
        <v>0</v>
      </c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15">
        <f t="shared" si="34"/>
        <v>0</v>
      </c>
      <c r="AA219" s="15">
        <f>SUM(Z$3:Z219)</f>
        <v>257</v>
      </c>
      <c r="AB219" s="37">
        <f t="shared" si="35"/>
        <v>75</v>
      </c>
      <c r="AC219" s="37">
        <f>COUNTIF(AB$3:AB219,AB219)</f>
        <v>5</v>
      </c>
      <c r="AD219" s="15" t="str">
        <f t="shared" ca="1" si="30"/>
        <v>91530+15</v>
      </c>
      <c r="AE219" s="37">
        <f t="shared" ca="1" si="36"/>
        <v>7405</v>
      </c>
      <c r="AF219" s="15">
        <f t="shared" ca="1" si="31"/>
        <v>74</v>
      </c>
      <c r="AG219" s="15">
        <f t="shared" ca="1" si="37"/>
        <v>91530</v>
      </c>
      <c r="AH219" s="15" t="str">
        <f t="shared" ca="1" si="38"/>
        <v>{15}</v>
      </c>
      <c r="AI219" s="15">
        <f t="shared" ca="1" si="32"/>
        <v>1000</v>
      </c>
      <c r="AJ219" s="26" t="str">
        <f t="shared" ca="1" si="39"/>
        <v>普通卡C-91530+15|10%</v>
      </c>
    </row>
    <row r="220" spans="1:3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3"/>
      <c r="O220" s="32">
        <f t="shared" si="33"/>
        <v>0</v>
      </c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15">
        <f t="shared" si="34"/>
        <v>0</v>
      </c>
      <c r="AA220" s="15">
        <f>SUM(Z$3:Z220)</f>
        <v>257</v>
      </c>
      <c r="AB220" s="37">
        <f t="shared" si="35"/>
        <v>76</v>
      </c>
      <c r="AC220" s="37">
        <f>COUNTIF(AB$3:AB220,AB220)</f>
        <v>1</v>
      </c>
      <c r="AD220" s="15" t="str">
        <f t="shared" ca="1" si="30"/>
        <v>91140+15</v>
      </c>
      <c r="AE220" s="37">
        <f t="shared" ca="1" si="36"/>
        <v>7501</v>
      </c>
      <c r="AF220" s="15">
        <f t="shared" ca="1" si="31"/>
        <v>75</v>
      </c>
      <c r="AG220" s="15">
        <f t="shared" ca="1" si="37"/>
        <v>91140</v>
      </c>
      <c r="AH220" s="15" t="str">
        <f t="shared" ca="1" si="38"/>
        <v>{15}</v>
      </c>
      <c r="AI220" s="15">
        <f t="shared" ca="1" si="32"/>
        <v>2000</v>
      </c>
      <c r="AJ220" s="26" t="str">
        <f t="shared" ca="1" si="39"/>
        <v>普通卡D-91140+15|20%</v>
      </c>
    </row>
    <row r="221" spans="1:3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3"/>
      <c r="O221" s="32">
        <f t="shared" si="33"/>
        <v>0</v>
      </c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15">
        <f t="shared" si="34"/>
        <v>0</v>
      </c>
      <c r="AA221" s="15">
        <f>SUM(Z$3:Z221)</f>
        <v>257</v>
      </c>
      <c r="AB221" s="37">
        <f t="shared" si="35"/>
        <v>76</v>
      </c>
      <c r="AC221" s="37">
        <f>COUNTIF(AB$3:AB221,AB221)</f>
        <v>2</v>
      </c>
      <c r="AD221" s="15" t="str">
        <f t="shared" ca="1" si="30"/>
        <v>91240+15</v>
      </c>
      <c r="AE221" s="37">
        <f t="shared" ca="1" si="36"/>
        <v>7502</v>
      </c>
      <c r="AF221" s="15">
        <f t="shared" ca="1" si="31"/>
        <v>75</v>
      </c>
      <c r="AG221" s="15">
        <f t="shared" ca="1" si="37"/>
        <v>91240</v>
      </c>
      <c r="AH221" s="15" t="str">
        <f t="shared" ca="1" si="38"/>
        <v>{15}</v>
      </c>
      <c r="AI221" s="15">
        <f t="shared" ca="1" si="32"/>
        <v>3000</v>
      </c>
      <c r="AJ221" s="26" t="str">
        <f t="shared" ca="1" si="39"/>
        <v>普通卡D-91240+15|30%</v>
      </c>
    </row>
    <row r="222" spans="1:3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3"/>
      <c r="O222" s="32">
        <f t="shared" si="33"/>
        <v>0</v>
      </c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15">
        <f t="shared" si="34"/>
        <v>0</v>
      </c>
      <c r="AA222" s="15">
        <f>SUM(Z$3:Z222)</f>
        <v>257</v>
      </c>
      <c r="AB222" s="37">
        <f t="shared" si="35"/>
        <v>76</v>
      </c>
      <c r="AC222" s="37">
        <f>COUNTIF(AB$3:AB222,AB222)</f>
        <v>3</v>
      </c>
      <c r="AD222" s="15" t="str">
        <f t="shared" ca="1" si="30"/>
        <v>91340+15</v>
      </c>
      <c r="AE222" s="37">
        <f t="shared" ca="1" si="36"/>
        <v>7503</v>
      </c>
      <c r="AF222" s="15">
        <f t="shared" ca="1" si="31"/>
        <v>75</v>
      </c>
      <c r="AG222" s="15">
        <f t="shared" ca="1" si="37"/>
        <v>91340</v>
      </c>
      <c r="AH222" s="15" t="str">
        <f t="shared" ca="1" si="38"/>
        <v>{15}</v>
      </c>
      <c r="AI222" s="15">
        <f t="shared" ca="1" si="32"/>
        <v>2000</v>
      </c>
      <c r="AJ222" s="26" t="str">
        <f t="shared" ca="1" si="39"/>
        <v>普通卡D-91340+15|20%</v>
      </c>
    </row>
    <row r="223" spans="1:3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3"/>
      <c r="O223" s="32">
        <f t="shared" si="33"/>
        <v>0</v>
      </c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15">
        <f t="shared" si="34"/>
        <v>0</v>
      </c>
      <c r="AA223" s="15">
        <f>SUM(Z$3:Z223)</f>
        <v>257</v>
      </c>
      <c r="AB223" s="37">
        <f t="shared" si="35"/>
        <v>76</v>
      </c>
      <c r="AC223" s="37">
        <f>COUNTIF(AB$3:AB223,AB223)</f>
        <v>4</v>
      </c>
      <c r="AD223" s="15" t="str">
        <f t="shared" ca="1" si="30"/>
        <v>91440+15</v>
      </c>
      <c r="AE223" s="37">
        <f t="shared" ca="1" si="36"/>
        <v>7504</v>
      </c>
      <c r="AF223" s="15">
        <f t="shared" ca="1" si="31"/>
        <v>75</v>
      </c>
      <c r="AG223" s="15">
        <f t="shared" ca="1" si="37"/>
        <v>91440</v>
      </c>
      <c r="AH223" s="15" t="str">
        <f t="shared" ca="1" si="38"/>
        <v>{15}</v>
      </c>
      <c r="AI223" s="15">
        <f t="shared" ca="1" si="32"/>
        <v>2000</v>
      </c>
      <c r="AJ223" s="26" t="str">
        <f t="shared" ca="1" si="39"/>
        <v>普通卡D-91440+15|20%</v>
      </c>
    </row>
    <row r="224" spans="1:3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3"/>
      <c r="O224" s="32">
        <f t="shared" si="33"/>
        <v>0</v>
      </c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15">
        <f t="shared" si="34"/>
        <v>0</v>
      </c>
      <c r="AA224" s="15">
        <f>SUM(Z$3:Z224)</f>
        <v>257</v>
      </c>
      <c r="AB224" s="37">
        <f t="shared" si="35"/>
        <v>76</v>
      </c>
      <c r="AC224" s="37">
        <f>COUNTIF(AB$3:AB224,AB224)</f>
        <v>5</v>
      </c>
      <c r="AD224" s="15" t="str">
        <f t="shared" ca="1" si="30"/>
        <v>91540+15</v>
      </c>
      <c r="AE224" s="37">
        <f t="shared" ca="1" si="36"/>
        <v>7505</v>
      </c>
      <c r="AF224" s="15">
        <f t="shared" ca="1" si="31"/>
        <v>75</v>
      </c>
      <c r="AG224" s="15">
        <f t="shared" ca="1" si="37"/>
        <v>91540</v>
      </c>
      <c r="AH224" s="15" t="str">
        <f t="shared" ca="1" si="38"/>
        <v>{15}</v>
      </c>
      <c r="AI224" s="15">
        <f t="shared" ca="1" si="32"/>
        <v>1000</v>
      </c>
      <c r="AJ224" s="26" t="str">
        <f t="shared" ca="1" si="39"/>
        <v>普通卡D-91540+15|10%</v>
      </c>
    </row>
    <row r="225" spans="1:3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3"/>
      <c r="O225" s="32">
        <f t="shared" si="33"/>
        <v>0</v>
      </c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15">
        <f t="shared" si="34"/>
        <v>0</v>
      </c>
      <c r="AA225" s="15">
        <f>SUM(Z$3:Z225)</f>
        <v>257</v>
      </c>
      <c r="AB225" s="37">
        <f t="shared" si="35"/>
        <v>77</v>
      </c>
      <c r="AC225" s="37">
        <f>COUNTIF(AB$3:AB225,AB225)</f>
        <v>1</v>
      </c>
      <c r="AD225" s="15" t="str">
        <f t="shared" ca="1" si="30"/>
        <v>82110+20</v>
      </c>
      <c r="AE225" s="37">
        <f t="shared" ca="1" si="36"/>
        <v>7601</v>
      </c>
      <c r="AF225" s="15">
        <f t="shared" ca="1" si="31"/>
        <v>76</v>
      </c>
      <c r="AG225" s="15">
        <f t="shared" ca="1" si="37"/>
        <v>82110</v>
      </c>
      <c r="AH225" s="15" t="str">
        <f t="shared" ca="1" si="38"/>
        <v>{20}</v>
      </c>
      <c r="AI225" s="15">
        <f t="shared" ca="1" si="32"/>
        <v>10000</v>
      </c>
      <c r="AJ225" s="26" t="str">
        <f t="shared" ca="1" si="39"/>
        <v>融合卡A-82110+20|100%</v>
      </c>
    </row>
    <row r="226" spans="1:3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3"/>
      <c r="O226" s="32">
        <f t="shared" si="33"/>
        <v>0</v>
      </c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15">
        <f t="shared" si="34"/>
        <v>0</v>
      </c>
      <c r="AA226" s="15">
        <f>SUM(Z$3:Z226)</f>
        <v>257</v>
      </c>
      <c r="AB226" s="37">
        <f t="shared" si="35"/>
        <v>78</v>
      </c>
      <c r="AC226" s="37">
        <f>COUNTIF(AB$3:AB226,AB226)</f>
        <v>1</v>
      </c>
      <c r="AD226" s="15" t="str">
        <f t="shared" ca="1" si="30"/>
        <v>92120+15</v>
      </c>
      <c r="AE226" s="37">
        <f t="shared" ca="1" si="36"/>
        <v>7701</v>
      </c>
      <c r="AF226" s="15">
        <f t="shared" ca="1" si="31"/>
        <v>77</v>
      </c>
      <c r="AG226" s="15">
        <f t="shared" ca="1" si="37"/>
        <v>92120</v>
      </c>
      <c r="AH226" s="15" t="str">
        <f t="shared" ca="1" si="38"/>
        <v>{15}</v>
      </c>
      <c r="AI226" s="15">
        <f t="shared" ca="1" si="32"/>
        <v>2000</v>
      </c>
      <c r="AJ226" s="26" t="str">
        <f t="shared" ca="1" si="39"/>
        <v>融合卡B-92120+15|20%</v>
      </c>
    </row>
    <row r="227" spans="1:3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3"/>
      <c r="O227" s="32">
        <f t="shared" si="33"/>
        <v>0</v>
      </c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15">
        <f t="shared" si="34"/>
        <v>0</v>
      </c>
      <c r="AA227" s="15">
        <f>SUM(Z$3:Z227)</f>
        <v>257</v>
      </c>
      <c r="AB227" s="37">
        <f t="shared" si="35"/>
        <v>78</v>
      </c>
      <c r="AC227" s="37">
        <f>COUNTIF(AB$3:AB227,AB227)</f>
        <v>2</v>
      </c>
      <c r="AD227" s="15" t="str">
        <f t="shared" ca="1" si="30"/>
        <v>92220+15</v>
      </c>
      <c r="AE227" s="37">
        <f t="shared" ca="1" si="36"/>
        <v>7702</v>
      </c>
      <c r="AF227" s="15">
        <f t="shared" ca="1" si="31"/>
        <v>77</v>
      </c>
      <c r="AG227" s="15">
        <f t="shared" ca="1" si="37"/>
        <v>92220</v>
      </c>
      <c r="AH227" s="15" t="str">
        <f t="shared" ca="1" si="38"/>
        <v>{15}</v>
      </c>
      <c r="AI227" s="15">
        <f t="shared" ca="1" si="32"/>
        <v>3000</v>
      </c>
      <c r="AJ227" s="26" t="str">
        <f t="shared" ca="1" si="39"/>
        <v>融合卡B-92220+15|30%</v>
      </c>
    </row>
    <row r="228" spans="1:3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3"/>
      <c r="O228" s="32">
        <f t="shared" si="33"/>
        <v>0</v>
      </c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15">
        <f t="shared" si="34"/>
        <v>0</v>
      </c>
      <c r="AA228" s="15">
        <f>SUM(Z$3:Z228)</f>
        <v>257</v>
      </c>
      <c r="AB228" s="37">
        <f t="shared" si="35"/>
        <v>78</v>
      </c>
      <c r="AC228" s="37">
        <f>COUNTIF(AB$3:AB228,AB228)</f>
        <v>3</v>
      </c>
      <c r="AD228" s="15" t="str">
        <f t="shared" ca="1" si="30"/>
        <v>92320+15</v>
      </c>
      <c r="AE228" s="37">
        <f t="shared" ca="1" si="36"/>
        <v>7703</v>
      </c>
      <c r="AF228" s="15">
        <f t="shared" ca="1" si="31"/>
        <v>77</v>
      </c>
      <c r="AG228" s="15">
        <f t="shared" ca="1" si="37"/>
        <v>92320</v>
      </c>
      <c r="AH228" s="15" t="str">
        <f t="shared" ca="1" si="38"/>
        <v>{15}</v>
      </c>
      <c r="AI228" s="15">
        <f t="shared" ca="1" si="32"/>
        <v>2000</v>
      </c>
      <c r="AJ228" s="26" t="str">
        <f t="shared" ca="1" si="39"/>
        <v>融合卡B-92320+15|20%</v>
      </c>
    </row>
    <row r="229" spans="1:3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3"/>
      <c r="O229" s="32">
        <f t="shared" si="33"/>
        <v>0</v>
      </c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15">
        <f t="shared" si="34"/>
        <v>0</v>
      </c>
      <c r="AA229" s="15">
        <f>SUM(Z$3:Z229)</f>
        <v>257</v>
      </c>
      <c r="AB229" s="37">
        <f t="shared" si="35"/>
        <v>78</v>
      </c>
      <c r="AC229" s="37">
        <f>COUNTIF(AB$3:AB229,AB229)</f>
        <v>4</v>
      </c>
      <c r="AD229" s="15" t="str">
        <f t="shared" ca="1" si="30"/>
        <v>92420+15</v>
      </c>
      <c r="AE229" s="37">
        <f t="shared" ca="1" si="36"/>
        <v>7704</v>
      </c>
      <c r="AF229" s="15">
        <f t="shared" ca="1" si="31"/>
        <v>77</v>
      </c>
      <c r="AG229" s="15">
        <f t="shared" ca="1" si="37"/>
        <v>92420</v>
      </c>
      <c r="AH229" s="15" t="str">
        <f t="shared" ca="1" si="38"/>
        <v>{15}</v>
      </c>
      <c r="AI229" s="15">
        <f t="shared" ca="1" si="32"/>
        <v>2000</v>
      </c>
      <c r="AJ229" s="26" t="str">
        <f t="shared" ca="1" si="39"/>
        <v>融合卡B-92420+15|20%</v>
      </c>
    </row>
    <row r="230" spans="1:3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3"/>
      <c r="O230" s="32">
        <f t="shared" si="33"/>
        <v>0</v>
      </c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15">
        <f t="shared" si="34"/>
        <v>0</v>
      </c>
      <c r="AA230" s="15">
        <f>SUM(Z$3:Z230)</f>
        <v>257</v>
      </c>
      <c r="AB230" s="37">
        <f t="shared" si="35"/>
        <v>78</v>
      </c>
      <c r="AC230" s="37">
        <f>COUNTIF(AB$3:AB230,AB230)</f>
        <v>5</v>
      </c>
      <c r="AD230" s="15" t="str">
        <f t="shared" ca="1" si="30"/>
        <v>92520+15</v>
      </c>
      <c r="AE230" s="37">
        <f t="shared" ca="1" si="36"/>
        <v>7705</v>
      </c>
      <c r="AF230" s="15">
        <f t="shared" ca="1" si="31"/>
        <v>77</v>
      </c>
      <c r="AG230" s="15">
        <f t="shared" ca="1" si="37"/>
        <v>92520</v>
      </c>
      <c r="AH230" s="15" t="str">
        <f t="shared" ca="1" si="38"/>
        <v>{15}</v>
      </c>
      <c r="AI230" s="15">
        <f t="shared" ca="1" si="32"/>
        <v>1000</v>
      </c>
      <c r="AJ230" s="26" t="str">
        <f t="shared" ca="1" si="39"/>
        <v>融合卡B-92520+15|10%</v>
      </c>
    </row>
    <row r="231" spans="1:3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3"/>
      <c r="O231" s="32">
        <f t="shared" si="33"/>
        <v>0</v>
      </c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15">
        <f t="shared" si="34"/>
        <v>0</v>
      </c>
      <c r="AA231" s="15">
        <f>SUM(Z$3:Z231)</f>
        <v>257</v>
      </c>
      <c r="AB231" s="37">
        <f t="shared" si="35"/>
        <v>79</v>
      </c>
      <c r="AC231" s="37">
        <f>COUNTIF(AB$3:AB231,AB231)</f>
        <v>1</v>
      </c>
      <c r="AD231" s="15" t="str">
        <f t="shared" ca="1" si="30"/>
        <v>92130+15</v>
      </c>
      <c r="AE231" s="37">
        <f t="shared" ca="1" si="36"/>
        <v>7801</v>
      </c>
      <c r="AF231" s="15">
        <f t="shared" ca="1" si="31"/>
        <v>78</v>
      </c>
      <c r="AG231" s="15">
        <f t="shared" ca="1" si="37"/>
        <v>92130</v>
      </c>
      <c r="AH231" s="15" t="str">
        <f t="shared" ca="1" si="38"/>
        <v>{15}</v>
      </c>
      <c r="AI231" s="15">
        <f t="shared" ca="1" si="32"/>
        <v>2000</v>
      </c>
      <c r="AJ231" s="26" t="str">
        <f t="shared" ca="1" si="39"/>
        <v>融合卡C-92130+15|20%</v>
      </c>
    </row>
    <row r="232" spans="1:3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3"/>
      <c r="O232" s="32">
        <f t="shared" si="33"/>
        <v>0</v>
      </c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15">
        <f t="shared" si="34"/>
        <v>0</v>
      </c>
      <c r="AA232" s="15">
        <f>SUM(Z$3:Z232)</f>
        <v>257</v>
      </c>
      <c r="AB232" s="37">
        <f t="shared" si="35"/>
        <v>79</v>
      </c>
      <c r="AC232" s="37">
        <f>COUNTIF(AB$3:AB232,AB232)</f>
        <v>2</v>
      </c>
      <c r="AD232" s="15" t="str">
        <f t="shared" ca="1" si="30"/>
        <v>92230+15</v>
      </c>
      <c r="AE232" s="37">
        <f t="shared" ca="1" si="36"/>
        <v>7802</v>
      </c>
      <c r="AF232" s="15">
        <f t="shared" ca="1" si="31"/>
        <v>78</v>
      </c>
      <c r="AG232" s="15">
        <f t="shared" ca="1" si="37"/>
        <v>92230</v>
      </c>
      <c r="AH232" s="15" t="str">
        <f t="shared" ca="1" si="38"/>
        <v>{15}</v>
      </c>
      <c r="AI232" s="15">
        <f t="shared" ca="1" si="32"/>
        <v>3000</v>
      </c>
      <c r="AJ232" s="26" t="str">
        <f t="shared" ca="1" si="39"/>
        <v>融合卡C-92230+15|30%</v>
      </c>
    </row>
    <row r="233" spans="1:3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3"/>
      <c r="O233" s="32">
        <f t="shared" si="33"/>
        <v>0</v>
      </c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15">
        <f t="shared" si="34"/>
        <v>0</v>
      </c>
      <c r="AA233" s="15">
        <f>SUM(Z$3:Z233)</f>
        <v>257</v>
      </c>
      <c r="AB233" s="37">
        <f t="shared" si="35"/>
        <v>79</v>
      </c>
      <c r="AC233" s="37">
        <f>COUNTIF(AB$3:AB233,AB233)</f>
        <v>3</v>
      </c>
      <c r="AD233" s="15" t="str">
        <f t="shared" ca="1" si="30"/>
        <v>92330+15</v>
      </c>
      <c r="AE233" s="37">
        <f t="shared" ca="1" si="36"/>
        <v>7803</v>
      </c>
      <c r="AF233" s="15">
        <f t="shared" ca="1" si="31"/>
        <v>78</v>
      </c>
      <c r="AG233" s="15">
        <f t="shared" ca="1" si="37"/>
        <v>92330</v>
      </c>
      <c r="AH233" s="15" t="str">
        <f t="shared" ca="1" si="38"/>
        <v>{15}</v>
      </c>
      <c r="AI233" s="15">
        <f t="shared" ca="1" si="32"/>
        <v>2000</v>
      </c>
      <c r="AJ233" s="26" t="str">
        <f t="shared" ca="1" si="39"/>
        <v>融合卡C-92330+15|20%</v>
      </c>
    </row>
    <row r="234" spans="1:3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3"/>
      <c r="O234" s="32">
        <f t="shared" si="33"/>
        <v>0</v>
      </c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15">
        <f t="shared" si="34"/>
        <v>0</v>
      </c>
      <c r="AA234" s="15">
        <f>SUM(Z$3:Z234)</f>
        <v>257</v>
      </c>
      <c r="AB234" s="37">
        <f t="shared" si="35"/>
        <v>79</v>
      </c>
      <c r="AC234" s="37">
        <f>COUNTIF(AB$3:AB234,AB234)</f>
        <v>4</v>
      </c>
      <c r="AD234" s="15" t="str">
        <f t="shared" ca="1" si="30"/>
        <v>92430+15</v>
      </c>
      <c r="AE234" s="37">
        <f t="shared" ca="1" si="36"/>
        <v>7804</v>
      </c>
      <c r="AF234" s="15">
        <f t="shared" ca="1" si="31"/>
        <v>78</v>
      </c>
      <c r="AG234" s="15">
        <f t="shared" ca="1" si="37"/>
        <v>92430</v>
      </c>
      <c r="AH234" s="15" t="str">
        <f t="shared" ca="1" si="38"/>
        <v>{15}</v>
      </c>
      <c r="AI234" s="15">
        <f t="shared" ca="1" si="32"/>
        <v>2000</v>
      </c>
      <c r="AJ234" s="26" t="str">
        <f t="shared" ca="1" si="39"/>
        <v>融合卡C-92430+15|20%</v>
      </c>
    </row>
    <row r="235" spans="1:3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3"/>
      <c r="O235" s="32">
        <f t="shared" si="33"/>
        <v>0</v>
      </c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15">
        <f t="shared" si="34"/>
        <v>0</v>
      </c>
      <c r="AA235" s="15">
        <f>SUM(Z$3:Z235)</f>
        <v>257</v>
      </c>
      <c r="AB235" s="37">
        <f t="shared" si="35"/>
        <v>79</v>
      </c>
      <c r="AC235" s="37">
        <f>COUNTIF(AB$3:AB235,AB235)</f>
        <v>5</v>
      </c>
      <c r="AD235" s="15" t="str">
        <f t="shared" ca="1" si="30"/>
        <v>92530+15</v>
      </c>
      <c r="AE235" s="37">
        <f t="shared" ca="1" si="36"/>
        <v>7805</v>
      </c>
      <c r="AF235" s="15">
        <f t="shared" ca="1" si="31"/>
        <v>78</v>
      </c>
      <c r="AG235" s="15">
        <f t="shared" ca="1" si="37"/>
        <v>92530</v>
      </c>
      <c r="AH235" s="15" t="str">
        <f t="shared" ca="1" si="38"/>
        <v>{15}</v>
      </c>
      <c r="AI235" s="15">
        <f t="shared" ca="1" si="32"/>
        <v>1000</v>
      </c>
      <c r="AJ235" s="26" t="str">
        <f t="shared" ca="1" si="39"/>
        <v>融合卡C-92530+15|10%</v>
      </c>
    </row>
    <row r="236" spans="1:3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3"/>
      <c r="O236" s="32">
        <f t="shared" si="33"/>
        <v>0</v>
      </c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15">
        <f t="shared" si="34"/>
        <v>0</v>
      </c>
      <c r="AA236" s="15">
        <f>SUM(Z$3:Z236)</f>
        <v>257</v>
      </c>
      <c r="AB236" s="37">
        <f t="shared" si="35"/>
        <v>80</v>
      </c>
      <c r="AC236" s="37">
        <f>COUNTIF(AB$3:AB236,AB236)</f>
        <v>1</v>
      </c>
      <c r="AD236" s="15" t="str">
        <f t="shared" ca="1" si="30"/>
        <v>92140+15</v>
      </c>
      <c r="AE236" s="37">
        <f t="shared" ca="1" si="36"/>
        <v>7901</v>
      </c>
      <c r="AF236" s="15">
        <f t="shared" ca="1" si="31"/>
        <v>79</v>
      </c>
      <c r="AG236" s="15">
        <f t="shared" ca="1" si="37"/>
        <v>92140</v>
      </c>
      <c r="AH236" s="15" t="str">
        <f t="shared" ca="1" si="38"/>
        <v>{15}</v>
      </c>
      <c r="AI236" s="15">
        <f t="shared" ca="1" si="32"/>
        <v>2000</v>
      </c>
      <c r="AJ236" s="26" t="str">
        <f t="shared" ca="1" si="39"/>
        <v>融合卡D-92140+15|20%</v>
      </c>
    </row>
    <row r="237" spans="1:3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3"/>
      <c r="O237" s="32">
        <f t="shared" si="33"/>
        <v>0</v>
      </c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15">
        <f t="shared" si="34"/>
        <v>0</v>
      </c>
      <c r="AA237" s="15">
        <f>SUM(Z$3:Z237)</f>
        <v>257</v>
      </c>
      <c r="AB237" s="37">
        <f t="shared" si="35"/>
        <v>80</v>
      </c>
      <c r="AC237" s="37">
        <f>COUNTIF(AB$3:AB237,AB237)</f>
        <v>2</v>
      </c>
      <c r="AD237" s="15" t="str">
        <f t="shared" ca="1" si="30"/>
        <v>92240+15</v>
      </c>
      <c r="AE237" s="37">
        <f t="shared" ca="1" si="36"/>
        <v>7902</v>
      </c>
      <c r="AF237" s="15">
        <f t="shared" ca="1" si="31"/>
        <v>79</v>
      </c>
      <c r="AG237" s="15">
        <f t="shared" ca="1" si="37"/>
        <v>92240</v>
      </c>
      <c r="AH237" s="15" t="str">
        <f t="shared" ca="1" si="38"/>
        <v>{15}</v>
      </c>
      <c r="AI237" s="15">
        <f t="shared" ca="1" si="32"/>
        <v>3000</v>
      </c>
      <c r="AJ237" s="26" t="str">
        <f t="shared" ca="1" si="39"/>
        <v>融合卡D-92240+15|30%</v>
      </c>
    </row>
    <row r="238" spans="1:3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3"/>
      <c r="O238" s="32">
        <f t="shared" si="33"/>
        <v>0</v>
      </c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15">
        <f t="shared" si="34"/>
        <v>0</v>
      </c>
      <c r="AA238" s="15">
        <f>SUM(Z$3:Z238)</f>
        <v>257</v>
      </c>
      <c r="AB238" s="37">
        <f t="shared" si="35"/>
        <v>80</v>
      </c>
      <c r="AC238" s="37">
        <f>COUNTIF(AB$3:AB238,AB238)</f>
        <v>3</v>
      </c>
      <c r="AD238" s="15" t="str">
        <f t="shared" ca="1" si="30"/>
        <v>92340+15</v>
      </c>
      <c r="AE238" s="37">
        <f t="shared" ca="1" si="36"/>
        <v>7903</v>
      </c>
      <c r="AF238" s="15">
        <f t="shared" ca="1" si="31"/>
        <v>79</v>
      </c>
      <c r="AG238" s="15">
        <f t="shared" ca="1" si="37"/>
        <v>92340</v>
      </c>
      <c r="AH238" s="15" t="str">
        <f t="shared" ca="1" si="38"/>
        <v>{15}</v>
      </c>
      <c r="AI238" s="15">
        <f t="shared" ca="1" si="32"/>
        <v>2000</v>
      </c>
      <c r="AJ238" s="26" t="str">
        <f t="shared" ca="1" si="39"/>
        <v>融合卡D-92340+15|20%</v>
      </c>
    </row>
    <row r="239" spans="1:3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3"/>
      <c r="O239" s="32">
        <f t="shared" si="33"/>
        <v>0</v>
      </c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15">
        <f t="shared" si="34"/>
        <v>0</v>
      </c>
      <c r="AA239" s="15">
        <f>SUM(Z$3:Z239)</f>
        <v>257</v>
      </c>
      <c r="AB239" s="37">
        <f t="shared" si="35"/>
        <v>80</v>
      </c>
      <c r="AC239" s="37">
        <f>COUNTIF(AB$3:AB239,AB239)</f>
        <v>4</v>
      </c>
      <c r="AD239" s="15" t="str">
        <f t="shared" ca="1" si="30"/>
        <v>92440+15</v>
      </c>
      <c r="AE239" s="37">
        <f t="shared" ca="1" si="36"/>
        <v>7904</v>
      </c>
      <c r="AF239" s="15">
        <f t="shared" ca="1" si="31"/>
        <v>79</v>
      </c>
      <c r="AG239" s="15">
        <f t="shared" ca="1" si="37"/>
        <v>92440</v>
      </c>
      <c r="AH239" s="15" t="str">
        <f t="shared" ca="1" si="38"/>
        <v>{15}</v>
      </c>
      <c r="AI239" s="15">
        <f t="shared" ca="1" si="32"/>
        <v>2000</v>
      </c>
      <c r="AJ239" s="26" t="str">
        <f t="shared" ca="1" si="39"/>
        <v>融合卡D-92440+15|20%</v>
      </c>
    </row>
    <row r="240" spans="1:3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3"/>
      <c r="O240" s="32">
        <f t="shared" si="33"/>
        <v>0</v>
      </c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15">
        <f t="shared" si="34"/>
        <v>0</v>
      </c>
      <c r="AA240" s="15">
        <f>SUM(Z$3:Z240)</f>
        <v>257</v>
      </c>
      <c r="AB240" s="37">
        <f t="shared" si="35"/>
        <v>80</v>
      </c>
      <c r="AC240" s="37">
        <f>COUNTIF(AB$3:AB240,AB240)</f>
        <v>5</v>
      </c>
      <c r="AD240" s="15" t="str">
        <f t="shared" ca="1" si="30"/>
        <v>92540+15</v>
      </c>
      <c r="AE240" s="37">
        <f t="shared" ca="1" si="36"/>
        <v>7905</v>
      </c>
      <c r="AF240" s="15">
        <f t="shared" ca="1" si="31"/>
        <v>79</v>
      </c>
      <c r="AG240" s="15">
        <f t="shared" ca="1" si="37"/>
        <v>92540</v>
      </c>
      <c r="AH240" s="15" t="str">
        <f t="shared" ca="1" si="38"/>
        <v>{15}</v>
      </c>
      <c r="AI240" s="15">
        <f t="shared" ca="1" si="32"/>
        <v>1000</v>
      </c>
      <c r="AJ240" s="26" t="str">
        <f t="shared" ca="1" si="39"/>
        <v>融合卡D-92540+15|10%</v>
      </c>
    </row>
    <row r="241" spans="1:3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3"/>
      <c r="O241" s="32">
        <f t="shared" si="33"/>
        <v>0</v>
      </c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15">
        <f t="shared" si="34"/>
        <v>0</v>
      </c>
      <c r="AA241" s="15">
        <f>SUM(Z$3:Z241)</f>
        <v>257</v>
      </c>
      <c r="AB241" s="37">
        <f t="shared" si="35"/>
        <v>81</v>
      </c>
      <c r="AC241" s="37">
        <f>COUNTIF(AB$3:AB241,AB241)</f>
        <v>1</v>
      </c>
      <c r="AD241" s="15" t="str">
        <f t="shared" ca="1" si="30"/>
        <v>71310+3</v>
      </c>
      <c r="AE241" s="37">
        <f t="shared" ca="1" si="36"/>
        <v>8001</v>
      </c>
      <c r="AF241" s="15">
        <f t="shared" ca="1" si="31"/>
        <v>80</v>
      </c>
      <c r="AG241" s="15">
        <f t="shared" ca="1" si="37"/>
        <v>71310</v>
      </c>
      <c r="AH241" s="15" t="str">
        <f t="shared" ca="1" si="38"/>
        <v>{3}</v>
      </c>
      <c r="AI241" s="15">
        <f t="shared" ca="1" si="32"/>
        <v>2000</v>
      </c>
      <c r="AJ241" s="26" t="str">
        <f t="shared" ca="1" si="39"/>
        <v>装备设计图-71310+3|20%</v>
      </c>
    </row>
    <row r="242" spans="1:3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3"/>
      <c r="O242" s="32">
        <f t="shared" si="33"/>
        <v>0</v>
      </c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15">
        <f t="shared" si="34"/>
        <v>0</v>
      </c>
      <c r="AA242" s="15">
        <f>SUM(Z$3:Z242)</f>
        <v>257</v>
      </c>
      <c r="AB242" s="37">
        <f t="shared" si="35"/>
        <v>81</v>
      </c>
      <c r="AC242" s="37">
        <f>COUNTIF(AB$3:AB242,AB242)</f>
        <v>2</v>
      </c>
      <c r="AD242" s="15" t="str">
        <f t="shared" ca="1" si="30"/>
        <v>71410+3</v>
      </c>
      <c r="AE242" s="37">
        <f t="shared" ca="1" si="36"/>
        <v>8002</v>
      </c>
      <c r="AF242" s="15">
        <f t="shared" ca="1" si="31"/>
        <v>80</v>
      </c>
      <c r="AG242" s="15">
        <f t="shared" ca="1" si="37"/>
        <v>71410</v>
      </c>
      <c r="AH242" s="15" t="str">
        <f t="shared" ca="1" si="38"/>
        <v>{3}</v>
      </c>
      <c r="AI242" s="15">
        <f t="shared" ca="1" si="32"/>
        <v>3000</v>
      </c>
      <c r="AJ242" s="26" t="str">
        <f t="shared" ca="1" si="39"/>
        <v>装备设计图-71410+3|30%</v>
      </c>
    </row>
    <row r="243" spans="1:3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3"/>
      <c r="O243" s="32">
        <f t="shared" si="33"/>
        <v>0</v>
      </c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15">
        <f t="shared" si="34"/>
        <v>0</v>
      </c>
      <c r="AA243" s="15">
        <f>SUM(Z$3:Z243)</f>
        <v>257</v>
      </c>
      <c r="AB243" s="37">
        <f t="shared" si="35"/>
        <v>81</v>
      </c>
      <c r="AC243" s="37">
        <f>COUNTIF(AB$3:AB243,AB243)</f>
        <v>3</v>
      </c>
      <c r="AD243" s="15" t="str">
        <f t="shared" ca="1" si="30"/>
        <v>71510+3</v>
      </c>
      <c r="AE243" s="37">
        <f t="shared" ca="1" si="36"/>
        <v>8003</v>
      </c>
      <c r="AF243" s="15">
        <f t="shared" ca="1" si="31"/>
        <v>80</v>
      </c>
      <c r="AG243" s="15">
        <f t="shared" ca="1" si="37"/>
        <v>71510</v>
      </c>
      <c r="AH243" s="15" t="str">
        <f t="shared" ca="1" si="38"/>
        <v>{3}</v>
      </c>
      <c r="AI243" s="15">
        <f t="shared" ca="1" si="32"/>
        <v>2000</v>
      </c>
      <c r="AJ243" s="26" t="str">
        <f t="shared" ca="1" si="39"/>
        <v>装备设计图-71510+3|20%</v>
      </c>
    </row>
    <row r="244" spans="1:3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3"/>
      <c r="O244" s="32">
        <f t="shared" si="33"/>
        <v>0</v>
      </c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15">
        <f t="shared" si="34"/>
        <v>0</v>
      </c>
      <c r="AA244" s="15">
        <f>SUM(Z$3:Z244)</f>
        <v>257</v>
      </c>
      <c r="AB244" s="37">
        <f t="shared" si="35"/>
        <v>81</v>
      </c>
      <c r="AC244" s="37">
        <f>COUNTIF(AB$3:AB244,AB244)</f>
        <v>4</v>
      </c>
      <c r="AD244" s="15" t="str">
        <f t="shared" ca="1" si="30"/>
        <v>71610+3</v>
      </c>
      <c r="AE244" s="37">
        <f t="shared" ca="1" si="36"/>
        <v>8004</v>
      </c>
      <c r="AF244" s="15">
        <f t="shared" ca="1" si="31"/>
        <v>80</v>
      </c>
      <c r="AG244" s="15">
        <f t="shared" ca="1" si="37"/>
        <v>71610</v>
      </c>
      <c r="AH244" s="15" t="str">
        <f t="shared" ca="1" si="38"/>
        <v>{3}</v>
      </c>
      <c r="AI244" s="15">
        <f t="shared" ca="1" si="32"/>
        <v>2000</v>
      </c>
      <c r="AJ244" s="26" t="str">
        <f t="shared" ca="1" si="39"/>
        <v>装备设计图-71610+3|20%</v>
      </c>
    </row>
    <row r="245" spans="1:3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3"/>
      <c r="O245" s="32">
        <f t="shared" si="33"/>
        <v>0</v>
      </c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15">
        <f t="shared" si="34"/>
        <v>0</v>
      </c>
      <c r="AA245" s="15">
        <f>SUM(Z$3:Z245)</f>
        <v>257</v>
      </c>
      <c r="AB245" s="37">
        <f t="shared" si="35"/>
        <v>81</v>
      </c>
      <c r="AC245" s="37">
        <f>COUNTIF(AB$3:AB245,AB245)</f>
        <v>5</v>
      </c>
      <c r="AD245" s="15" t="str">
        <f t="shared" ca="1" si="30"/>
        <v>71710+3</v>
      </c>
      <c r="AE245" s="37">
        <f t="shared" ca="1" si="36"/>
        <v>8005</v>
      </c>
      <c r="AF245" s="15">
        <f t="shared" ca="1" si="31"/>
        <v>80</v>
      </c>
      <c r="AG245" s="15">
        <f t="shared" ca="1" si="37"/>
        <v>71710</v>
      </c>
      <c r="AH245" s="15" t="str">
        <f t="shared" ca="1" si="38"/>
        <v>{3}</v>
      </c>
      <c r="AI245" s="15">
        <f t="shared" ca="1" si="32"/>
        <v>1000</v>
      </c>
      <c r="AJ245" s="26" t="str">
        <f t="shared" ca="1" si="39"/>
        <v>装备设计图-71710+3|10%</v>
      </c>
    </row>
    <row r="246" spans="1:3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3"/>
      <c r="O246" s="32">
        <f t="shared" si="33"/>
        <v>0</v>
      </c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15">
        <f t="shared" si="34"/>
        <v>0</v>
      </c>
      <c r="AA246" s="15">
        <f>SUM(Z$3:Z246)</f>
        <v>257</v>
      </c>
      <c r="AB246" s="37">
        <f t="shared" si="35"/>
        <v>82</v>
      </c>
      <c r="AC246" s="37">
        <f>COUNTIF(AB$3:AB246,AB246)</f>
        <v>1</v>
      </c>
      <c r="AD246" s="15" t="str">
        <f t="shared" ca="1" si="30"/>
        <v>72310+3</v>
      </c>
      <c r="AE246" s="37">
        <f t="shared" ca="1" si="36"/>
        <v>8101</v>
      </c>
      <c r="AF246" s="15">
        <f t="shared" ca="1" si="31"/>
        <v>81</v>
      </c>
      <c r="AG246" s="15">
        <f t="shared" ca="1" si="37"/>
        <v>72310</v>
      </c>
      <c r="AH246" s="15" t="str">
        <f t="shared" ca="1" si="38"/>
        <v>{3}</v>
      </c>
      <c r="AI246" s="15">
        <f t="shared" ca="1" si="32"/>
        <v>2000</v>
      </c>
      <c r="AJ246" s="26" t="str">
        <f t="shared" ca="1" si="39"/>
        <v>装备设计图-72310+3|20%</v>
      </c>
    </row>
    <row r="247" spans="1:3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3"/>
      <c r="O247" s="32">
        <f t="shared" si="33"/>
        <v>0</v>
      </c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15">
        <f t="shared" si="34"/>
        <v>0</v>
      </c>
      <c r="AA247" s="15">
        <f>SUM(Z$3:Z247)</f>
        <v>257</v>
      </c>
      <c r="AB247" s="37">
        <f t="shared" si="35"/>
        <v>82</v>
      </c>
      <c r="AC247" s="37">
        <f>COUNTIF(AB$3:AB247,AB247)</f>
        <v>2</v>
      </c>
      <c r="AD247" s="15" t="str">
        <f t="shared" ca="1" si="30"/>
        <v>72410+3</v>
      </c>
      <c r="AE247" s="37">
        <f t="shared" ca="1" si="36"/>
        <v>8102</v>
      </c>
      <c r="AF247" s="15">
        <f t="shared" ca="1" si="31"/>
        <v>81</v>
      </c>
      <c r="AG247" s="15">
        <f t="shared" ca="1" si="37"/>
        <v>72410</v>
      </c>
      <c r="AH247" s="15" t="str">
        <f t="shared" ca="1" si="38"/>
        <v>{3}</v>
      </c>
      <c r="AI247" s="15">
        <f t="shared" ca="1" si="32"/>
        <v>3000</v>
      </c>
      <c r="AJ247" s="26" t="str">
        <f t="shared" ca="1" si="39"/>
        <v>装备设计图-72410+3|30%</v>
      </c>
    </row>
    <row r="248" spans="1:3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3"/>
      <c r="O248" s="32">
        <f t="shared" si="33"/>
        <v>0</v>
      </c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15">
        <f t="shared" si="34"/>
        <v>0</v>
      </c>
      <c r="AA248" s="15">
        <f>SUM(Z$3:Z248)</f>
        <v>257</v>
      </c>
      <c r="AB248" s="37">
        <f t="shared" si="35"/>
        <v>82</v>
      </c>
      <c r="AC248" s="37">
        <f>COUNTIF(AB$3:AB248,AB248)</f>
        <v>3</v>
      </c>
      <c r="AD248" s="15" t="str">
        <f t="shared" ca="1" si="30"/>
        <v>72510+3</v>
      </c>
      <c r="AE248" s="37">
        <f t="shared" ca="1" si="36"/>
        <v>8103</v>
      </c>
      <c r="AF248" s="15">
        <f t="shared" ca="1" si="31"/>
        <v>81</v>
      </c>
      <c r="AG248" s="15">
        <f t="shared" ca="1" si="37"/>
        <v>72510</v>
      </c>
      <c r="AH248" s="15" t="str">
        <f t="shared" ca="1" si="38"/>
        <v>{3}</v>
      </c>
      <c r="AI248" s="15">
        <f t="shared" ca="1" si="32"/>
        <v>2000</v>
      </c>
      <c r="AJ248" s="26" t="str">
        <f t="shared" ca="1" si="39"/>
        <v>装备设计图-72510+3|20%</v>
      </c>
    </row>
    <row r="249" spans="1:3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3"/>
      <c r="O249" s="32">
        <f t="shared" si="33"/>
        <v>0</v>
      </c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15">
        <f t="shared" si="34"/>
        <v>0</v>
      </c>
      <c r="AA249" s="15">
        <f>SUM(Z$3:Z249)</f>
        <v>257</v>
      </c>
      <c r="AB249" s="37">
        <f t="shared" si="35"/>
        <v>82</v>
      </c>
      <c r="AC249" s="37">
        <f>COUNTIF(AB$3:AB249,AB249)</f>
        <v>4</v>
      </c>
      <c r="AD249" s="15" t="str">
        <f t="shared" ca="1" si="30"/>
        <v>72610+3</v>
      </c>
      <c r="AE249" s="37">
        <f t="shared" ca="1" si="36"/>
        <v>8104</v>
      </c>
      <c r="AF249" s="15">
        <f t="shared" ca="1" si="31"/>
        <v>81</v>
      </c>
      <c r="AG249" s="15">
        <f t="shared" ca="1" si="37"/>
        <v>72610</v>
      </c>
      <c r="AH249" s="15" t="str">
        <f t="shared" ca="1" si="38"/>
        <v>{3}</v>
      </c>
      <c r="AI249" s="15">
        <f t="shared" ca="1" si="32"/>
        <v>2000</v>
      </c>
      <c r="AJ249" s="26" t="str">
        <f t="shared" ca="1" si="39"/>
        <v>装备设计图-72610+3|20%</v>
      </c>
    </row>
    <row r="250" spans="1:3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3"/>
      <c r="O250" s="32">
        <f t="shared" si="33"/>
        <v>0</v>
      </c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15">
        <f t="shared" si="34"/>
        <v>0</v>
      </c>
      <c r="AA250" s="15">
        <f>SUM(Z$3:Z250)</f>
        <v>257</v>
      </c>
      <c r="AB250" s="37">
        <f t="shared" si="35"/>
        <v>82</v>
      </c>
      <c r="AC250" s="37">
        <f>COUNTIF(AB$3:AB250,AB250)</f>
        <v>5</v>
      </c>
      <c r="AD250" s="15" t="str">
        <f t="shared" ca="1" si="30"/>
        <v>72720+3</v>
      </c>
      <c r="AE250" s="37">
        <f t="shared" ca="1" si="36"/>
        <v>8105</v>
      </c>
      <c r="AF250" s="15">
        <f t="shared" ca="1" si="31"/>
        <v>81</v>
      </c>
      <c r="AG250" s="15">
        <f t="shared" ca="1" si="37"/>
        <v>72720</v>
      </c>
      <c r="AH250" s="15" t="str">
        <f t="shared" ca="1" si="38"/>
        <v>{3}</v>
      </c>
      <c r="AI250" s="15">
        <f t="shared" ca="1" si="32"/>
        <v>1000</v>
      </c>
      <c r="AJ250" s="26" t="str">
        <f t="shared" ca="1" si="39"/>
        <v>装备设计图-72720+3|10%</v>
      </c>
    </row>
    <row r="251" spans="1:3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3"/>
      <c r="O251" s="32">
        <f t="shared" si="33"/>
        <v>0</v>
      </c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15">
        <f t="shared" si="34"/>
        <v>0</v>
      </c>
      <c r="AA251" s="15">
        <f>SUM(Z$3:Z251)</f>
        <v>257</v>
      </c>
      <c r="AB251" s="37">
        <f t="shared" si="35"/>
        <v>83</v>
      </c>
      <c r="AC251" s="37">
        <f>COUNTIF(AB$3:AB251,AB251)</f>
        <v>1</v>
      </c>
      <c r="AD251" s="15" t="str">
        <f t="shared" ca="1" si="30"/>
        <v>4002100+30</v>
      </c>
      <c r="AE251" s="37">
        <f t="shared" ca="1" si="36"/>
        <v>8201</v>
      </c>
      <c r="AF251" s="15">
        <f t="shared" ca="1" si="31"/>
        <v>82</v>
      </c>
      <c r="AG251" s="15">
        <f t="shared" ca="1" si="37"/>
        <v>4002100</v>
      </c>
      <c r="AH251" s="15" t="str">
        <f t="shared" ca="1" si="38"/>
        <v>{30}</v>
      </c>
      <c r="AI251" s="15">
        <f t="shared" ca="1" si="32"/>
        <v>3500</v>
      </c>
      <c r="AJ251" s="26" t="str">
        <f t="shared" ca="1" si="39"/>
        <v>经验卡-4002100+30|35%</v>
      </c>
    </row>
    <row r="252" spans="1:3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3"/>
      <c r="O252" s="32">
        <f t="shared" si="33"/>
        <v>0</v>
      </c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15">
        <f t="shared" si="34"/>
        <v>0</v>
      </c>
      <c r="AA252" s="15">
        <f>SUM(Z$3:Z252)</f>
        <v>257</v>
      </c>
      <c r="AB252" s="37">
        <f t="shared" si="35"/>
        <v>83</v>
      </c>
      <c r="AC252" s="37">
        <f>COUNTIF(AB$3:AB252,AB252)</f>
        <v>2</v>
      </c>
      <c r="AD252" s="15" t="str">
        <f t="shared" ca="1" si="30"/>
        <v>4003100+20</v>
      </c>
      <c r="AE252" s="37">
        <f t="shared" ca="1" si="36"/>
        <v>8202</v>
      </c>
      <c r="AF252" s="15">
        <f t="shared" ca="1" si="31"/>
        <v>82</v>
      </c>
      <c r="AG252" s="15">
        <f t="shared" ca="1" si="37"/>
        <v>4003100</v>
      </c>
      <c r="AH252" s="15" t="str">
        <f t="shared" ca="1" si="38"/>
        <v>{20}</v>
      </c>
      <c r="AI252" s="15">
        <f t="shared" ca="1" si="32"/>
        <v>4000</v>
      </c>
      <c r="AJ252" s="26" t="str">
        <f t="shared" ca="1" si="39"/>
        <v>经验卡-4003100+20|40%</v>
      </c>
    </row>
    <row r="253" spans="1:3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3"/>
      <c r="O253" s="32">
        <f t="shared" si="33"/>
        <v>0</v>
      </c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15">
        <f t="shared" si="34"/>
        <v>0</v>
      </c>
      <c r="AA253" s="15">
        <f>SUM(Z$3:Z253)</f>
        <v>257</v>
      </c>
      <c r="AB253" s="37">
        <f t="shared" si="35"/>
        <v>83</v>
      </c>
      <c r="AC253" s="37">
        <f>COUNTIF(AB$3:AB253,AB253)</f>
        <v>3</v>
      </c>
      <c r="AD253" s="15" t="str">
        <f t="shared" ca="1" si="30"/>
        <v>4003100+30</v>
      </c>
      <c r="AE253" s="37">
        <f t="shared" ca="1" si="36"/>
        <v>8203</v>
      </c>
      <c r="AF253" s="15">
        <f t="shared" ca="1" si="31"/>
        <v>82</v>
      </c>
      <c r="AG253" s="15">
        <f t="shared" ca="1" si="37"/>
        <v>4003100</v>
      </c>
      <c r="AH253" s="15" t="str">
        <f t="shared" ca="1" si="38"/>
        <v>{30}</v>
      </c>
      <c r="AI253" s="15">
        <f t="shared" ca="1" si="32"/>
        <v>2500</v>
      </c>
      <c r="AJ253" s="26" t="str">
        <f t="shared" ca="1" si="39"/>
        <v>经验卡-4003100+30|25%</v>
      </c>
    </row>
    <row r="254" spans="1:3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3"/>
      <c r="O254" s="32">
        <f t="shared" si="33"/>
        <v>0</v>
      </c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15">
        <f t="shared" si="34"/>
        <v>0</v>
      </c>
      <c r="AA254" s="15">
        <f>SUM(Z$3:Z254)</f>
        <v>257</v>
      </c>
      <c r="AB254" s="37">
        <f t="shared" si="35"/>
        <v>84</v>
      </c>
      <c r="AC254" s="37">
        <f>COUNTIF(AB$3:AB254,AB254)</f>
        <v>1</v>
      </c>
      <c r="AD254" s="15" t="str">
        <f t="shared" ca="1" si="30"/>
        <v>1009000+1</v>
      </c>
      <c r="AE254" s="37">
        <f t="shared" ca="1" si="36"/>
        <v>8301</v>
      </c>
      <c r="AF254" s="15">
        <f t="shared" ca="1" si="31"/>
        <v>83</v>
      </c>
      <c r="AG254" s="15">
        <f t="shared" ca="1" si="37"/>
        <v>1009000</v>
      </c>
      <c r="AH254" s="15" t="str">
        <f t="shared" ca="1" si="38"/>
        <v>{1}</v>
      </c>
      <c r="AI254" s="15">
        <f t="shared" ca="1" si="32"/>
        <v>3000</v>
      </c>
      <c r="AJ254" s="26" t="str">
        <f t="shared" ca="1" si="39"/>
        <v>卡-1009000+1|30%</v>
      </c>
    </row>
    <row r="255" spans="1:3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3"/>
      <c r="O255" s="32">
        <f t="shared" si="33"/>
        <v>0</v>
      </c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15">
        <f t="shared" si="34"/>
        <v>0</v>
      </c>
      <c r="AA255" s="15">
        <f>SUM(Z$3:Z255)</f>
        <v>257</v>
      </c>
      <c r="AB255" s="37">
        <f t="shared" si="35"/>
        <v>84</v>
      </c>
      <c r="AC255" s="37">
        <f>COUNTIF(AB$3:AB255,AB255)</f>
        <v>2</v>
      </c>
      <c r="AD255" s="15" t="str">
        <f t="shared" ca="1" si="30"/>
        <v>1010000+1</v>
      </c>
      <c r="AE255" s="37">
        <f t="shared" ca="1" si="36"/>
        <v>8302</v>
      </c>
      <c r="AF255" s="15">
        <f t="shared" ca="1" si="31"/>
        <v>83</v>
      </c>
      <c r="AG255" s="15">
        <f t="shared" ca="1" si="37"/>
        <v>1010000</v>
      </c>
      <c r="AH255" s="15" t="str">
        <f t="shared" ca="1" si="38"/>
        <v>{1}</v>
      </c>
      <c r="AI255" s="15">
        <f t="shared" ca="1" si="32"/>
        <v>4000</v>
      </c>
      <c r="AJ255" s="26" t="str">
        <f t="shared" ca="1" si="39"/>
        <v>卡-1010000+1|40%</v>
      </c>
    </row>
    <row r="256" spans="1:3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3"/>
      <c r="O256" s="32">
        <f t="shared" si="33"/>
        <v>0</v>
      </c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15">
        <f t="shared" si="34"/>
        <v>0</v>
      </c>
      <c r="AA256" s="15">
        <f>SUM(Z$3:Z256)</f>
        <v>257</v>
      </c>
      <c r="AB256" s="37">
        <f t="shared" si="35"/>
        <v>84</v>
      </c>
      <c r="AC256" s="37">
        <f>COUNTIF(AB$3:AB256,AB256)</f>
        <v>3</v>
      </c>
      <c r="AD256" s="15" t="str">
        <f t="shared" ca="1" si="30"/>
        <v>1011000+1</v>
      </c>
      <c r="AE256" s="37">
        <f t="shared" ca="1" si="36"/>
        <v>8303</v>
      </c>
      <c r="AF256" s="15">
        <f t="shared" ca="1" si="31"/>
        <v>83</v>
      </c>
      <c r="AG256" s="15">
        <f t="shared" ca="1" si="37"/>
        <v>1011000</v>
      </c>
      <c r="AH256" s="15" t="str">
        <f t="shared" ca="1" si="38"/>
        <v>{1}</v>
      </c>
      <c r="AI256" s="15">
        <f t="shared" ca="1" si="32"/>
        <v>3000</v>
      </c>
      <c r="AJ256" s="26" t="str">
        <f t="shared" ca="1" si="39"/>
        <v>卡-1011000+1|30%</v>
      </c>
    </row>
    <row r="257" spans="1:3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3"/>
      <c r="O257" s="32">
        <f t="shared" si="33"/>
        <v>0</v>
      </c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15">
        <f t="shared" si="34"/>
        <v>0</v>
      </c>
      <c r="AA257" s="15">
        <f>SUM(Z$3:Z257)</f>
        <v>257</v>
      </c>
      <c r="AB257" s="37">
        <f t="shared" si="35"/>
        <v>85</v>
      </c>
      <c r="AC257" s="37">
        <f>COUNTIF(AB$3:AB257,AB257)</f>
        <v>1</v>
      </c>
      <c r="AD257" s="15" t="str">
        <f t="shared" ca="1" si="30"/>
        <v>11009+1</v>
      </c>
      <c r="AE257" s="37">
        <f t="shared" ca="1" si="36"/>
        <v>8401</v>
      </c>
      <c r="AF257" s="15">
        <f t="shared" ca="1" si="31"/>
        <v>84</v>
      </c>
      <c r="AG257" s="15">
        <f t="shared" ca="1" si="37"/>
        <v>11009</v>
      </c>
      <c r="AH257" s="15" t="str">
        <f t="shared" ca="1" si="38"/>
        <v>{1}</v>
      </c>
      <c r="AI257" s="15">
        <f t="shared" ca="1" si="32"/>
        <v>3000</v>
      </c>
      <c r="AJ257" s="26" t="str">
        <f t="shared" ca="1" si="39"/>
        <v>卡碎片-11009+1|30%</v>
      </c>
    </row>
    <row r="258" spans="1:3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3"/>
      <c r="O258" s="32">
        <f t="shared" si="33"/>
        <v>0</v>
      </c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15">
        <f t="shared" si="34"/>
        <v>0</v>
      </c>
      <c r="AA258" s="15">
        <f>SUM(Z$3:Z258)</f>
        <v>257</v>
      </c>
      <c r="AB258" s="37">
        <f t="shared" si="35"/>
        <v>85</v>
      </c>
      <c r="AC258" s="37">
        <f>COUNTIF(AB$3:AB258,AB258)</f>
        <v>2</v>
      </c>
      <c r="AD258" s="15" t="str">
        <f t="shared" ca="1" si="30"/>
        <v>11010+1</v>
      </c>
      <c r="AE258" s="37">
        <f t="shared" ca="1" si="36"/>
        <v>8402</v>
      </c>
      <c r="AF258" s="15">
        <f t="shared" ca="1" si="31"/>
        <v>84</v>
      </c>
      <c r="AG258" s="15">
        <f t="shared" ca="1" si="37"/>
        <v>11010</v>
      </c>
      <c r="AH258" s="15" t="str">
        <f t="shared" ca="1" si="38"/>
        <v>{1}</v>
      </c>
      <c r="AI258" s="15">
        <f t="shared" ca="1" si="32"/>
        <v>4000</v>
      </c>
      <c r="AJ258" s="26" t="str">
        <f t="shared" ca="1" si="39"/>
        <v>卡碎片-11010+1|40%</v>
      </c>
    </row>
    <row r="259" spans="1:3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3"/>
      <c r="O259" s="32">
        <f t="shared" si="33"/>
        <v>0</v>
      </c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15">
        <f t="shared" si="34"/>
        <v>0</v>
      </c>
      <c r="AA259" s="15">
        <f>SUM(Z$3:Z259)</f>
        <v>257</v>
      </c>
      <c r="AB259" s="37">
        <f t="shared" si="35"/>
        <v>85</v>
      </c>
      <c r="AC259" s="37">
        <f>COUNTIF(AB$3:AB259,AB259)</f>
        <v>3</v>
      </c>
      <c r="AD259" s="15" t="str">
        <f t="shared" ref="AD259:AD322" ca="1" si="40">OFFSET($C$2,MATCH(AF259,$A:$A,0)-2,$AC259)</f>
        <v>11011+1</v>
      </c>
      <c r="AE259" s="37">
        <f t="shared" ca="1" si="36"/>
        <v>8403</v>
      </c>
      <c r="AF259" s="15">
        <f t="shared" ref="AF259:AF322" ca="1" si="41">IF(OFFSET(A$1,AB259,)="","无",OFFSET(A$1,AB259,))</f>
        <v>84</v>
      </c>
      <c r="AG259" s="15">
        <f t="shared" ca="1" si="37"/>
        <v>11011</v>
      </c>
      <c r="AH259" s="15" t="str">
        <f t="shared" ca="1" si="38"/>
        <v>{1}</v>
      </c>
      <c r="AI259" s="15">
        <f t="shared" ref="AI259:AI322" ca="1" si="42">IF(OFFSET($C$2,MATCH($AF259,A:A,0)-2,)="是",INT($AI$1/OFFSET($Z$2,MATCH(AF259,A:A,0)-2,)),OFFSET($O$2,MATCH($AF259,A:A,0)-2,$AC259)*$AI$1)</f>
        <v>3000</v>
      </c>
      <c r="AJ259" s="26" t="str">
        <f t="shared" ca="1" si="39"/>
        <v>卡碎片-11011+1|30%</v>
      </c>
    </row>
    <row r="260" spans="1:3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3"/>
      <c r="O260" s="32">
        <f t="shared" ref="O260:O323" si="43">SUM(P260:Y260)</f>
        <v>0</v>
      </c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15">
        <f t="shared" ref="Z260:Z323" si="44">COUNTA(D260:M260)</f>
        <v>0</v>
      </c>
      <c r="AA260" s="15">
        <f>SUM(Z$3:Z260)</f>
        <v>257</v>
      </c>
      <c r="AB260" s="37">
        <f t="shared" ref="AB260:AB323" si="45">MATCH(ROW(AB258)-0.1,AA:AA,1)</f>
        <v>620</v>
      </c>
      <c r="AC260" s="37">
        <f>COUNTIF(AB$3:AB260,AB260)</f>
        <v>1</v>
      </c>
      <c r="AD260" s="15" t="e">
        <f t="shared" ca="1" si="40"/>
        <v>#N/A</v>
      </c>
      <c r="AE260" s="37" t="e">
        <f t="shared" ref="AE260:AE323" ca="1" si="46">AF260*100+AC260</f>
        <v>#VALUE!</v>
      </c>
      <c r="AF260" s="15" t="str">
        <f t="shared" ca="1" si="41"/>
        <v>无</v>
      </c>
      <c r="AG260" s="15" t="e">
        <f t="shared" ref="AG260:AG323" ca="1" si="47">VALUE(MID(AD260,1,FIND("+",AD260,1)-1))</f>
        <v>#N/A</v>
      </c>
      <c r="AH260" s="15" t="str">
        <f t="shared" ref="AH260:AH323" ca="1" si="48">"{" &amp; IFERROR(MID($AD260,FIND("+",$AD260,1)+1,IFERROR(FIND("/",$AD260),LEN($AD260)+1)-FIND("+",$AD260)-1),0) &amp; "}"</f>
        <v>{0}</v>
      </c>
      <c r="AI260" s="15" t="e">
        <f t="shared" ca="1" si="42"/>
        <v>#N/A</v>
      </c>
      <c r="AJ260" s="26" t="e">
        <f t="shared" ref="AJ260:AJ323" ca="1" si="49">OFFSET($B$2,MATCH($AF260,A:A,0)-2,) &amp; "-" &amp; $AD260 &amp; "|" &amp; AI260/$AI$1*100 &amp; "%"</f>
        <v>#N/A</v>
      </c>
    </row>
    <row r="261" spans="1:3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3"/>
      <c r="O261" s="32">
        <f t="shared" si="43"/>
        <v>0</v>
      </c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15">
        <f t="shared" si="44"/>
        <v>0</v>
      </c>
      <c r="AA261" s="15">
        <f>SUM(Z$3:Z261)</f>
        <v>257</v>
      </c>
      <c r="AB261" s="37">
        <f t="shared" si="45"/>
        <v>620</v>
      </c>
      <c r="AC261" s="37">
        <f>COUNTIF(AB$3:AB261,AB261)</f>
        <v>2</v>
      </c>
      <c r="AD261" s="15" t="e">
        <f t="shared" ca="1" si="40"/>
        <v>#N/A</v>
      </c>
      <c r="AE261" s="37" t="e">
        <f t="shared" ca="1" si="46"/>
        <v>#VALUE!</v>
      </c>
      <c r="AF261" s="15" t="str">
        <f t="shared" ca="1" si="41"/>
        <v>无</v>
      </c>
      <c r="AG261" s="15" t="e">
        <f t="shared" ca="1" si="47"/>
        <v>#N/A</v>
      </c>
      <c r="AH261" s="15" t="str">
        <f t="shared" ca="1" si="48"/>
        <v>{0}</v>
      </c>
      <c r="AI261" s="15" t="e">
        <f t="shared" ca="1" si="42"/>
        <v>#N/A</v>
      </c>
      <c r="AJ261" s="26" t="e">
        <f t="shared" ca="1" si="49"/>
        <v>#N/A</v>
      </c>
    </row>
    <row r="262" spans="1:3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3"/>
      <c r="O262" s="32">
        <f t="shared" si="43"/>
        <v>0</v>
      </c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15">
        <f t="shared" si="44"/>
        <v>0</v>
      </c>
      <c r="AA262" s="15">
        <f>SUM(Z$3:Z262)</f>
        <v>257</v>
      </c>
      <c r="AB262" s="37">
        <f t="shared" si="45"/>
        <v>620</v>
      </c>
      <c r="AC262" s="37">
        <f>COUNTIF(AB$3:AB262,AB262)</f>
        <v>3</v>
      </c>
      <c r="AD262" s="15" t="e">
        <f t="shared" ca="1" si="40"/>
        <v>#N/A</v>
      </c>
      <c r="AE262" s="37" t="e">
        <f t="shared" ca="1" si="46"/>
        <v>#VALUE!</v>
      </c>
      <c r="AF262" s="15" t="str">
        <f t="shared" ca="1" si="41"/>
        <v>无</v>
      </c>
      <c r="AG262" s="15" t="e">
        <f t="shared" ca="1" si="47"/>
        <v>#N/A</v>
      </c>
      <c r="AH262" s="15" t="str">
        <f t="shared" ca="1" si="48"/>
        <v>{0}</v>
      </c>
      <c r="AI262" s="15" t="e">
        <f t="shared" ca="1" si="42"/>
        <v>#N/A</v>
      </c>
      <c r="AJ262" s="26" t="e">
        <f t="shared" ca="1" si="49"/>
        <v>#N/A</v>
      </c>
    </row>
    <row r="263" spans="1:3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3"/>
      <c r="O263" s="32">
        <f t="shared" si="43"/>
        <v>0</v>
      </c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15">
        <f t="shared" si="44"/>
        <v>0</v>
      </c>
      <c r="AA263" s="15">
        <f>SUM(Z$3:Z263)</f>
        <v>257</v>
      </c>
      <c r="AB263" s="37">
        <f t="shared" si="45"/>
        <v>620</v>
      </c>
      <c r="AC263" s="37">
        <f>COUNTIF(AB$3:AB263,AB263)</f>
        <v>4</v>
      </c>
      <c r="AD263" s="15" t="e">
        <f t="shared" ca="1" si="40"/>
        <v>#N/A</v>
      </c>
      <c r="AE263" s="37" t="e">
        <f t="shared" ca="1" si="46"/>
        <v>#VALUE!</v>
      </c>
      <c r="AF263" s="15" t="str">
        <f t="shared" ca="1" si="41"/>
        <v>无</v>
      </c>
      <c r="AG263" s="15" t="e">
        <f t="shared" ca="1" si="47"/>
        <v>#N/A</v>
      </c>
      <c r="AH263" s="15" t="str">
        <f t="shared" ca="1" si="48"/>
        <v>{0}</v>
      </c>
      <c r="AI263" s="15" t="e">
        <f t="shared" ca="1" si="42"/>
        <v>#N/A</v>
      </c>
      <c r="AJ263" s="26" t="e">
        <f t="shared" ca="1" si="49"/>
        <v>#N/A</v>
      </c>
    </row>
    <row r="264" spans="1:3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3"/>
      <c r="O264" s="32">
        <f t="shared" si="43"/>
        <v>0</v>
      </c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15">
        <f t="shared" si="44"/>
        <v>0</v>
      </c>
      <c r="AA264" s="15">
        <f>SUM(Z$3:Z264)</f>
        <v>257</v>
      </c>
      <c r="AB264" s="37">
        <f t="shared" si="45"/>
        <v>620</v>
      </c>
      <c r="AC264" s="37">
        <f>COUNTIF(AB$3:AB264,AB264)</f>
        <v>5</v>
      </c>
      <c r="AD264" s="15" t="e">
        <f t="shared" ca="1" si="40"/>
        <v>#N/A</v>
      </c>
      <c r="AE264" s="37" t="e">
        <f t="shared" ca="1" si="46"/>
        <v>#VALUE!</v>
      </c>
      <c r="AF264" s="15" t="str">
        <f t="shared" ca="1" si="41"/>
        <v>无</v>
      </c>
      <c r="AG264" s="15" t="e">
        <f t="shared" ca="1" si="47"/>
        <v>#N/A</v>
      </c>
      <c r="AH264" s="15" t="str">
        <f t="shared" ca="1" si="48"/>
        <v>{0}</v>
      </c>
      <c r="AI264" s="15" t="e">
        <f t="shared" ca="1" si="42"/>
        <v>#N/A</v>
      </c>
      <c r="AJ264" s="26" t="e">
        <f t="shared" ca="1" si="49"/>
        <v>#N/A</v>
      </c>
    </row>
    <row r="265" spans="1:3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3"/>
      <c r="O265" s="32">
        <f t="shared" si="43"/>
        <v>0</v>
      </c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15">
        <f t="shared" si="44"/>
        <v>0</v>
      </c>
      <c r="AA265" s="15">
        <f>SUM(Z$3:Z265)</f>
        <v>257</v>
      </c>
      <c r="AB265" s="37">
        <f t="shared" si="45"/>
        <v>620</v>
      </c>
      <c r="AC265" s="37">
        <f>COUNTIF(AB$3:AB265,AB265)</f>
        <v>6</v>
      </c>
      <c r="AD265" s="15" t="e">
        <f t="shared" ca="1" si="40"/>
        <v>#N/A</v>
      </c>
      <c r="AE265" s="37" t="e">
        <f t="shared" ca="1" si="46"/>
        <v>#VALUE!</v>
      </c>
      <c r="AF265" s="15" t="str">
        <f t="shared" ca="1" si="41"/>
        <v>无</v>
      </c>
      <c r="AG265" s="15" t="e">
        <f t="shared" ca="1" si="47"/>
        <v>#N/A</v>
      </c>
      <c r="AH265" s="15" t="str">
        <f t="shared" ca="1" si="48"/>
        <v>{0}</v>
      </c>
      <c r="AI265" s="15" t="e">
        <f t="shared" ca="1" si="42"/>
        <v>#N/A</v>
      </c>
      <c r="AJ265" s="26" t="e">
        <f t="shared" ca="1" si="49"/>
        <v>#N/A</v>
      </c>
    </row>
    <row r="266" spans="1:3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3"/>
      <c r="O266" s="32">
        <f t="shared" si="43"/>
        <v>0</v>
      </c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15">
        <f t="shared" si="44"/>
        <v>0</v>
      </c>
      <c r="AA266" s="15">
        <f>SUM(Z$3:Z266)</f>
        <v>257</v>
      </c>
      <c r="AB266" s="37">
        <f t="shared" si="45"/>
        <v>620</v>
      </c>
      <c r="AC266" s="37">
        <f>COUNTIF(AB$3:AB266,AB266)</f>
        <v>7</v>
      </c>
      <c r="AD266" s="15" t="e">
        <f t="shared" ca="1" si="40"/>
        <v>#N/A</v>
      </c>
      <c r="AE266" s="37" t="e">
        <f t="shared" ca="1" si="46"/>
        <v>#VALUE!</v>
      </c>
      <c r="AF266" s="15" t="str">
        <f t="shared" ca="1" si="41"/>
        <v>无</v>
      </c>
      <c r="AG266" s="15" t="e">
        <f t="shared" ca="1" si="47"/>
        <v>#N/A</v>
      </c>
      <c r="AH266" s="15" t="str">
        <f t="shared" ca="1" si="48"/>
        <v>{0}</v>
      </c>
      <c r="AI266" s="15" t="e">
        <f t="shared" ca="1" si="42"/>
        <v>#N/A</v>
      </c>
      <c r="AJ266" s="26" t="e">
        <f t="shared" ca="1" si="49"/>
        <v>#N/A</v>
      </c>
    </row>
    <row r="267" spans="1:3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3"/>
      <c r="O267" s="32">
        <f t="shared" si="43"/>
        <v>0</v>
      </c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15">
        <f t="shared" si="44"/>
        <v>0</v>
      </c>
      <c r="AA267" s="15">
        <f>SUM(Z$3:Z267)</f>
        <v>257</v>
      </c>
      <c r="AB267" s="37">
        <f t="shared" si="45"/>
        <v>620</v>
      </c>
      <c r="AC267" s="37">
        <f>COUNTIF(AB$3:AB267,AB267)</f>
        <v>8</v>
      </c>
      <c r="AD267" s="15" t="e">
        <f t="shared" ca="1" si="40"/>
        <v>#N/A</v>
      </c>
      <c r="AE267" s="37" t="e">
        <f t="shared" ca="1" si="46"/>
        <v>#VALUE!</v>
      </c>
      <c r="AF267" s="15" t="str">
        <f t="shared" ca="1" si="41"/>
        <v>无</v>
      </c>
      <c r="AG267" s="15" t="e">
        <f t="shared" ca="1" si="47"/>
        <v>#N/A</v>
      </c>
      <c r="AH267" s="15" t="str">
        <f t="shared" ca="1" si="48"/>
        <v>{0}</v>
      </c>
      <c r="AI267" s="15" t="e">
        <f t="shared" ca="1" si="42"/>
        <v>#N/A</v>
      </c>
      <c r="AJ267" s="26" t="e">
        <f t="shared" ca="1" si="49"/>
        <v>#N/A</v>
      </c>
    </row>
    <row r="268" spans="1:3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3"/>
      <c r="O268" s="32">
        <f t="shared" si="43"/>
        <v>0</v>
      </c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15">
        <f t="shared" si="44"/>
        <v>0</v>
      </c>
      <c r="AA268" s="15">
        <f>SUM(Z$3:Z268)</f>
        <v>257</v>
      </c>
      <c r="AB268" s="37">
        <f t="shared" si="45"/>
        <v>620</v>
      </c>
      <c r="AC268" s="37">
        <f>COUNTIF(AB$3:AB268,AB268)</f>
        <v>9</v>
      </c>
      <c r="AD268" s="15" t="e">
        <f t="shared" ca="1" si="40"/>
        <v>#N/A</v>
      </c>
      <c r="AE268" s="37" t="e">
        <f t="shared" ca="1" si="46"/>
        <v>#VALUE!</v>
      </c>
      <c r="AF268" s="15" t="str">
        <f t="shared" ca="1" si="41"/>
        <v>无</v>
      </c>
      <c r="AG268" s="15" t="e">
        <f t="shared" ca="1" si="47"/>
        <v>#N/A</v>
      </c>
      <c r="AH268" s="15" t="str">
        <f t="shared" ca="1" si="48"/>
        <v>{0}</v>
      </c>
      <c r="AI268" s="15" t="e">
        <f t="shared" ca="1" si="42"/>
        <v>#N/A</v>
      </c>
      <c r="AJ268" s="26" t="e">
        <f t="shared" ca="1" si="49"/>
        <v>#N/A</v>
      </c>
    </row>
    <row r="269" spans="1:3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3"/>
      <c r="O269" s="32">
        <f t="shared" si="43"/>
        <v>0</v>
      </c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15">
        <f t="shared" si="44"/>
        <v>0</v>
      </c>
      <c r="AA269" s="15">
        <f>SUM(Z$3:Z269)</f>
        <v>257</v>
      </c>
      <c r="AB269" s="37">
        <f t="shared" si="45"/>
        <v>620</v>
      </c>
      <c r="AC269" s="37">
        <f>COUNTIF(AB$3:AB269,AB269)</f>
        <v>10</v>
      </c>
      <c r="AD269" s="15" t="e">
        <f t="shared" ca="1" si="40"/>
        <v>#N/A</v>
      </c>
      <c r="AE269" s="37" t="e">
        <f t="shared" ca="1" si="46"/>
        <v>#VALUE!</v>
      </c>
      <c r="AF269" s="15" t="str">
        <f t="shared" ca="1" si="41"/>
        <v>无</v>
      </c>
      <c r="AG269" s="15" t="e">
        <f t="shared" ca="1" si="47"/>
        <v>#N/A</v>
      </c>
      <c r="AH269" s="15" t="str">
        <f t="shared" ca="1" si="48"/>
        <v>{0}</v>
      </c>
      <c r="AI269" s="15" t="e">
        <f t="shared" ca="1" si="42"/>
        <v>#N/A</v>
      </c>
      <c r="AJ269" s="26" t="e">
        <f t="shared" ca="1" si="49"/>
        <v>#N/A</v>
      </c>
    </row>
    <row r="270" spans="1:3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3"/>
      <c r="O270" s="32">
        <f t="shared" si="43"/>
        <v>0</v>
      </c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15">
        <f t="shared" si="44"/>
        <v>0</v>
      </c>
      <c r="AA270" s="15">
        <f>SUM(Z$3:Z270)</f>
        <v>257</v>
      </c>
      <c r="AB270" s="37">
        <f t="shared" si="45"/>
        <v>620</v>
      </c>
      <c r="AC270" s="37">
        <f>COUNTIF(AB$3:AB270,AB270)</f>
        <v>11</v>
      </c>
      <c r="AD270" s="15" t="e">
        <f t="shared" ca="1" si="40"/>
        <v>#N/A</v>
      </c>
      <c r="AE270" s="37" t="e">
        <f t="shared" ca="1" si="46"/>
        <v>#VALUE!</v>
      </c>
      <c r="AF270" s="15" t="str">
        <f t="shared" ca="1" si="41"/>
        <v>无</v>
      </c>
      <c r="AG270" s="15" t="e">
        <f t="shared" ca="1" si="47"/>
        <v>#N/A</v>
      </c>
      <c r="AH270" s="15" t="str">
        <f t="shared" ca="1" si="48"/>
        <v>{0}</v>
      </c>
      <c r="AI270" s="15" t="e">
        <f t="shared" ca="1" si="42"/>
        <v>#N/A</v>
      </c>
      <c r="AJ270" s="26" t="e">
        <f t="shared" ca="1" si="49"/>
        <v>#N/A</v>
      </c>
    </row>
    <row r="271" spans="1:3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3"/>
      <c r="O271" s="32">
        <f t="shared" si="43"/>
        <v>0</v>
      </c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15">
        <f t="shared" si="44"/>
        <v>0</v>
      </c>
      <c r="AA271" s="15">
        <f>SUM(Z$3:Z271)</f>
        <v>257</v>
      </c>
      <c r="AB271" s="37">
        <f t="shared" si="45"/>
        <v>620</v>
      </c>
      <c r="AC271" s="37">
        <f>COUNTIF(AB$3:AB271,AB271)</f>
        <v>12</v>
      </c>
      <c r="AD271" s="15" t="e">
        <f t="shared" ca="1" si="40"/>
        <v>#N/A</v>
      </c>
      <c r="AE271" s="37" t="e">
        <f t="shared" ca="1" si="46"/>
        <v>#VALUE!</v>
      </c>
      <c r="AF271" s="15" t="str">
        <f t="shared" ca="1" si="41"/>
        <v>无</v>
      </c>
      <c r="AG271" s="15" t="e">
        <f t="shared" ca="1" si="47"/>
        <v>#N/A</v>
      </c>
      <c r="AH271" s="15" t="str">
        <f t="shared" ca="1" si="48"/>
        <v>{0}</v>
      </c>
      <c r="AI271" s="15" t="e">
        <f t="shared" ca="1" si="42"/>
        <v>#N/A</v>
      </c>
      <c r="AJ271" s="26" t="e">
        <f t="shared" ca="1" si="49"/>
        <v>#N/A</v>
      </c>
    </row>
    <row r="272" spans="1:3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3"/>
      <c r="O272" s="32">
        <f t="shared" si="43"/>
        <v>0</v>
      </c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15">
        <f t="shared" si="44"/>
        <v>0</v>
      </c>
      <c r="AA272" s="15">
        <f>SUM(Z$3:Z272)</f>
        <v>257</v>
      </c>
      <c r="AB272" s="37">
        <f t="shared" si="45"/>
        <v>620</v>
      </c>
      <c r="AC272" s="37">
        <f>COUNTIF(AB$3:AB272,AB272)</f>
        <v>13</v>
      </c>
      <c r="AD272" s="15" t="e">
        <f t="shared" ca="1" si="40"/>
        <v>#N/A</v>
      </c>
      <c r="AE272" s="37" t="e">
        <f t="shared" ca="1" si="46"/>
        <v>#VALUE!</v>
      </c>
      <c r="AF272" s="15" t="str">
        <f t="shared" ca="1" si="41"/>
        <v>无</v>
      </c>
      <c r="AG272" s="15" t="e">
        <f t="shared" ca="1" si="47"/>
        <v>#N/A</v>
      </c>
      <c r="AH272" s="15" t="str">
        <f t="shared" ca="1" si="48"/>
        <v>{0}</v>
      </c>
      <c r="AI272" s="15" t="e">
        <f t="shared" ca="1" si="42"/>
        <v>#N/A</v>
      </c>
      <c r="AJ272" s="26" t="e">
        <f t="shared" ca="1" si="49"/>
        <v>#N/A</v>
      </c>
    </row>
    <row r="273" spans="1:3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3"/>
      <c r="O273" s="32">
        <f t="shared" si="43"/>
        <v>0</v>
      </c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15">
        <f t="shared" si="44"/>
        <v>0</v>
      </c>
      <c r="AA273" s="15">
        <f>SUM(Z$3:Z273)</f>
        <v>257</v>
      </c>
      <c r="AB273" s="37">
        <f t="shared" si="45"/>
        <v>620</v>
      </c>
      <c r="AC273" s="37">
        <f>COUNTIF(AB$3:AB273,AB273)</f>
        <v>14</v>
      </c>
      <c r="AD273" s="15" t="e">
        <f t="shared" ca="1" si="40"/>
        <v>#N/A</v>
      </c>
      <c r="AE273" s="37" t="e">
        <f t="shared" ca="1" si="46"/>
        <v>#VALUE!</v>
      </c>
      <c r="AF273" s="15" t="str">
        <f t="shared" ca="1" si="41"/>
        <v>无</v>
      </c>
      <c r="AG273" s="15" t="e">
        <f t="shared" ca="1" si="47"/>
        <v>#N/A</v>
      </c>
      <c r="AH273" s="15" t="str">
        <f t="shared" ca="1" si="48"/>
        <v>{0}</v>
      </c>
      <c r="AI273" s="15" t="e">
        <f t="shared" ca="1" si="42"/>
        <v>#N/A</v>
      </c>
      <c r="AJ273" s="26" t="e">
        <f t="shared" ca="1" si="49"/>
        <v>#N/A</v>
      </c>
    </row>
    <row r="274" spans="1:3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3"/>
      <c r="O274" s="32">
        <f t="shared" si="43"/>
        <v>0</v>
      </c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15">
        <f t="shared" si="44"/>
        <v>0</v>
      </c>
      <c r="AA274" s="15">
        <f>SUM(Z$3:Z274)</f>
        <v>257</v>
      </c>
      <c r="AB274" s="37">
        <f t="shared" si="45"/>
        <v>620</v>
      </c>
      <c r="AC274" s="37">
        <f>COUNTIF(AB$3:AB274,AB274)</f>
        <v>15</v>
      </c>
      <c r="AD274" s="15" t="e">
        <f t="shared" ca="1" si="40"/>
        <v>#N/A</v>
      </c>
      <c r="AE274" s="37" t="e">
        <f t="shared" ca="1" si="46"/>
        <v>#VALUE!</v>
      </c>
      <c r="AF274" s="15" t="str">
        <f t="shared" ca="1" si="41"/>
        <v>无</v>
      </c>
      <c r="AG274" s="15" t="e">
        <f t="shared" ca="1" si="47"/>
        <v>#N/A</v>
      </c>
      <c r="AH274" s="15" t="str">
        <f t="shared" ca="1" si="48"/>
        <v>{0}</v>
      </c>
      <c r="AI274" s="15" t="e">
        <f t="shared" ca="1" si="42"/>
        <v>#N/A</v>
      </c>
      <c r="AJ274" s="26" t="e">
        <f t="shared" ca="1" si="49"/>
        <v>#N/A</v>
      </c>
    </row>
    <row r="275" spans="1:3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3"/>
      <c r="O275" s="32">
        <f t="shared" si="43"/>
        <v>0</v>
      </c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15">
        <f t="shared" si="44"/>
        <v>0</v>
      </c>
      <c r="AA275" s="15">
        <f>SUM(Z$3:Z275)</f>
        <v>257</v>
      </c>
      <c r="AB275" s="37">
        <f t="shared" si="45"/>
        <v>620</v>
      </c>
      <c r="AC275" s="37">
        <f>COUNTIF(AB$3:AB275,AB275)</f>
        <v>16</v>
      </c>
      <c r="AD275" s="15" t="e">
        <f t="shared" ca="1" si="40"/>
        <v>#N/A</v>
      </c>
      <c r="AE275" s="37" t="e">
        <f t="shared" ca="1" si="46"/>
        <v>#VALUE!</v>
      </c>
      <c r="AF275" s="15" t="str">
        <f t="shared" ca="1" si="41"/>
        <v>无</v>
      </c>
      <c r="AG275" s="15" t="e">
        <f t="shared" ca="1" si="47"/>
        <v>#N/A</v>
      </c>
      <c r="AH275" s="15" t="str">
        <f t="shared" ca="1" si="48"/>
        <v>{0}</v>
      </c>
      <c r="AI275" s="15" t="e">
        <f t="shared" ca="1" si="42"/>
        <v>#N/A</v>
      </c>
      <c r="AJ275" s="26" t="e">
        <f t="shared" ca="1" si="49"/>
        <v>#N/A</v>
      </c>
    </row>
    <row r="276" spans="1:3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3"/>
      <c r="O276" s="32">
        <f t="shared" si="43"/>
        <v>0</v>
      </c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15">
        <f t="shared" si="44"/>
        <v>0</v>
      </c>
      <c r="AA276" s="15">
        <f>SUM(Z$3:Z276)</f>
        <v>257</v>
      </c>
      <c r="AB276" s="37">
        <f t="shared" si="45"/>
        <v>620</v>
      </c>
      <c r="AC276" s="37">
        <f>COUNTIF(AB$3:AB276,AB276)</f>
        <v>17</v>
      </c>
      <c r="AD276" s="15" t="e">
        <f t="shared" ca="1" si="40"/>
        <v>#N/A</v>
      </c>
      <c r="AE276" s="37" t="e">
        <f t="shared" ca="1" si="46"/>
        <v>#VALUE!</v>
      </c>
      <c r="AF276" s="15" t="str">
        <f t="shared" ca="1" si="41"/>
        <v>无</v>
      </c>
      <c r="AG276" s="15" t="e">
        <f t="shared" ca="1" si="47"/>
        <v>#N/A</v>
      </c>
      <c r="AH276" s="15" t="str">
        <f t="shared" ca="1" si="48"/>
        <v>{0}</v>
      </c>
      <c r="AI276" s="15" t="e">
        <f t="shared" ca="1" si="42"/>
        <v>#N/A</v>
      </c>
      <c r="AJ276" s="26" t="e">
        <f t="shared" ca="1" si="49"/>
        <v>#N/A</v>
      </c>
    </row>
    <row r="277" spans="1:3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3"/>
      <c r="O277" s="32">
        <f t="shared" si="43"/>
        <v>0</v>
      </c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15">
        <f t="shared" si="44"/>
        <v>0</v>
      </c>
      <c r="AA277" s="15">
        <f>SUM(Z$3:Z277)</f>
        <v>257</v>
      </c>
      <c r="AB277" s="37">
        <f t="shared" si="45"/>
        <v>620</v>
      </c>
      <c r="AC277" s="37">
        <f>COUNTIF(AB$3:AB277,AB277)</f>
        <v>18</v>
      </c>
      <c r="AD277" s="15" t="e">
        <f t="shared" ca="1" si="40"/>
        <v>#N/A</v>
      </c>
      <c r="AE277" s="37" t="e">
        <f t="shared" ca="1" si="46"/>
        <v>#VALUE!</v>
      </c>
      <c r="AF277" s="15" t="str">
        <f t="shared" ca="1" si="41"/>
        <v>无</v>
      </c>
      <c r="AG277" s="15" t="e">
        <f t="shared" ca="1" si="47"/>
        <v>#N/A</v>
      </c>
      <c r="AH277" s="15" t="str">
        <f t="shared" ca="1" si="48"/>
        <v>{0}</v>
      </c>
      <c r="AI277" s="15" t="e">
        <f t="shared" ca="1" si="42"/>
        <v>#N/A</v>
      </c>
      <c r="AJ277" s="26" t="e">
        <f t="shared" ca="1" si="49"/>
        <v>#N/A</v>
      </c>
    </row>
    <row r="278" spans="1:3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3"/>
      <c r="O278" s="32">
        <f t="shared" si="43"/>
        <v>0</v>
      </c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15">
        <f t="shared" si="44"/>
        <v>0</v>
      </c>
      <c r="AA278" s="15">
        <f>SUM(Z$3:Z278)</f>
        <v>257</v>
      </c>
      <c r="AB278" s="37">
        <f t="shared" si="45"/>
        <v>620</v>
      </c>
      <c r="AC278" s="37">
        <f>COUNTIF(AB$3:AB278,AB278)</f>
        <v>19</v>
      </c>
      <c r="AD278" s="15" t="e">
        <f t="shared" ca="1" si="40"/>
        <v>#N/A</v>
      </c>
      <c r="AE278" s="37" t="e">
        <f t="shared" ca="1" si="46"/>
        <v>#VALUE!</v>
      </c>
      <c r="AF278" s="15" t="str">
        <f t="shared" ca="1" si="41"/>
        <v>无</v>
      </c>
      <c r="AG278" s="15" t="e">
        <f t="shared" ca="1" si="47"/>
        <v>#N/A</v>
      </c>
      <c r="AH278" s="15" t="str">
        <f t="shared" ca="1" si="48"/>
        <v>{0}</v>
      </c>
      <c r="AI278" s="15" t="e">
        <f t="shared" ca="1" si="42"/>
        <v>#N/A</v>
      </c>
      <c r="AJ278" s="26" t="e">
        <f t="shared" ca="1" si="49"/>
        <v>#N/A</v>
      </c>
    </row>
    <row r="279" spans="1:3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3"/>
      <c r="O279" s="32">
        <f t="shared" si="43"/>
        <v>0</v>
      </c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15">
        <f t="shared" si="44"/>
        <v>0</v>
      </c>
      <c r="AA279" s="15">
        <f>SUM(Z$3:Z279)</f>
        <v>257</v>
      </c>
      <c r="AB279" s="37">
        <f t="shared" si="45"/>
        <v>620</v>
      </c>
      <c r="AC279" s="37">
        <f>COUNTIF(AB$3:AB279,AB279)</f>
        <v>20</v>
      </c>
      <c r="AD279" s="15" t="e">
        <f t="shared" ca="1" si="40"/>
        <v>#N/A</v>
      </c>
      <c r="AE279" s="37" t="e">
        <f t="shared" ca="1" si="46"/>
        <v>#VALUE!</v>
      </c>
      <c r="AF279" s="15" t="str">
        <f t="shared" ca="1" si="41"/>
        <v>无</v>
      </c>
      <c r="AG279" s="15" t="e">
        <f t="shared" ca="1" si="47"/>
        <v>#N/A</v>
      </c>
      <c r="AH279" s="15" t="str">
        <f t="shared" ca="1" si="48"/>
        <v>{0}</v>
      </c>
      <c r="AI279" s="15" t="e">
        <f t="shared" ca="1" si="42"/>
        <v>#N/A</v>
      </c>
      <c r="AJ279" s="26" t="e">
        <f t="shared" ca="1" si="49"/>
        <v>#N/A</v>
      </c>
    </row>
    <row r="280" spans="1:3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3"/>
      <c r="O280" s="32">
        <f t="shared" si="43"/>
        <v>0</v>
      </c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15">
        <f t="shared" si="44"/>
        <v>0</v>
      </c>
      <c r="AA280" s="15">
        <f>SUM(Z$3:Z280)</f>
        <v>257</v>
      </c>
      <c r="AB280" s="37">
        <f t="shared" si="45"/>
        <v>620</v>
      </c>
      <c r="AC280" s="37">
        <f>COUNTIF(AB$3:AB280,AB280)</f>
        <v>21</v>
      </c>
      <c r="AD280" s="15" t="e">
        <f t="shared" ca="1" si="40"/>
        <v>#N/A</v>
      </c>
      <c r="AE280" s="37" t="e">
        <f t="shared" ca="1" si="46"/>
        <v>#VALUE!</v>
      </c>
      <c r="AF280" s="15" t="str">
        <f t="shared" ca="1" si="41"/>
        <v>无</v>
      </c>
      <c r="AG280" s="15" t="e">
        <f t="shared" ca="1" si="47"/>
        <v>#N/A</v>
      </c>
      <c r="AH280" s="15" t="str">
        <f t="shared" ca="1" si="48"/>
        <v>{0}</v>
      </c>
      <c r="AI280" s="15" t="e">
        <f t="shared" ca="1" si="42"/>
        <v>#N/A</v>
      </c>
      <c r="AJ280" s="26" t="e">
        <f t="shared" ca="1" si="49"/>
        <v>#N/A</v>
      </c>
    </row>
    <row r="281" spans="1:3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3"/>
      <c r="O281" s="32">
        <f t="shared" si="43"/>
        <v>0</v>
      </c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15">
        <f t="shared" si="44"/>
        <v>0</v>
      </c>
      <c r="AA281" s="15">
        <f>SUM(Z$3:Z281)</f>
        <v>257</v>
      </c>
      <c r="AB281" s="37">
        <f t="shared" si="45"/>
        <v>620</v>
      </c>
      <c r="AC281" s="37">
        <f>COUNTIF(AB$3:AB281,AB281)</f>
        <v>22</v>
      </c>
      <c r="AD281" s="15" t="e">
        <f t="shared" ca="1" si="40"/>
        <v>#N/A</v>
      </c>
      <c r="AE281" s="37" t="e">
        <f t="shared" ca="1" si="46"/>
        <v>#VALUE!</v>
      </c>
      <c r="AF281" s="15" t="str">
        <f t="shared" ca="1" si="41"/>
        <v>无</v>
      </c>
      <c r="AG281" s="15" t="e">
        <f t="shared" ca="1" si="47"/>
        <v>#N/A</v>
      </c>
      <c r="AH281" s="15" t="str">
        <f t="shared" ca="1" si="48"/>
        <v>{0}</v>
      </c>
      <c r="AI281" s="15" t="e">
        <f t="shared" ca="1" si="42"/>
        <v>#N/A</v>
      </c>
      <c r="AJ281" s="26" t="e">
        <f t="shared" ca="1" si="49"/>
        <v>#N/A</v>
      </c>
    </row>
    <row r="282" spans="1:3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3"/>
      <c r="O282" s="32">
        <f t="shared" si="43"/>
        <v>0</v>
      </c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15">
        <f t="shared" si="44"/>
        <v>0</v>
      </c>
      <c r="AA282" s="15">
        <f>SUM(Z$3:Z282)</f>
        <v>257</v>
      </c>
      <c r="AB282" s="37">
        <f t="shared" si="45"/>
        <v>620</v>
      </c>
      <c r="AC282" s="37">
        <f>COUNTIF(AB$3:AB282,AB282)</f>
        <v>23</v>
      </c>
      <c r="AD282" s="15" t="e">
        <f t="shared" ca="1" si="40"/>
        <v>#N/A</v>
      </c>
      <c r="AE282" s="37" t="e">
        <f t="shared" ca="1" si="46"/>
        <v>#VALUE!</v>
      </c>
      <c r="AF282" s="15" t="str">
        <f t="shared" ca="1" si="41"/>
        <v>无</v>
      </c>
      <c r="AG282" s="15" t="e">
        <f t="shared" ca="1" si="47"/>
        <v>#N/A</v>
      </c>
      <c r="AH282" s="15" t="str">
        <f t="shared" ca="1" si="48"/>
        <v>{0}</v>
      </c>
      <c r="AI282" s="15" t="e">
        <f t="shared" ca="1" si="42"/>
        <v>#N/A</v>
      </c>
      <c r="AJ282" s="26" t="e">
        <f t="shared" ca="1" si="49"/>
        <v>#N/A</v>
      </c>
    </row>
    <row r="283" spans="1:3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3"/>
      <c r="O283" s="32">
        <f t="shared" si="43"/>
        <v>0</v>
      </c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15">
        <f t="shared" si="44"/>
        <v>0</v>
      </c>
      <c r="AA283" s="15">
        <f>SUM(Z$3:Z283)</f>
        <v>257</v>
      </c>
      <c r="AB283" s="37">
        <f t="shared" si="45"/>
        <v>620</v>
      </c>
      <c r="AC283" s="37">
        <f>COUNTIF(AB$3:AB283,AB283)</f>
        <v>24</v>
      </c>
      <c r="AD283" s="15" t="e">
        <f t="shared" ca="1" si="40"/>
        <v>#N/A</v>
      </c>
      <c r="AE283" s="37" t="e">
        <f t="shared" ca="1" si="46"/>
        <v>#VALUE!</v>
      </c>
      <c r="AF283" s="15" t="str">
        <f t="shared" ca="1" si="41"/>
        <v>无</v>
      </c>
      <c r="AG283" s="15" t="e">
        <f t="shared" ca="1" si="47"/>
        <v>#N/A</v>
      </c>
      <c r="AH283" s="15" t="str">
        <f t="shared" ca="1" si="48"/>
        <v>{0}</v>
      </c>
      <c r="AI283" s="15" t="e">
        <f t="shared" ca="1" si="42"/>
        <v>#N/A</v>
      </c>
      <c r="AJ283" s="26" t="e">
        <f t="shared" ca="1" si="49"/>
        <v>#N/A</v>
      </c>
    </row>
    <row r="284" spans="1:3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3"/>
      <c r="O284" s="32">
        <f t="shared" si="43"/>
        <v>0</v>
      </c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15">
        <f t="shared" si="44"/>
        <v>0</v>
      </c>
      <c r="AA284" s="15">
        <f>SUM(Z$3:Z284)</f>
        <v>257</v>
      </c>
      <c r="AB284" s="37">
        <f t="shared" si="45"/>
        <v>620</v>
      </c>
      <c r="AC284" s="37">
        <f>COUNTIF(AB$3:AB284,AB284)</f>
        <v>25</v>
      </c>
      <c r="AD284" s="15" t="e">
        <f t="shared" ca="1" si="40"/>
        <v>#N/A</v>
      </c>
      <c r="AE284" s="37" t="e">
        <f t="shared" ca="1" si="46"/>
        <v>#VALUE!</v>
      </c>
      <c r="AF284" s="15" t="str">
        <f t="shared" ca="1" si="41"/>
        <v>无</v>
      </c>
      <c r="AG284" s="15" t="e">
        <f t="shared" ca="1" si="47"/>
        <v>#N/A</v>
      </c>
      <c r="AH284" s="15" t="str">
        <f t="shared" ca="1" si="48"/>
        <v>{0}</v>
      </c>
      <c r="AI284" s="15" t="e">
        <f t="shared" ca="1" si="42"/>
        <v>#N/A</v>
      </c>
      <c r="AJ284" s="26" t="e">
        <f t="shared" ca="1" si="49"/>
        <v>#N/A</v>
      </c>
    </row>
    <row r="285" spans="1:3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3"/>
      <c r="O285" s="32">
        <f t="shared" si="43"/>
        <v>0</v>
      </c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15">
        <f t="shared" si="44"/>
        <v>0</v>
      </c>
      <c r="AA285" s="15">
        <f>SUM(Z$3:Z285)</f>
        <v>257</v>
      </c>
      <c r="AB285" s="37">
        <f t="shared" si="45"/>
        <v>620</v>
      </c>
      <c r="AC285" s="37">
        <f>COUNTIF(AB$3:AB285,AB285)</f>
        <v>26</v>
      </c>
      <c r="AD285" s="15" t="e">
        <f t="shared" ca="1" si="40"/>
        <v>#N/A</v>
      </c>
      <c r="AE285" s="37" t="e">
        <f t="shared" ca="1" si="46"/>
        <v>#VALUE!</v>
      </c>
      <c r="AF285" s="15" t="str">
        <f t="shared" ca="1" si="41"/>
        <v>无</v>
      </c>
      <c r="AG285" s="15" t="e">
        <f t="shared" ca="1" si="47"/>
        <v>#N/A</v>
      </c>
      <c r="AH285" s="15" t="str">
        <f t="shared" ca="1" si="48"/>
        <v>{0}</v>
      </c>
      <c r="AI285" s="15" t="e">
        <f t="shared" ca="1" si="42"/>
        <v>#N/A</v>
      </c>
      <c r="AJ285" s="26" t="e">
        <f t="shared" ca="1" si="49"/>
        <v>#N/A</v>
      </c>
    </row>
    <row r="286" spans="1:3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3"/>
      <c r="O286" s="32">
        <f t="shared" si="43"/>
        <v>0</v>
      </c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15">
        <f t="shared" si="44"/>
        <v>0</v>
      </c>
      <c r="AA286" s="15">
        <f>SUM(Z$3:Z286)</f>
        <v>257</v>
      </c>
      <c r="AB286" s="37">
        <f t="shared" si="45"/>
        <v>620</v>
      </c>
      <c r="AC286" s="37">
        <f>COUNTIF(AB$3:AB286,AB286)</f>
        <v>27</v>
      </c>
      <c r="AD286" s="15" t="e">
        <f t="shared" ca="1" si="40"/>
        <v>#N/A</v>
      </c>
      <c r="AE286" s="37" t="e">
        <f t="shared" ca="1" si="46"/>
        <v>#VALUE!</v>
      </c>
      <c r="AF286" s="15" t="str">
        <f t="shared" ca="1" si="41"/>
        <v>无</v>
      </c>
      <c r="AG286" s="15" t="e">
        <f t="shared" ca="1" si="47"/>
        <v>#N/A</v>
      </c>
      <c r="AH286" s="15" t="str">
        <f t="shared" ca="1" si="48"/>
        <v>{0}</v>
      </c>
      <c r="AI286" s="15" t="e">
        <f t="shared" ca="1" si="42"/>
        <v>#N/A</v>
      </c>
      <c r="AJ286" s="26" t="e">
        <f t="shared" ca="1" si="49"/>
        <v>#N/A</v>
      </c>
    </row>
    <row r="287" spans="1:3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3"/>
      <c r="O287" s="32">
        <f t="shared" si="43"/>
        <v>0</v>
      </c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15">
        <f t="shared" si="44"/>
        <v>0</v>
      </c>
      <c r="AA287" s="15">
        <f>SUM(Z$3:Z287)</f>
        <v>257</v>
      </c>
      <c r="AB287" s="37">
        <f t="shared" si="45"/>
        <v>620</v>
      </c>
      <c r="AC287" s="37">
        <f>COUNTIF(AB$3:AB287,AB287)</f>
        <v>28</v>
      </c>
      <c r="AD287" s="15" t="e">
        <f t="shared" ca="1" si="40"/>
        <v>#N/A</v>
      </c>
      <c r="AE287" s="37" t="e">
        <f t="shared" ca="1" si="46"/>
        <v>#VALUE!</v>
      </c>
      <c r="AF287" s="15" t="str">
        <f t="shared" ca="1" si="41"/>
        <v>无</v>
      </c>
      <c r="AG287" s="15" t="e">
        <f t="shared" ca="1" si="47"/>
        <v>#N/A</v>
      </c>
      <c r="AH287" s="15" t="str">
        <f t="shared" ca="1" si="48"/>
        <v>{0}</v>
      </c>
      <c r="AI287" s="15" t="e">
        <f t="shared" ca="1" si="42"/>
        <v>#N/A</v>
      </c>
      <c r="AJ287" s="26" t="e">
        <f t="shared" ca="1" si="49"/>
        <v>#N/A</v>
      </c>
    </row>
    <row r="288" spans="1:3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3"/>
      <c r="O288" s="32">
        <f t="shared" si="43"/>
        <v>0</v>
      </c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15">
        <f t="shared" si="44"/>
        <v>0</v>
      </c>
      <c r="AA288" s="15">
        <f>SUM(Z$3:Z288)</f>
        <v>257</v>
      </c>
      <c r="AB288" s="37">
        <f t="shared" si="45"/>
        <v>620</v>
      </c>
      <c r="AC288" s="37">
        <f>COUNTIF(AB$3:AB288,AB288)</f>
        <v>29</v>
      </c>
      <c r="AD288" s="15" t="e">
        <f t="shared" ca="1" si="40"/>
        <v>#N/A</v>
      </c>
      <c r="AE288" s="37" t="e">
        <f t="shared" ca="1" si="46"/>
        <v>#VALUE!</v>
      </c>
      <c r="AF288" s="15" t="str">
        <f t="shared" ca="1" si="41"/>
        <v>无</v>
      </c>
      <c r="AG288" s="15" t="e">
        <f t="shared" ca="1" si="47"/>
        <v>#N/A</v>
      </c>
      <c r="AH288" s="15" t="str">
        <f t="shared" ca="1" si="48"/>
        <v>{0}</v>
      </c>
      <c r="AI288" s="15" t="e">
        <f t="shared" ca="1" si="42"/>
        <v>#N/A</v>
      </c>
      <c r="AJ288" s="26" t="e">
        <f t="shared" ca="1" si="49"/>
        <v>#N/A</v>
      </c>
    </row>
    <row r="289" spans="1:3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3"/>
      <c r="O289" s="32">
        <f t="shared" si="43"/>
        <v>0</v>
      </c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15">
        <f t="shared" si="44"/>
        <v>0</v>
      </c>
      <c r="AA289" s="15">
        <f>SUM(Z$3:Z289)</f>
        <v>257</v>
      </c>
      <c r="AB289" s="37">
        <f t="shared" si="45"/>
        <v>620</v>
      </c>
      <c r="AC289" s="37">
        <f>COUNTIF(AB$3:AB289,AB289)</f>
        <v>30</v>
      </c>
      <c r="AD289" s="15" t="e">
        <f t="shared" ca="1" si="40"/>
        <v>#N/A</v>
      </c>
      <c r="AE289" s="37" t="e">
        <f t="shared" ca="1" si="46"/>
        <v>#VALUE!</v>
      </c>
      <c r="AF289" s="15" t="str">
        <f t="shared" ca="1" si="41"/>
        <v>无</v>
      </c>
      <c r="AG289" s="15" t="e">
        <f t="shared" ca="1" si="47"/>
        <v>#N/A</v>
      </c>
      <c r="AH289" s="15" t="str">
        <f t="shared" ca="1" si="48"/>
        <v>{0}</v>
      </c>
      <c r="AI289" s="15" t="e">
        <f t="shared" ca="1" si="42"/>
        <v>#N/A</v>
      </c>
      <c r="AJ289" s="26" t="e">
        <f t="shared" ca="1" si="49"/>
        <v>#N/A</v>
      </c>
    </row>
    <row r="290" spans="1:36" x14ac:dyDescent="0.25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3"/>
      <c r="O290" s="32">
        <f t="shared" si="43"/>
        <v>0</v>
      </c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15">
        <f t="shared" si="44"/>
        <v>0</v>
      </c>
      <c r="AA290" s="15">
        <f>SUM(Z$3:Z290)</f>
        <v>257</v>
      </c>
      <c r="AB290" s="37">
        <f t="shared" si="45"/>
        <v>620</v>
      </c>
      <c r="AC290" s="37">
        <f>COUNTIF(AB$3:AB290,AB290)</f>
        <v>31</v>
      </c>
      <c r="AD290" s="15" t="e">
        <f t="shared" ca="1" si="40"/>
        <v>#N/A</v>
      </c>
      <c r="AE290" s="37" t="e">
        <f t="shared" ca="1" si="46"/>
        <v>#VALUE!</v>
      </c>
      <c r="AF290" s="15" t="str">
        <f t="shared" ca="1" si="41"/>
        <v>无</v>
      </c>
      <c r="AG290" s="15" t="e">
        <f t="shared" ca="1" si="47"/>
        <v>#N/A</v>
      </c>
      <c r="AH290" s="15" t="str">
        <f t="shared" ca="1" si="48"/>
        <v>{0}</v>
      </c>
      <c r="AI290" s="15" t="e">
        <f t="shared" ca="1" si="42"/>
        <v>#N/A</v>
      </c>
      <c r="AJ290" s="26" t="e">
        <f t="shared" ca="1" si="49"/>
        <v>#N/A</v>
      </c>
    </row>
    <row r="291" spans="1:36" x14ac:dyDescent="0.25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3"/>
      <c r="O291" s="32">
        <f t="shared" si="43"/>
        <v>0</v>
      </c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15">
        <f t="shared" si="44"/>
        <v>0</v>
      </c>
      <c r="AA291" s="15">
        <f>SUM(Z$3:Z291)</f>
        <v>257</v>
      </c>
      <c r="AB291" s="37">
        <f t="shared" si="45"/>
        <v>620</v>
      </c>
      <c r="AC291" s="37">
        <f>COUNTIF(AB$3:AB291,AB291)</f>
        <v>32</v>
      </c>
      <c r="AD291" s="15" t="e">
        <f t="shared" ca="1" si="40"/>
        <v>#N/A</v>
      </c>
      <c r="AE291" s="37" t="e">
        <f t="shared" ca="1" si="46"/>
        <v>#VALUE!</v>
      </c>
      <c r="AF291" s="15" t="str">
        <f t="shared" ca="1" si="41"/>
        <v>无</v>
      </c>
      <c r="AG291" s="15" t="e">
        <f t="shared" ca="1" si="47"/>
        <v>#N/A</v>
      </c>
      <c r="AH291" s="15" t="str">
        <f t="shared" ca="1" si="48"/>
        <v>{0}</v>
      </c>
      <c r="AI291" s="15" t="e">
        <f t="shared" ca="1" si="42"/>
        <v>#N/A</v>
      </c>
      <c r="AJ291" s="26" t="e">
        <f t="shared" ca="1" si="49"/>
        <v>#N/A</v>
      </c>
    </row>
    <row r="292" spans="1:36" x14ac:dyDescent="0.25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3"/>
      <c r="O292" s="32">
        <f t="shared" si="43"/>
        <v>0</v>
      </c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15">
        <f t="shared" si="44"/>
        <v>0</v>
      </c>
      <c r="AA292" s="15">
        <f>SUM(Z$3:Z292)</f>
        <v>257</v>
      </c>
      <c r="AB292" s="37">
        <f t="shared" si="45"/>
        <v>620</v>
      </c>
      <c r="AC292" s="37">
        <f>COUNTIF(AB$3:AB292,AB292)</f>
        <v>33</v>
      </c>
      <c r="AD292" s="15" t="e">
        <f t="shared" ca="1" si="40"/>
        <v>#N/A</v>
      </c>
      <c r="AE292" s="37" t="e">
        <f t="shared" ca="1" si="46"/>
        <v>#VALUE!</v>
      </c>
      <c r="AF292" s="15" t="str">
        <f t="shared" ca="1" si="41"/>
        <v>无</v>
      </c>
      <c r="AG292" s="15" t="e">
        <f t="shared" ca="1" si="47"/>
        <v>#N/A</v>
      </c>
      <c r="AH292" s="15" t="str">
        <f t="shared" ca="1" si="48"/>
        <v>{0}</v>
      </c>
      <c r="AI292" s="15" t="e">
        <f t="shared" ca="1" si="42"/>
        <v>#N/A</v>
      </c>
      <c r="AJ292" s="26" t="e">
        <f t="shared" ca="1" si="49"/>
        <v>#N/A</v>
      </c>
    </row>
    <row r="293" spans="1:36" x14ac:dyDescent="0.25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3"/>
      <c r="O293" s="32">
        <f t="shared" si="43"/>
        <v>0</v>
      </c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15">
        <f t="shared" si="44"/>
        <v>0</v>
      </c>
      <c r="AA293" s="15">
        <f>SUM(Z$3:Z293)</f>
        <v>257</v>
      </c>
      <c r="AB293" s="37">
        <f t="shared" si="45"/>
        <v>620</v>
      </c>
      <c r="AC293" s="37">
        <f>COUNTIF(AB$3:AB293,AB293)</f>
        <v>34</v>
      </c>
      <c r="AD293" s="15" t="e">
        <f t="shared" ca="1" si="40"/>
        <v>#N/A</v>
      </c>
      <c r="AE293" s="37" t="e">
        <f t="shared" ca="1" si="46"/>
        <v>#VALUE!</v>
      </c>
      <c r="AF293" s="15" t="str">
        <f t="shared" ca="1" si="41"/>
        <v>无</v>
      </c>
      <c r="AG293" s="15" t="e">
        <f t="shared" ca="1" si="47"/>
        <v>#N/A</v>
      </c>
      <c r="AH293" s="15" t="str">
        <f t="shared" ca="1" si="48"/>
        <v>{0}</v>
      </c>
      <c r="AI293" s="15" t="e">
        <f t="shared" ca="1" si="42"/>
        <v>#N/A</v>
      </c>
      <c r="AJ293" s="26" t="e">
        <f t="shared" ca="1" si="49"/>
        <v>#N/A</v>
      </c>
    </row>
    <row r="294" spans="1:36" x14ac:dyDescent="0.25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3"/>
      <c r="O294" s="32">
        <f t="shared" si="43"/>
        <v>0</v>
      </c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15">
        <f t="shared" si="44"/>
        <v>0</v>
      </c>
      <c r="AA294" s="15">
        <f>SUM(Z$3:Z294)</f>
        <v>257</v>
      </c>
      <c r="AB294" s="37">
        <f t="shared" si="45"/>
        <v>620</v>
      </c>
      <c r="AC294" s="37">
        <f>COUNTIF(AB$3:AB294,AB294)</f>
        <v>35</v>
      </c>
      <c r="AD294" s="15" t="e">
        <f t="shared" ca="1" si="40"/>
        <v>#N/A</v>
      </c>
      <c r="AE294" s="37" t="e">
        <f t="shared" ca="1" si="46"/>
        <v>#VALUE!</v>
      </c>
      <c r="AF294" s="15" t="str">
        <f t="shared" ca="1" si="41"/>
        <v>无</v>
      </c>
      <c r="AG294" s="15" t="e">
        <f t="shared" ca="1" si="47"/>
        <v>#N/A</v>
      </c>
      <c r="AH294" s="15" t="str">
        <f t="shared" ca="1" si="48"/>
        <v>{0}</v>
      </c>
      <c r="AI294" s="15" t="e">
        <f t="shared" ca="1" si="42"/>
        <v>#N/A</v>
      </c>
      <c r="AJ294" s="26" t="e">
        <f t="shared" ca="1" si="49"/>
        <v>#N/A</v>
      </c>
    </row>
    <row r="295" spans="1:36" x14ac:dyDescent="0.25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3"/>
      <c r="O295" s="32">
        <f t="shared" si="43"/>
        <v>0</v>
      </c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15">
        <f t="shared" si="44"/>
        <v>0</v>
      </c>
      <c r="AA295" s="15">
        <f>SUM(Z$3:Z295)</f>
        <v>257</v>
      </c>
      <c r="AB295" s="37">
        <f t="shared" si="45"/>
        <v>620</v>
      </c>
      <c r="AC295" s="37">
        <f>COUNTIF(AB$3:AB295,AB295)</f>
        <v>36</v>
      </c>
      <c r="AD295" s="15" t="e">
        <f t="shared" ca="1" si="40"/>
        <v>#N/A</v>
      </c>
      <c r="AE295" s="37" t="e">
        <f t="shared" ca="1" si="46"/>
        <v>#VALUE!</v>
      </c>
      <c r="AF295" s="15" t="str">
        <f t="shared" ca="1" si="41"/>
        <v>无</v>
      </c>
      <c r="AG295" s="15" t="e">
        <f t="shared" ca="1" si="47"/>
        <v>#N/A</v>
      </c>
      <c r="AH295" s="15" t="str">
        <f t="shared" ca="1" si="48"/>
        <v>{0}</v>
      </c>
      <c r="AI295" s="15" t="e">
        <f t="shared" ca="1" si="42"/>
        <v>#N/A</v>
      </c>
      <c r="AJ295" s="26" t="e">
        <f t="shared" ca="1" si="49"/>
        <v>#N/A</v>
      </c>
    </row>
    <row r="296" spans="1:36" x14ac:dyDescent="0.25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3"/>
      <c r="O296" s="32">
        <f t="shared" si="43"/>
        <v>0</v>
      </c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15">
        <f t="shared" si="44"/>
        <v>0</v>
      </c>
      <c r="AA296" s="15">
        <f>SUM(Z$3:Z296)</f>
        <v>257</v>
      </c>
      <c r="AB296" s="37">
        <f t="shared" si="45"/>
        <v>620</v>
      </c>
      <c r="AC296" s="37">
        <f>COUNTIF(AB$3:AB296,AB296)</f>
        <v>37</v>
      </c>
      <c r="AD296" s="15" t="e">
        <f t="shared" ca="1" si="40"/>
        <v>#N/A</v>
      </c>
      <c r="AE296" s="37" t="e">
        <f t="shared" ca="1" si="46"/>
        <v>#VALUE!</v>
      </c>
      <c r="AF296" s="15" t="str">
        <f t="shared" ca="1" si="41"/>
        <v>无</v>
      </c>
      <c r="AG296" s="15" t="e">
        <f t="shared" ca="1" si="47"/>
        <v>#N/A</v>
      </c>
      <c r="AH296" s="15" t="str">
        <f t="shared" ca="1" si="48"/>
        <v>{0}</v>
      </c>
      <c r="AI296" s="15" t="e">
        <f t="shared" ca="1" si="42"/>
        <v>#N/A</v>
      </c>
      <c r="AJ296" s="26" t="e">
        <f t="shared" ca="1" si="49"/>
        <v>#N/A</v>
      </c>
    </row>
    <row r="297" spans="1:36" x14ac:dyDescent="0.25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3"/>
      <c r="O297" s="32">
        <f t="shared" si="43"/>
        <v>0</v>
      </c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15">
        <f t="shared" si="44"/>
        <v>0</v>
      </c>
      <c r="AA297" s="15">
        <f>SUM(Z$3:Z297)</f>
        <v>257</v>
      </c>
      <c r="AB297" s="37">
        <f t="shared" si="45"/>
        <v>620</v>
      </c>
      <c r="AC297" s="37">
        <f>COUNTIF(AB$3:AB297,AB297)</f>
        <v>38</v>
      </c>
      <c r="AD297" s="15" t="e">
        <f t="shared" ca="1" si="40"/>
        <v>#N/A</v>
      </c>
      <c r="AE297" s="37" t="e">
        <f t="shared" ca="1" si="46"/>
        <v>#VALUE!</v>
      </c>
      <c r="AF297" s="15" t="str">
        <f t="shared" ca="1" si="41"/>
        <v>无</v>
      </c>
      <c r="AG297" s="15" t="e">
        <f t="shared" ca="1" si="47"/>
        <v>#N/A</v>
      </c>
      <c r="AH297" s="15" t="str">
        <f t="shared" ca="1" si="48"/>
        <v>{0}</v>
      </c>
      <c r="AI297" s="15" t="e">
        <f t="shared" ca="1" si="42"/>
        <v>#N/A</v>
      </c>
      <c r="AJ297" s="26" t="e">
        <f t="shared" ca="1" si="49"/>
        <v>#N/A</v>
      </c>
    </row>
    <row r="298" spans="1:36" x14ac:dyDescent="0.25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3"/>
      <c r="O298" s="32">
        <f t="shared" si="43"/>
        <v>0</v>
      </c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15">
        <f t="shared" si="44"/>
        <v>0</v>
      </c>
      <c r="AA298" s="15">
        <f>SUM(Z$3:Z298)</f>
        <v>257</v>
      </c>
      <c r="AB298" s="37">
        <f t="shared" si="45"/>
        <v>620</v>
      </c>
      <c r="AC298" s="37">
        <f>COUNTIF(AB$3:AB298,AB298)</f>
        <v>39</v>
      </c>
      <c r="AD298" s="15" t="e">
        <f t="shared" ca="1" si="40"/>
        <v>#N/A</v>
      </c>
      <c r="AE298" s="37" t="e">
        <f t="shared" ca="1" si="46"/>
        <v>#VALUE!</v>
      </c>
      <c r="AF298" s="15" t="str">
        <f t="shared" ca="1" si="41"/>
        <v>无</v>
      </c>
      <c r="AG298" s="15" t="e">
        <f t="shared" ca="1" si="47"/>
        <v>#N/A</v>
      </c>
      <c r="AH298" s="15" t="str">
        <f t="shared" ca="1" si="48"/>
        <v>{0}</v>
      </c>
      <c r="AI298" s="15" t="e">
        <f t="shared" ca="1" si="42"/>
        <v>#N/A</v>
      </c>
      <c r="AJ298" s="26" t="e">
        <f t="shared" ca="1" si="49"/>
        <v>#N/A</v>
      </c>
    </row>
    <row r="299" spans="1:36" x14ac:dyDescent="0.25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3"/>
      <c r="O299" s="32">
        <f t="shared" si="43"/>
        <v>0</v>
      </c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15">
        <f t="shared" si="44"/>
        <v>0</v>
      </c>
      <c r="AA299" s="15">
        <f>SUM(Z$3:Z299)</f>
        <v>257</v>
      </c>
      <c r="AB299" s="37">
        <f t="shared" si="45"/>
        <v>620</v>
      </c>
      <c r="AC299" s="37">
        <f>COUNTIF(AB$3:AB299,AB299)</f>
        <v>40</v>
      </c>
      <c r="AD299" s="15" t="e">
        <f t="shared" ca="1" si="40"/>
        <v>#N/A</v>
      </c>
      <c r="AE299" s="37" t="e">
        <f t="shared" ca="1" si="46"/>
        <v>#VALUE!</v>
      </c>
      <c r="AF299" s="15" t="str">
        <f t="shared" ca="1" si="41"/>
        <v>无</v>
      </c>
      <c r="AG299" s="15" t="e">
        <f t="shared" ca="1" si="47"/>
        <v>#N/A</v>
      </c>
      <c r="AH299" s="15" t="str">
        <f t="shared" ca="1" si="48"/>
        <v>{0}</v>
      </c>
      <c r="AI299" s="15" t="e">
        <f t="shared" ca="1" si="42"/>
        <v>#N/A</v>
      </c>
      <c r="AJ299" s="26" t="e">
        <f t="shared" ca="1" si="49"/>
        <v>#N/A</v>
      </c>
    </row>
    <row r="300" spans="1:36" x14ac:dyDescent="0.25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3"/>
      <c r="O300" s="32">
        <f t="shared" si="43"/>
        <v>0</v>
      </c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15">
        <f t="shared" si="44"/>
        <v>0</v>
      </c>
      <c r="AA300" s="15">
        <f>SUM(Z$3:Z300)</f>
        <v>257</v>
      </c>
      <c r="AB300" s="37">
        <f t="shared" si="45"/>
        <v>620</v>
      </c>
      <c r="AC300" s="37">
        <f>COUNTIF(AB$3:AB300,AB300)</f>
        <v>41</v>
      </c>
      <c r="AD300" s="15" t="e">
        <f t="shared" ca="1" si="40"/>
        <v>#N/A</v>
      </c>
      <c r="AE300" s="37" t="e">
        <f t="shared" ca="1" si="46"/>
        <v>#VALUE!</v>
      </c>
      <c r="AF300" s="15" t="str">
        <f t="shared" ca="1" si="41"/>
        <v>无</v>
      </c>
      <c r="AG300" s="15" t="e">
        <f t="shared" ca="1" si="47"/>
        <v>#N/A</v>
      </c>
      <c r="AH300" s="15" t="str">
        <f t="shared" ca="1" si="48"/>
        <v>{0}</v>
      </c>
      <c r="AI300" s="15" t="e">
        <f t="shared" ca="1" si="42"/>
        <v>#N/A</v>
      </c>
      <c r="AJ300" s="26" t="e">
        <f t="shared" ca="1" si="49"/>
        <v>#N/A</v>
      </c>
    </row>
    <row r="301" spans="1:36" x14ac:dyDescent="0.25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3"/>
      <c r="O301" s="32">
        <f t="shared" si="43"/>
        <v>0</v>
      </c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15">
        <f t="shared" si="44"/>
        <v>0</v>
      </c>
      <c r="AA301" s="15">
        <f>SUM(Z$3:Z301)</f>
        <v>257</v>
      </c>
      <c r="AB301" s="37">
        <f t="shared" si="45"/>
        <v>620</v>
      </c>
      <c r="AC301" s="37">
        <f>COUNTIF(AB$3:AB301,AB301)</f>
        <v>42</v>
      </c>
      <c r="AD301" s="15" t="e">
        <f t="shared" ca="1" si="40"/>
        <v>#N/A</v>
      </c>
      <c r="AE301" s="37" t="e">
        <f t="shared" ca="1" si="46"/>
        <v>#VALUE!</v>
      </c>
      <c r="AF301" s="15" t="str">
        <f t="shared" ca="1" si="41"/>
        <v>无</v>
      </c>
      <c r="AG301" s="15" t="e">
        <f t="shared" ca="1" si="47"/>
        <v>#N/A</v>
      </c>
      <c r="AH301" s="15" t="str">
        <f t="shared" ca="1" si="48"/>
        <v>{0}</v>
      </c>
      <c r="AI301" s="15" t="e">
        <f t="shared" ca="1" si="42"/>
        <v>#N/A</v>
      </c>
      <c r="AJ301" s="26" t="e">
        <f t="shared" ca="1" si="49"/>
        <v>#N/A</v>
      </c>
    </row>
    <row r="302" spans="1:36" x14ac:dyDescent="0.25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3"/>
      <c r="O302" s="32">
        <f t="shared" si="43"/>
        <v>0</v>
      </c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15">
        <f t="shared" si="44"/>
        <v>0</v>
      </c>
      <c r="AA302" s="15">
        <f>SUM(Z$3:Z302)</f>
        <v>257</v>
      </c>
      <c r="AB302" s="37">
        <f t="shared" si="45"/>
        <v>620</v>
      </c>
      <c r="AC302" s="37">
        <f>COUNTIF(AB$3:AB302,AB302)</f>
        <v>43</v>
      </c>
      <c r="AD302" s="15" t="e">
        <f t="shared" ca="1" si="40"/>
        <v>#N/A</v>
      </c>
      <c r="AE302" s="37" t="e">
        <f t="shared" ca="1" si="46"/>
        <v>#VALUE!</v>
      </c>
      <c r="AF302" s="15" t="str">
        <f t="shared" ca="1" si="41"/>
        <v>无</v>
      </c>
      <c r="AG302" s="15" t="e">
        <f t="shared" ca="1" si="47"/>
        <v>#N/A</v>
      </c>
      <c r="AH302" s="15" t="str">
        <f t="shared" ca="1" si="48"/>
        <v>{0}</v>
      </c>
      <c r="AI302" s="15" t="e">
        <f t="shared" ca="1" si="42"/>
        <v>#N/A</v>
      </c>
      <c r="AJ302" s="26" t="e">
        <f t="shared" ca="1" si="49"/>
        <v>#N/A</v>
      </c>
    </row>
    <row r="303" spans="1:36" x14ac:dyDescent="0.25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3"/>
      <c r="O303" s="32">
        <f t="shared" si="43"/>
        <v>0</v>
      </c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15">
        <f t="shared" si="44"/>
        <v>0</v>
      </c>
      <c r="AA303" s="15">
        <f>SUM(Z$3:Z303)</f>
        <v>257</v>
      </c>
      <c r="AB303" s="37">
        <f t="shared" si="45"/>
        <v>620</v>
      </c>
      <c r="AC303" s="37">
        <f>COUNTIF(AB$3:AB303,AB303)</f>
        <v>44</v>
      </c>
      <c r="AD303" s="15" t="e">
        <f t="shared" ca="1" si="40"/>
        <v>#N/A</v>
      </c>
      <c r="AE303" s="37" t="e">
        <f t="shared" ca="1" si="46"/>
        <v>#VALUE!</v>
      </c>
      <c r="AF303" s="15" t="str">
        <f t="shared" ca="1" si="41"/>
        <v>无</v>
      </c>
      <c r="AG303" s="15" t="e">
        <f t="shared" ca="1" si="47"/>
        <v>#N/A</v>
      </c>
      <c r="AH303" s="15" t="str">
        <f t="shared" ca="1" si="48"/>
        <v>{0}</v>
      </c>
      <c r="AI303" s="15" t="e">
        <f t="shared" ca="1" si="42"/>
        <v>#N/A</v>
      </c>
      <c r="AJ303" s="26" t="e">
        <f t="shared" ca="1" si="49"/>
        <v>#N/A</v>
      </c>
    </row>
    <row r="304" spans="1:36" x14ac:dyDescent="0.25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3"/>
      <c r="O304" s="32">
        <f t="shared" si="43"/>
        <v>0</v>
      </c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15">
        <f t="shared" si="44"/>
        <v>0</v>
      </c>
      <c r="AA304" s="15">
        <f>SUM(Z$3:Z304)</f>
        <v>257</v>
      </c>
      <c r="AB304" s="37">
        <f t="shared" si="45"/>
        <v>620</v>
      </c>
      <c r="AC304" s="37">
        <f>COUNTIF(AB$3:AB304,AB304)</f>
        <v>45</v>
      </c>
      <c r="AD304" s="15" t="e">
        <f t="shared" ca="1" si="40"/>
        <v>#N/A</v>
      </c>
      <c r="AE304" s="37" t="e">
        <f t="shared" ca="1" si="46"/>
        <v>#VALUE!</v>
      </c>
      <c r="AF304" s="15" t="str">
        <f t="shared" ca="1" si="41"/>
        <v>无</v>
      </c>
      <c r="AG304" s="15" t="e">
        <f t="shared" ca="1" si="47"/>
        <v>#N/A</v>
      </c>
      <c r="AH304" s="15" t="str">
        <f t="shared" ca="1" si="48"/>
        <v>{0}</v>
      </c>
      <c r="AI304" s="15" t="e">
        <f t="shared" ca="1" si="42"/>
        <v>#N/A</v>
      </c>
      <c r="AJ304" s="26" t="e">
        <f t="shared" ca="1" si="49"/>
        <v>#N/A</v>
      </c>
    </row>
    <row r="305" spans="1:36" x14ac:dyDescent="0.25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3"/>
      <c r="O305" s="32">
        <f t="shared" si="43"/>
        <v>0</v>
      </c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15">
        <f t="shared" si="44"/>
        <v>0</v>
      </c>
      <c r="AA305" s="15">
        <f>SUM(Z$3:Z305)</f>
        <v>257</v>
      </c>
      <c r="AB305" s="37">
        <f t="shared" si="45"/>
        <v>620</v>
      </c>
      <c r="AC305" s="37">
        <f>COUNTIF(AB$3:AB305,AB305)</f>
        <v>46</v>
      </c>
      <c r="AD305" s="15" t="e">
        <f t="shared" ca="1" si="40"/>
        <v>#N/A</v>
      </c>
      <c r="AE305" s="37" t="e">
        <f t="shared" ca="1" si="46"/>
        <v>#VALUE!</v>
      </c>
      <c r="AF305" s="15" t="str">
        <f t="shared" ca="1" si="41"/>
        <v>无</v>
      </c>
      <c r="AG305" s="15" t="e">
        <f t="shared" ca="1" si="47"/>
        <v>#N/A</v>
      </c>
      <c r="AH305" s="15" t="str">
        <f t="shared" ca="1" si="48"/>
        <v>{0}</v>
      </c>
      <c r="AI305" s="15" t="e">
        <f t="shared" ca="1" si="42"/>
        <v>#N/A</v>
      </c>
      <c r="AJ305" s="26" t="e">
        <f t="shared" ca="1" si="49"/>
        <v>#N/A</v>
      </c>
    </row>
    <row r="306" spans="1:36" x14ac:dyDescent="0.25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3"/>
      <c r="O306" s="32">
        <f t="shared" si="43"/>
        <v>0</v>
      </c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15">
        <f t="shared" si="44"/>
        <v>0</v>
      </c>
      <c r="AA306" s="15">
        <f>SUM(Z$3:Z306)</f>
        <v>257</v>
      </c>
      <c r="AB306" s="37">
        <f t="shared" si="45"/>
        <v>620</v>
      </c>
      <c r="AC306" s="37">
        <f>COUNTIF(AB$3:AB306,AB306)</f>
        <v>47</v>
      </c>
      <c r="AD306" s="15" t="e">
        <f t="shared" ca="1" si="40"/>
        <v>#N/A</v>
      </c>
      <c r="AE306" s="37" t="e">
        <f t="shared" ca="1" si="46"/>
        <v>#VALUE!</v>
      </c>
      <c r="AF306" s="15" t="str">
        <f t="shared" ca="1" si="41"/>
        <v>无</v>
      </c>
      <c r="AG306" s="15" t="e">
        <f t="shared" ca="1" si="47"/>
        <v>#N/A</v>
      </c>
      <c r="AH306" s="15" t="str">
        <f t="shared" ca="1" si="48"/>
        <v>{0}</v>
      </c>
      <c r="AI306" s="15" t="e">
        <f t="shared" ca="1" si="42"/>
        <v>#N/A</v>
      </c>
      <c r="AJ306" s="26" t="e">
        <f t="shared" ca="1" si="49"/>
        <v>#N/A</v>
      </c>
    </row>
    <row r="307" spans="1:36" x14ac:dyDescent="0.25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3"/>
      <c r="O307" s="32">
        <f t="shared" si="43"/>
        <v>0</v>
      </c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15">
        <f t="shared" si="44"/>
        <v>0</v>
      </c>
      <c r="AA307" s="15">
        <f>SUM(Z$3:Z307)</f>
        <v>257</v>
      </c>
      <c r="AB307" s="37">
        <f t="shared" si="45"/>
        <v>620</v>
      </c>
      <c r="AC307" s="37">
        <f>COUNTIF(AB$3:AB307,AB307)</f>
        <v>48</v>
      </c>
      <c r="AD307" s="15" t="e">
        <f t="shared" ca="1" si="40"/>
        <v>#N/A</v>
      </c>
      <c r="AE307" s="37" t="e">
        <f t="shared" ca="1" si="46"/>
        <v>#VALUE!</v>
      </c>
      <c r="AF307" s="15" t="str">
        <f t="shared" ca="1" si="41"/>
        <v>无</v>
      </c>
      <c r="AG307" s="15" t="e">
        <f t="shared" ca="1" si="47"/>
        <v>#N/A</v>
      </c>
      <c r="AH307" s="15" t="str">
        <f t="shared" ca="1" si="48"/>
        <v>{0}</v>
      </c>
      <c r="AI307" s="15" t="e">
        <f t="shared" ca="1" si="42"/>
        <v>#N/A</v>
      </c>
      <c r="AJ307" s="26" t="e">
        <f t="shared" ca="1" si="49"/>
        <v>#N/A</v>
      </c>
    </row>
    <row r="308" spans="1:36" x14ac:dyDescent="0.25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3"/>
      <c r="O308" s="32">
        <f t="shared" si="43"/>
        <v>0</v>
      </c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15">
        <f t="shared" si="44"/>
        <v>0</v>
      </c>
      <c r="AA308" s="15">
        <f>SUM(Z$3:Z308)</f>
        <v>257</v>
      </c>
      <c r="AB308" s="37">
        <f t="shared" si="45"/>
        <v>620</v>
      </c>
      <c r="AC308" s="37">
        <f>COUNTIF(AB$3:AB308,AB308)</f>
        <v>49</v>
      </c>
      <c r="AD308" s="15" t="e">
        <f t="shared" ca="1" si="40"/>
        <v>#N/A</v>
      </c>
      <c r="AE308" s="37" t="e">
        <f t="shared" ca="1" si="46"/>
        <v>#VALUE!</v>
      </c>
      <c r="AF308" s="15" t="str">
        <f t="shared" ca="1" si="41"/>
        <v>无</v>
      </c>
      <c r="AG308" s="15" t="e">
        <f t="shared" ca="1" si="47"/>
        <v>#N/A</v>
      </c>
      <c r="AH308" s="15" t="str">
        <f t="shared" ca="1" si="48"/>
        <v>{0}</v>
      </c>
      <c r="AI308" s="15" t="e">
        <f t="shared" ca="1" si="42"/>
        <v>#N/A</v>
      </c>
      <c r="AJ308" s="26" t="e">
        <f t="shared" ca="1" si="49"/>
        <v>#N/A</v>
      </c>
    </row>
    <row r="309" spans="1:36" x14ac:dyDescent="0.25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3"/>
      <c r="O309" s="32">
        <f t="shared" si="43"/>
        <v>0</v>
      </c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15">
        <f t="shared" si="44"/>
        <v>0</v>
      </c>
      <c r="AA309" s="15">
        <f>SUM(Z$3:Z309)</f>
        <v>257</v>
      </c>
      <c r="AB309" s="37">
        <f t="shared" si="45"/>
        <v>620</v>
      </c>
      <c r="AC309" s="37">
        <f>COUNTIF(AB$3:AB309,AB309)</f>
        <v>50</v>
      </c>
      <c r="AD309" s="15" t="e">
        <f t="shared" ca="1" si="40"/>
        <v>#N/A</v>
      </c>
      <c r="AE309" s="37" t="e">
        <f t="shared" ca="1" si="46"/>
        <v>#VALUE!</v>
      </c>
      <c r="AF309" s="15" t="str">
        <f t="shared" ca="1" si="41"/>
        <v>无</v>
      </c>
      <c r="AG309" s="15" t="e">
        <f t="shared" ca="1" si="47"/>
        <v>#N/A</v>
      </c>
      <c r="AH309" s="15" t="str">
        <f t="shared" ca="1" si="48"/>
        <v>{0}</v>
      </c>
      <c r="AI309" s="15" t="e">
        <f t="shared" ca="1" si="42"/>
        <v>#N/A</v>
      </c>
      <c r="AJ309" s="26" t="e">
        <f t="shared" ca="1" si="49"/>
        <v>#N/A</v>
      </c>
    </row>
    <row r="310" spans="1:36" x14ac:dyDescent="0.25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3"/>
      <c r="O310" s="32">
        <f t="shared" si="43"/>
        <v>0</v>
      </c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15">
        <f t="shared" si="44"/>
        <v>0</v>
      </c>
      <c r="AA310" s="15">
        <f>SUM(Z$3:Z310)</f>
        <v>257</v>
      </c>
      <c r="AB310" s="37">
        <f t="shared" si="45"/>
        <v>620</v>
      </c>
      <c r="AC310" s="37">
        <f>COUNTIF(AB$3:AB310,AB310)</f>
        <v>51</v>
      </c>
      <c r="AD310" s="15" t="e">
        <f t="shared" ca="1" si="40"/>
        <v>#N/A</v>
      </c>
      <c r="AE310" s="37" t="e">
        <f t="shared" ca="1" si="46"/>
        <v>#VALUE!</v>
      </c>
      <c r="AF310" s="15" t="str">
        <f t="shared" ca="1" si="41"/>
        <v>无</v>
      </c>
      <c r="AG310" s="15" t="e">
        <f t="shared" ca="1" si="47"/>
        <v>#N/A</v>
      </c>
      <c r="AH310" s="15" t="str">
        <f t="shared" ca="1" si="48"/>
        <v>{0}</v>
      </c>
      <c r="AI310" s="15" t="e">
        <f t="shared" ca="1" si="42"/>
        <v>#N/A</v>
      </c>
      <c r="AJ310" s="26" t="e">
        <f t="shared" ca="1" si="49"/>
        <v>#N/A</v>
      </c>
    </row>
    <row r="311" spans="1:36" x14ac:dyDescent="0.25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3"/>
      <c r="O311" s="32">
        <f t="shared" si="43"/>
        <v>0</v>
      </c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15">
        <f t="shared" si="44"/>
        <v>0</v>
      </c>
      <c r="AA311" s="15">
        <f>SUM(Z$3:Z311)</f>
        <v>257</v>
      </c>
      <c r="AB311" s="37">
        <f t="shared" si="45"/>
        <v>620</v>
      </c>
      <c r="AC311" s="37">
        <f>COUNTIF(AB$3:AB311,AB311)</f>
        <v>52</v>
      </c>
      <c r="AD311" s="15" t="e">
        <f t="shared" ca="1" si="40"/>
        <v>#N/A</v>
      </c>
      <c r="AE311" s="37" t="e">
        <f t="shared" ca="1" si="46"/>
        <v>#VALUE!</v>
      </c>
      <c r="AF311" s="15" t="str">
        <f t="shared" ca="1" si="41"/>
        <v>无</v>
      </c>
      <c r="AG311" s="15" t="e">
        <f t="shared" ca="1" si="47"/>
        <v>#N/A</v>
      </c>
      <c r="AH311" s="15" t="str">
        <f t="shared" ca="1" si="48"/>
        <v>{0}</v>
      </c>
      <c r="AI311" s="15" t="e">
        <f t="shared" ca="1" si="42"/>
        <v>#N/A</v>
      </c>
      <c r="AJ311" s="26" t="e">
        <f t="shared" ca="1" si="49"/>
        <v>#N/A</v>
      </c>
    </row>
    <row r="312" spans="1:36" x14ac:dyDescent="0.25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3"/>
      <c r="O312" s="32">
        <f t="shared" si="43"/>
        <v>0</v>
      </c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15">
        <f t="shared" si="44"/>
        <v>0</v>
      </c>
      <c r="AA312" s="15">
        <f>SUM(Z$3:Z312)</f>
        <v>257</v>
      </c>
      <c r="AB312" s="37">
        <f t="shared" si="45"/>
        <v>620</v>
      </c>
      <c r="AC312" s="37">
        <f>COUNTIF(AB$3:AB312,AB312)</f>
        <v>53</v>
      </c>
      <c r="AD312" s="15" t="e">
        <f t="shared" ca="1" si="40"/>
        <v>#N/A</v>
      </c>
      <c r="AE312" s="37" t="e">
        <f t="shared" ca="1" si="46"/>
        <v>#VALUE!</v>
      </c>
      <c r="AF312" s="15" t="str">
        <f t="shared" ca="1" si="41"/>
        <v>无</v>
      </c>
      <c r="AG312" s="15" t="e">
        <f t="shared" ca="1" si="47"/>
        <v>#N/A</v>
      </c>
      <c r="AH312" s="15" t="str">
        <f t="shared" ca="1" si="48"/>
        <v>{0}</v>
      </c>
      <c r="AI312" s="15" t="e">
        <f t="shared" ca="1" si="42"/>
        <v>#N/A</v>
      </c>
      <c r="AJ312" s="26" t="e">
        <f t="shared" ca="1" si="49"/>
        <v>#N/A</v>
      </c>
    </row>
    <row r="313" spans="1:36" x14ac:dyDescent="0.25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3"/>
      <c r="O313" s="32">
        <f t="shared" si="43"/>
        <v>0</v>
      </c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15">
        <f t="shared" si="44"/>
        <v>0</v>
      </c>
      <c r="AA313" s="15">
        <f>SUM(Z$3:Z313)</f>
        <v>257</v>
      </c>
      <c r="AB313" s="37">
        <f t="shared" si="45"/>
        <v>620</v>
      </c>
      <c r="AC313" s="37">
        <f>COUNTIF(AB$3:AB313,AB313)</f>
        <v>54</v>
      </c>
      <c r="AD313" s="15" t="e">
        <f t="shared" ca="1" si="40"/>
        <v>#N/A</v>
      </c>
      <c r="AE313" s="37" t="e">
        <f t="shared" ca="1" si="46"/>
        <v>#VALUE!</v>
      </c>
      <c r="AF313" s="15" t="str">
        <f t="shared" ca="1" si="41"/>
        <v>无</v>
      </c>
      <c r="AG313" s="15" t="e">
        <f t="shared" ca="1" si="47"/>
        <v>#N/A</v>
      </c>
      <c r="AH313" s="15" t="str">
        <f t="shared" ca="1" si="48"/>
        <v>{0}</v>
      </c>
      <c r="AI313" s="15" t="e">
        <f t="shared" ca="1" si="42"/>
        <v>#N/A</v>
      </c>
      <c r="AJ313" s="26" t="e">
        <f t="shared" ca="1" si="49"/>
        <v>#N/A</v>
      </c>
    </row>
    <row r="314" spans="1:36" x14ac:dyDescent="0.25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3"/>
      <c r="O314" s="32">
        <f t="shared" si="43"/>
        <v>0</v>
      </c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15">
        <f t="shared" si="44"/>
        <v>0</v>
      </c>
      <c r="AA314" s="15">
        <f>SUM(Z$3:Z314)</f>
        <v>257</v>
      </c>
      <c r="AB314" s="37">
        <f t="shared" si="45"/>
        <v>620</v>
      </c>
      <c r="AC314" s="37">
        <f>COUNTIF(AB$3:AB314,AB314)</f>
        <v>55</v>
      </c>
      <c r="AD314" s="15" t="e">
        <f t="shared" ca="1" si="40"/>
        <v>#N/A</v>
      </c>
      <c r="AE314" s="37" t="e">
        <f t="shared" ca="1" si="46"/>
        <v>#VALUE!</v>
      </c>
      <c r="AF314" s="15" t="str">
        <f t="shared" ca="1" si="41"/>
        <v>无</v>
      </c>
      <c r="AG314" s="15" t="e">
        <f t="shared" ca="1" si="47"/>
        <v>#N/A</v>
      </c>
      <c r="AH314" s="15" t="str">
        <f t="shared" ca="1" si="48"/>
        <v>{0}</v>
      </c>
      <c r="AI314" s="15" t="e">
        <f t="shared" ca="1" si="42"/>
        <v>#N/A</v>
      </c>
      <c r="AJ314" s="26" t="e">
        <f t="shared" ca="1" si="49"/>
        <v>#N/A</v>
      </c>
    </row>
    <row r="315" spans="1:36" x14ac:dyDescent="0.25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3"/>
      <c r="O315" s="32">
        <f t="shared" si="43"/>
        <v>0</v>
      </c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15">
        <f t="shared" si="44"/>
        <v>0</v>
      </c>
      <c r="AA315" s="15">
        <f>SUM(Z$3:Z315)</f>
        <v>257</v>
      </c>
      <c r="AB315" s="37">
        <f t="shared" si="45"/>
        <v>620</v>
      </c>
      <c r="AC315" s="37">
        <f>COUNTIF(AB$3:AB315,AB315)</f>
        <v>56</v>
      </c>
      <c r="AD315" s="15" t="e">
        <f t="shared" ca="1" si="40"/>
        <v>#N/A</v>
      </c>
      <c r="AE315" s="37" t="e">
        <f t="shared" ca="1" si="46"/>
        <v>#VALUE!</v>
      </c>
      <c r="AF315" s="15" t="str">
        <f t="shared" ca="1" si="41"/>
        <v>无</v>
      </c>
      <c r="AG315" s="15" t="e">
        <f t="shared" ca="1" si="47"/>
        <v>#N/A</v>
      </c>
      <c r="AH315" s="15" t="str">
        <f t="shared" ca="1" si="48"/>
        <v>{0}</v>
      </c>
      <c r="AI315" s="15" t="e">
        <f t="shared" ca="1" si="42"/>
        <v>#N/A</v>
      </c>
      <c r="AJ315" s="26" t="e">
        <f t="shared" ca="1" si="49"/>
        <v>#N/A</v>
      </c>
    </row>
    <row r="316" spans="1:36" x14ac:dyDescent="0.25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3"/>
      <c r="O316" s="32">
        <f t="shared" si="43"/>
        <v>0</v>
      </c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15">
        <f t="shared" si="44"/>
        <v>0</v>
      </c>
      <c r="AA316" s="15">
        <f>SUM(Z$3:Z316)</f>
        <v>257</v>
      </c>
      <c r="AB316" s="37">
        <f t="shared" si="45"/>
        <v>620</v>
      </c>
      <c r="AC316" s="37">
        <f>COUNTIF(AB$3:AB316,AB316)</f>
        <v>57</v>
      </c>
      <c r="AD316" s="15" t="e">
        <f t="shared" ca="1" si="40"/>
        <v>#N/A</v>
      </c>
      <c r="AE316" s="37" t="e">
        <f t="shared" ca="1" si="46"/>
        <v>#VALUE!</v>
      </c>
      <c r="AF316" s="15" t="str">
        <f t="shared" ca="1" si="41"/>
        <v>无</v>
      </c>
      <c r="AG316" s="15" t="e">
        <f t="shared" ca="1" si="47"/>
        <v>#N/A</v>
      </c>
      <c r="AH316" s="15" t="str">
        <f t="shared" ca="1" si="48"/>
        <v>{0}</v>
      </c>
      <c r="AI316" s="15" t="e">
        <f t="shared" ca="1" si="42"/>
        <v>#N/A</v>
      </c>
      <c r="AJ316" s="26" t="e">
        <f t="shared" ca="1" si="49"/>
        <v>#N/A</v>
      </c>
    </row>
    <row r="317" spans="1:36" x14ac:dyDescent="0.25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3"/>
      <c r="O317" s="32">
        <f t="shared" si="43"/>
        <v>0</v>
      </c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15">
        <f t="shared" si="44"/>
        <v>0</v>
      </c>
      <c r="AA317" s="15">
        <f>SUM(Z$3:Z317)</f>
        <v>257</v>
      </c>
      <c r="AB317" s="37">
        <f t="shared" si="45"/>
        <v>620</v>
      </c>
      <c r="AC317" s="37">
        <f>COUNTIF(AB$3:AB317,AB317)</f>
        <v>58</v>
      </c>
      <c r="AD317" s="15" t="e">
        <f t="shared" ca="1" si="40"/>
        <v>#N/A</v>
      </c>
      <c r="AE317" s="37" t="e">
        <f t="shared" ca="1" si="46"/>
        <v>#VALUE!</v>
      </c>
      <c r="AF317" s="15" t="str">
        <f t="shared" ca="1" si="41"/>
        <v>无</v>
      </c>
      <c r="AG317" s="15" t="e">
        <f t="shared" ca="1" si="47"/>
        <v>#N/A</v>
      </c>
      <c r="AH317" s="15" t="str">
        <f t="shared" ca="1" si="48"/>
        <v>{0}</v>
      </c>
      <c r="AI317" s="15" t="e">
        <f t="shared" ca="1" si="42"/>
        <v>#N/A</v>
      </c>
      <c r="AJ317" s="26" t="e">
        <f t="shared" ca="1" si="49"/>
        <v>#N/A</v>
      </c>
    </row>
    <row r="318" spans="1:36" x14ac:dyDescent="0.25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3"/>
      <c r="O318" s="32">
        <f t="shared" si="43"/>
        <v>0</v>
      </c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15">
        <f t="shared" si="44"/>
        <v>0</v>
      </c>
      <c r="AA318" s="15">
        <f>SUM(Z$3:Z318)</f>
        <v>257</v>
      </c>
      <c r="AB318" s="37">
        <f t="shared" si="45"/>
        <v>620</v>
      </c>
      <c r="AC318" s="37">
        <f>COUNTIF(AB$3:AB318,AB318)</f>
        <v>59</v>
      </c>
      <c r="AD318" s="15" t="e">
        <f t="shared" ca="1" si="40"/>
        <v>#N/A</v>
      </c>
      <c r="AE318" s="37" t="e">
        <f t="shared" ca="1" si="46"/>
        <v>#VALUE!</v>
      </c>
      <c r="AF318" s="15" t="str">
        <f t="shared" ca="1" si="41"/>
        <v>无</v>
      </c>
      <c r="AG318" s="15" t="e">
        <f t="shared" ca="1" si="47"/>
        <v>#N/A</v>
      </c>
      <c r="AH318" s="15" t="str">
        <f t="shared" ca="1" si="48"/>
        <v>{0}</v>
      </c>
      <c r="AI318" s="15" t="e">
        <f t="shared" ca="1" si="42"/>
        <v>#N/A</v>
      </c>
      <c r="AJ318" s="26" t="e">
        <f t="shared" ca="1" si="49"/>
        <v>#N/A</v>
      </c>
    </row>
    <row r="319" spans="1:36" x14ac:dyDescent="0.25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3"/>
      <c r="O319" s="32">
        <f t="shared" si="43"/>
        <v>0</v>
      </c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15">
        <f t="shared" si="44"/>
        <v>0</v>
      </c>
      <c r="AA319" s="15">
        <f>SUM(Z$3:Z319)</f>
        <v>257</v>
      </c>
      <c r="AB319" s="37">
        <f t="shared" si="45"/>
        <v>620</v>
      </c>
      <c r="AC319" s="37">
        <f>COUNTIF(AB$3:AB319,AB319)</f>
        <v>60</v>
      </c>
      <c r="AD319" s="15" t="e">
        <f t="shared" ca="1" si="40"/>
        <v>#N/A</v>
      </c>
      <c r="AE319" s="37" t="e">
        <f t="shared" ca="1" si="46"/>
        <v>#VALUE!</v>
      </c>
      <c r="AF319" s="15" t="str">
        <f t="shared" ca="1" si="41"/>
        <v>无</v>
      </c>
      <c r="AG319" s="15" t="e">
        <f t="shared" ca="1" si="47"/>
        <v>#N/A</v>
      </c>
      <c r="AH319" s="15" t="str">
        <f t="shared" ca="1" si="48"/>
        <v>{0}</v>
      </c>
      <c r="AI319" s="15" t="e">
        <f t="shared" ca="1" si="42"/>
        <v>#N/A</v>
      </c>
      <c r="AJ319" s="26" t="e">
        <f t="shared" ca="1" si="49"/>
        <v>#N/A</v>
      </c>
    </row>
    <row r="320" spans="1:36" x14ac:dyDescent="0.25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3"/>
      <c r="O320" s="32">
        <f t="shared" si="43"/>
        <v>0</v>
      </c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15">
        <f t="shared" si="44"/>
        <v>0</v>
      </c>
      <c r="AA320" s="15">
        <f>SUM(Z$3:Z320)</f>
        <v>257</v>
      </c>
      <c r="AB320" s="37">
        <f t="shared" si="45"/>
        <v>620</v>
      </c>
      <c r="AC320" s="37">
        <f>COUNTIF(AB$3:AB320,AB320)</f>
        <v>61</v>
      </c>
      <c r="AD320" s="15" t="e">
        <f t="shared" ca="1" si="40"/>
        <v>#N/A</v>
      </c>
      <c r="AE320" s="37" t="e">
        <f t="shared" ca="1" si="46"/>
        <v>#VALUE!</v>
      </c>
      <c r="AF320" s="15" t="str">
        <f t="shared" ca="1" si="41"/>
        <v>无</v>
      </c>
      <c r="AG320" s="15" t="e">
        <f t="shared" ca="1" si="47"/>
        <v>#N/A</v>
      </c>
      <c r="AH320" s="15" t="str">
        <f t="shared" ca="1" si="48"/>
        <v>{0}</v>
      </c>
      <c r="AI320" s="15" t="e">
        <f t="shared" ca="1" si="42"/>
        <v>#N/A</v>
      </c>
      <c r="AJ320" s="26" t="e">
        <f t="shared" ca="1" si="49"/>
        <v>#N/A</v>
      </c>
    </row>
    <row r="321" spans="1:36" x14ac:dyDescent="0.25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3"/>
      <c r="O321" s="32">
        <f t="shared" si="43"/>
        <v>0</v>
      </c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15">
        <f t="shared" si="44"/>
        <v>0</v>
      </c>
      <c r="AA321" s="15">
        <f>SUM(Z$3:Z321)</f>
        <v>257</v>
      </c>
      <c r="AB321" s="37">
        <f t="shared" si="45"/>
        <v>620</v>
      </c>
      <c r="AC321" s="37">
        <f>COUNTIF(AB$3:AB321,AB321)</f>
        <v>62</v>
      </c>
      <c r="AD321" s="15" t="e">
        <f t="shared" ca="1" si="40"/>
        <v>#N/A</v>
      </c>
      <c r="AE321" s="37" t="e">
        <f t="shared" ca="1" si="46"/>
        <v>#VALUE!</v>
      </c>
      <c r="AF321" s="15" t="str">
        <f t="shared" ca="1" si="41"/>
        <v>无</v>
      </c>
      <c r="AG321" s="15" t="e">
        <f t="shared" ca="1" si="47"/>
        <v>#N/A</v>
      </c>
      <c r="AH321" s="15" t="str">
        <f t="shared" ca="1" si="48"/>
        <v>{0}</v>
      </c>
      <c r="AI321" s="15" t="e">
        <f t="shared" ca="1" si="42"/>
        <v>#N/A</v>
      </c>
      <c r="AJ321" s="26" t="e">
        <f t="shared" ca="1" si="49"/>
        <v>#N/A</v>
      </c>
    </row>
    <row r="322" spans="1:36" x14ac:dyDescent="0.25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3"/>
      <c r="O322" s="32">
        <f t="shared" si="43"/>
        <v>0</v>
      </c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15">
        <f t="shared" si="44"/>
        <v>0</v>
      </c>
      <c r="AA322" s="15">
        <f>SUM(Z$3:Z322)</f>
        <v>257</v>
      </c>
      <c r="AB322" s="37">
        <f t="shared" si="45"/>
        <v>620</v>
      </c>
      <c r="AC322" s="37">
        <f>COUNTIF(AB$3:AB322,AB322)</f>
        <v>63</v>
      </c>
      <c r="AD322" s="15" t="e">
        <f t="shared" ca="1" si="40"/>
        <v>#N/A</v>
      </c>
      <c r="AE322" s="37" t="e">
        <f t="shared" ca="1" si="46"/>
        <v>#VALUE!</v>
      </c>
      <c r="AF322" s="15" t="str">
        <f t="shared" ca="1" si="41"/>
        <v>无</v>
      </c>
      <c r="AG322" s="15" t="e">
        <f t="shared" ca="1" si="47"/>
        <v>#N/A</v>
      </c>
      <c r="AH322" s="15" t="str">
        <f t="shared" ca="1" si="48"/>
        <v>{0}</v>
      </c>
      <c r="AI322" s="15" t="e">
        <f t="shared" ca="1" si="42"/>
        <v>#N/A</v>
      </c>
      <c r="AJ322" s="26" t="e">
        <f t="shared" ca="1" si="49"/>
        <v>#N/A</v>
      </c>
    </row>
    <row r="323" spans="1:36" x14ac:dyDescent="0.25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3"/>
      <c r="O323" s="32">
        <f t="shared" si="43"/>
        <v>0</v>
      </c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15">
        <f t="shared" si="44"/>
        <v>0</v>
      </c>
      <c r="AA323" s="15">
        <f>SUM(Z$3:Z323)</f>
        <v>257</v>
      </c>
      <c r="AB323" s="37">
        <f t="shared" si="45"/>
        <v>620</v>
      </c>
      <c r="AC323" s="37">
        <f>COUNTIF(AB$3:AB323,AB323)</f>
        <v>64</v>
      </c>
      <c r="AD323" s="15" t="e">
        <f t="shared" ref="AD323:AD386" ca="1" si="50">OFFSET($C$2,MATCH(AF323,$A:$A,0)-2,$AC323)</f>
        <v>#N/A</v>
      </c>
      <c r="AE323" s="37" t="e">
        <f t="shared" ca="1" si="46"/>
        <v>#VALUE!</v>
      </c>
      <c r="AF323" s="15" t="str">
        <f t="shared" ref="AF323:AF386" ca="1" si="51">IF(OFFSET(A$1,AB323,)="","无",OFFSET(A$1,AB323,))</f>
        <v>无</v>
      </c>
      <c r="AG323" s="15" t="e">
        <f t="shared" ca="1" si="47"/>
        <v>#N/A</v>
      </c>
      <c r="AH323" s="15" t="str">
        <f t="shared" ca="1" si="48"/>
        <v>{0}</v>
      </c>
      <c r="AI323" s="15" t="e">
        <f t="shared" ref="AI323:AI386" ca="1" si="52">IF(OFFSET($C$2,MATCH($AF323,A:A,0)-2,)="是",INT($AI$1/OFFSET($Z$2,MATCH(AF323,A:A,0)-2,)),OFFSET($O$2,MATCH($AF323,A:A,0)-2,$AC323)*$AI$1)</f>
        <v>#N/A</v>
      </c>
      <c r="AJ323" s="26" t="e">
        <f t="shared" ca="1" si="49"/>
        <v>#N/A</v>
      </c>
    </row>
    <row r="324" spans="1:36" x14ac:dyDescent="0.25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3"/>
      <c r="O324" s="32">
        <f t="shared" ref="O324:O387" si="53">SUM(P324:Y324)</f>
        <v>0</v>
      </c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15">
        <f t="shared" ref="Z324:Z387" si="54">COUNTA(D324:M324)</f>
        <v>0</v>
      </c>
      <c r="AA324" s="15">
        <f>SUM(Z$3:Z324)</f>
        <v>257</v>
      </c>
      <c r="AB324" s="37">
        <f t="shared" ref="AB324:AB387" si="55">MATCH(ROW(AB322)-0.1,AA:AA,1)</f>
        <v>620</v>
      </c>
      <c r="AC324" s="37">
        <f>COUNTIF(AB$3:AB324,AB324)</f>
        <v>65</v>
      </c>
      <c r="AD324" s="15" t="e">
        <f t="shared" ca="1" si="50"/>
        <v>#N/A</v>
      </c>
      <c r="AE324" s="37" t="e">
        <f t="shared" ref="AE324:AE387" ca="1" si="56">AF324*100+AC324</f>
        <v>#VALUE!</v>
      </c>
      <c r="AF324" s="15" t="str">
        <f t="shared" ca="1" si="51"/>
        <v>无</v>
      </c>
      <c r="AG324" s="15" t="e">
        <f t="shared" ref="AG324:AG387" ca="1" si="57">VALUE(MID(AD324,1,FIND("+",AD324,1)-1))</f>
        <v>#N/A</v>
      </c>
      <c r="AH324" s="15" t="str">
        <f t="shared" ref="AH324:AH387" ca="1" si="58">"{" &amp; IFERROR(MID($AD324,FIND("+",$AD324,1)+1,IFERROR(FIND("/",$AD324),LEN($AD324)+1)-FIND("+",$AD324)-1),0) &amp; "}"</f>
        <v>{0}</v>
      </c>
      <c r="AI324" s="15" t="e">
        <f t="shared" ca="1" si="52"/>
        <v>#N/A</v>
      </c>
      <c r="AJ324" s="26" t="e">
        <f t="shared" ref="AJ324:AJ387" ca="1" si="59">OFFSET($B$2,MATCH($AF324,A:A,0)-2,) &amp; "-" &amp; $AD324 &amp; "|" &amp; AI324/$AI$1*100 &amp; "%"</f>
        <v>#N/A</v>
      </c>
    </row>
    <row r="325" spans="1:36" x14ac:dyDescent="0.25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3"/>
      <c r="O325" s="32">
        <f t="shared" si="53"/>
        <v>0</v>
      </c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15">
        <f t="shared" si="54"/>
        <v>0</v>
      </c>
      <c r="AA325" s="15">
        <f>SUM(Z$3:Z325)</f>
        <v>257</v>
      </c>
      <c r="AB325" s="37">
        <f t="shared" si="55"/>
        <v>620</v>
      </c>
      <c r="AC325" s="37">
        <f>COUNTIF(AB$3:AB325,AB325)</f>
        <v>66</v>
      </c>
      <c r="AD325" s="15" t="e">
        <f t="shared" ca="1" si="50"/>
        <v>#N/A</v>
      </c>
      <c r="AE325" s="37" t="e">
        <f t="shared" ca="1" si="56"/>
        <v>#VALUE!</v>
      </c>
      <c r="AF325" s="15" t="str">
        <f t="shared" ca="1" si="51"/>
        <v>无</v>
      </c>
      <c r="AG325" s="15" t="e">
        <f t="shared" ca="1" si="57"/>
        <v>#N/A</v>
      </c>
      <c r="AH325" s="15" t="str">
        <f t="shared" ca="1" si="58"/>
        <v>{0}</v>
      </c>
      <c r="AI325" s="15" t="e">
        <f t="shared" ca="1" si="52"/>
        <v>#N/A</v>
      </c>
      <c r="AJ325" s="26" t="e">
        <f t="shared" ca="1" si="59"/>
        <v>#N/A</v>
      </c>
    </row>
    <row r="326" spans="1:36" x14ac:dyDescent="0.25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3"/>
      <c r="O326" s="32">
        <f t="shared" si="53"/>
        <v>0</v>
      </c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15">
        <f t="shared" si="54"/>
        <v>0</v>
      </c>
      <c r="AA326" s="15">
        <f>SUM(Z$3:Z326)</f>
        <v>257</v>
      </c>
      <c r="AB326" s="37">
        <f t="shared" si="55"/>
        <v>620</v>
      </c>
      <c r="AC326" s="37">
        <f>COUNTIF(AB$3:AB326,AB326)</f>
        <v>67</v>
      </c>
      <c r="AD326" s="15" t="e">
        <f t="shared" ca="1" si="50"/>
        <v>#N/A</v>
      </c>
      <c r="AE326" s="37" t="e">
        <f t="shared" ca="1" si="56"/>
        <v>#VALUE!</v>
      </c>
      <c r="AF326" s="15" t="str">
        <f t="shared" ca="1" si="51"/>
        <v>无</v>
      </c>
      <c r="AG326" s="15" t="e">
        <f t="shared" ca="1" si="57"/>
        <v>#N/A</v>
      </c>
      <c r="AH326" s="15" t="str">
        <f t="shared" ca="1" si="58"/>
        <v>{0}</v>
      </c>
      <c r="AI326" s="15" t="e">
        <f t="shared" ca="1" si="52"/>
        <v>#N/A</v>
      </c>
      <c r="AJ326" s="26" t="e">
        <f t="shared" ca="1" si="59"/>
        <v>#N/A</v>
      </c>
    </row>
    <row r="327" spans="1:36" x14ac:dyDescent="0.25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3"/>
      <c r="O327" s="32">
        <f t="shared" si="53"/>
        <v>0</v>
      </c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15">
        <f t="shared" si="54"/>
        <v>0</v>
      </c>
      <c r="AA327" s="15">
        <f>SUM(Z$3:Z327)</f>
        <v>257</v>
      </c>
      <c r="AB327" s="37">
        <f t="shared" si="55"/>
        <v>620</v>
      </c>
      <c r="AC327" s="37">
        <f>COUNTIF(AB$3:AB327,AB327)</f>
        <v>68</v>
      </c>
      <c r="AD327" s="15" t="e">
        <f t="shared" ca="1" si="50"/>
        <v>#N/A</v>
      </c>
      <c r="AE327" s="37" t="e">
        <f t="shared" ca="1" si="56"/>
        <v>#VALUE!</v>
      </c>
      <c r="AF327" s="15" t="str">
        <f t="shared" ca="1" si="51"/>
        <v>无</v>
      </c>
      <c r="AG327" s="15" t="e">
        <f t="shared" ca="1" si="57"/>
        <v>#N/A</v>
      </c>
      <c r="AH327" s="15" t="str">
        <f t="shared" ca="1" si="58"/>
        <v>{0}</v>
      </c>
      <c r="AI327" s="15" t="e">
        <f t="shared" ca="1" si="52"/>
        <v>#N/A</v>
      </c>
      <c r="AJ327" s="26" t="e">
        <f t="shared" ca="1" si="59"/>
        <v>#N/A</v>
      </c>
    </row>
    <row r="328" spans="1:36" x14ac:dyDescent="0.25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3"/>
      <c r="O328" s="32">
        <f t="shared" si="53"/>
        <v>0</v>
      </c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15">
        <f t="shared" si="54"/>
        <v>0</v>
      </c>
      <c r="AA328" s="15">
        <f>SUM(Z$3:Z328)</f>
        <v>257</v>
      </c>
      <c r="AB328" s="37">
        <f t="shared" si="55"/>
        <v>620</v>
      </c>
      <c r="AC328" s="37">
        <f>COUNTIF(AB$3:AB328,AB328)</f>
        <v>69</v>
      </c>
      <c r="AD328" s="15" t="e">
        <f t="shared" ca="1" si="50"/>
        <v>#N/A</v>
      </c>
      <c r="AE328" s="37" t="e">
        <f t="shared" ca="1" si="56"/>
        <v>#VALUE!</v>
      </c>
      <c r="AF328" s="15" t="str">
        <f t="shared" ca="1" si="51"/>
        <v>无</v>
      </c>
      <c r="AG328" s="15" t="e">
        <f t="shared" ca="1" si="57"/>
        <v>#N/A</v>
      </c>
      <c r="AH328" s="15" t="str">
        <f t="shared" ca="1" si="58"/>
        <v>{0}</v>
      </c>
      <c r="AI328" s="15" t="e">
        <f t="shared" ca="1" si="52"/>
        <v>#N/A</v>
      </c>
      <c r="AJ328" s="26" t="e">
        <f t="shared" ca="1" si="59"/>
        <v>#N/A</v>
      </c>
    </row>
    <row r="329" spans="1:36" x14ac:dyDescent="0.25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3"/>
      <c r="O329" s="32">
        <f t="shared" si="53"/>
        <v>0</v>
      </c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15">
        <f t="shared" si="54"/>
        <v>0</v>
      </c>
      <c r="AA329" s="15">
        <f>SUM(Z$3:Z329)</f>
        <v>257</v>
      </c>
      <c r="AB329" s="37">
        <f t="shared" si="55"/>
        <v>620</v>
      </c>
      <c r="AC329" s="37">
        <f>COUNTIF(AB$3:AB329,AB329)</f>
        <v>70</v>
      </c>
      <c r="AD329" s="15" t="e">
        <f t="shared" ca="1" si="50"/>
        <v>#N/A</v>
      </c>
      <c r="AE329" s="37" t="e">
        <f t="shared" ca="1" si="56"/>
        <v>#VALUE!</v>
      </c>
      <c r="AF329" s="15" t="str">
        <f t="shared" ca="1" si="51"/>
        <v>无</v>
      </c>
      <c r="AG329" s="15" t="e">
        <f t="shared" ca="1" si="57"/>
        <v>#N/A</v>
      </c>
      <c r="AH329" s="15" t="str">
        <f t="shared" ca="1" si="58"/>
        <v>{0}</v>
      </c>
      <c r="AI329" s="15" t="e">
        <f t="shared" ca="1" si="52"/>
        <v>#N/A</v>
      </c>
      <c r="AJ329" s="26" t="e">
        <f t="shared" ca="1" si="59"/>
        <v>#N/A</v>
      </c>
    </row>
    <row r="330" spans="1:36" x14ac:dyDescent="0.25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3"/>
      <c r="O330" s="32">
        <f t="shared" si="53"/>
        <v>0</v>
      </c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15">
        <f t="shared" si="54"/>
        <v>0</v>
      </c>
      <c r="AA330" s="15">
        <f>SUM(Z$3:Z330)</f>
        <v>257</v>
      </c>
      <c r="AB330" s="37">
        <f t="shared" si="55"/>
        <v>620</v>
      </c>
      <c r="AC330" s="37">
        <f>COUNTIF(AB$3:AB330,AB330)</f>
        <v>71</v>
      </c>
      <c r="AD330" s="15" t="e">
        <f t="shared" ca="1" si="50"/>
        <v>#N/A</v>
      </c>
      <c r="AE330" s="37" t="e">
        <f t="shared" ca="1" si="56"/>
        <v>#VALUE!</v>
      </c>
      <c r="AF330" s="15" t="str">
        <f t="shared" ca="1" si="51"/>
        <v>无</v>
      </c>
      <c r="AG330" s="15" t="e">
        <f t="shared" ca="1" si="57"/>
        <v>#N/A</v>
      </c>
      <c r="AH330" s="15" t="str">
        <f t="shared" ca="1" si="58"/>
        <v>{0}</v>
      </c>
      <c r="AI330" s="15" t="e">
        <f t="shared" ca="1" si="52"/>
        <v>#N/A</v>
      </c>
      <c r="AJ330" s="26" t="e">
        <f t="shared" ca="1" si="59"/>
        <v>#N/A</v>
      </c>
    </row>
    <row r="331" spans="1:36" x14ac:dyDescent="0.25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3"/>
      <c r="O331" s="32">
        <f t="shared" si="53"/>
        <v>0</v>
      </c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15">
        <f t="shared" si="54"/>
        <v>0</v>
      </c>
      <c r="AA331" s="15">
        <f>SUM(Z$3:Z331)</f>
        <v>257</v>
      </c>
      <c r="AB331" s="37">
        <f t="shared" si="55"/>
        <v>620</v>
      </c>
      <c r="AC331" s="37">
        <f>COUNTIF(AB$3:AB331,AB331)</f>
        <v>72</v>
      </c>
      <c r="AD331" s="15" t="e">
        <f t="shared" ca="1" si="50"/>
        <v>#N/A</v>
      </c>
      <c r="AE331" s="37" t="e">
        <f t="shared" ca="1" si="56"/>
        <v>#VALUE!</v>
      </c>
      <c r="AF331" s="15" t="str">
        <f t="shared" ca="1" si="51"/>
        <v>无</v>
      </c>
      <c r="AG331" s="15" t="e">
        <f t="shared" ca="1" si="57"/>
        <v>#N/A</v>
      </c>
      <c r="AH331" s="15" t="str">
        <f t="shared" ca="1" si="58"/>
        <v>{0}</v>
      </c>
      <c r="AI331" s="15" t="e">
        <f t="shared" ca="1" si="52"/>
        <v>#N/A</v>
      </c>
      <c r="AJ331" s="26" t="e">
        <f t="shared" ca="1" si="59"/>
        <v>#N/A</v>
      </c>
    </row>
    <row r="332" spans="1:36" x14ac:dyDescent="0.25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3"/>
      <c r="O332" s="32">
        <f t="shared" si="53"/>
        <v>0</v>
      </c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15">
        <f t="shared" si="54"/>
        <v>0</v>
      </c>
      <c r="AA332" s="15">
        <f>SUM(Z$3:Z332)</f>
        <v>257</v>
      </c>
      <c r="AB332" s="37">
        <f t="shared" si="55"/>
        <v>620</v>
      </c>
      <c r="AC332" s="37">
        <f>COUNTIF(AB$3:AB332,AB332)</f>
        <v>73</v>
      </c>
      <c r="AD332" s="15" t="e">
        <f t="shared" ca="1" si="50"/>
        <v>#N/A</v>
      </c>
      <c r="AE332" s="37" t="e">
        <f t="shared" ca="1" si="56"/>
        <v>#VALUE!</v>
      </c>
      <c r="AF332" s="15" t="str">
        <f t="shared" ca="1" si="51"/>
        <v>无</v>
      </c>
      <c r="AG332" s="15" t="e">
        <f t="shared" ca="1" si="57"/>
        <v>#N/A</v>
      </c>
      <c r="AH332" s="15" t="str">
        <f t="shared" ca="1" si="58"/>
        <v>{0}</v>
      </c>
      <c r="AI332" s="15" t="e">
        <f t="shared" ca="1" si="52"/>
        <v>#N/A</v>
      </c>
      <c r="AJ332" s="26" t="e">
        <f t="shared" ca="1" si="59"/>
        <v>#N/A</v>
      </c>
    </row>
    <row r="333" spans="1:36" x14ac:dyDescent="0.25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3"/>
      <c r="O333" s="32">
        <f t="shared" si="53"/>
        <v>0</v>
      </c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15">
        <f t="shared" si="54"/>
        <v>0</v>
      </c>
      <c r="AA333" s="15">
        <f>SUM(Z$3:Z333)</f>
        <v>257</v>
      </c>
      <c r="AB333" s="37">
        <f t="shared" si="55"/>
        <v>620</v>
      </c>
      <c r="AC333" s="37">
        <f>COUNTIF(AB$3:AB333,AB333)</f>
        <v>74</v>
      </c>
      <c r="AD333" s="15" t="e">
        <f t="shared" ca="1" si="50"/>
        <v>#N/A</v>
      </c>
      <c r="AE333" s="37" t="e">
        <f t="shared" ca="1" si="56"/>
        <v>#VALUE!</v>
      </c>
      <c r="AF333" s="15" t="str">
        <f t="shared" ca="1" si="51"/>
        <v>无</v>
      </c>
      <c r="AG333" s="15" t="e">
        <f t="shared" ca="1" si="57"/>
        <v>#N/A</v>
      </c>
      <c r="AH333" s="15" t="str">
        <f t="shared" ca="1" si="58"/>
        <v>{0}</v>
      </c>
      <c r="AI333" s="15" t="e">
        <f t="shared" ca="1" si="52"/>
        <v>#N/A</v>
      </c>
      <c r="AJ333" s="26" t="e">
        <f t="shared" ca="1" si="59"/>
        <v>#N/A</v>
      </c>
    </row>
    <row r="334" spans="1:36" x14ac:dyDescent="0.25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3"/>
      <c r="O334" s="32">
        <f t="shared" si="53"/>
        <v>0</v>
      </c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15">
        <f t="shared" si="54"/>
        <v>0</v>
      </c>
      <c r="AA334" s="15">
        <f>SUM(Z$3:Z334)</f>
        <v>257</v>
      </c>
      <c r="AB334" s="37">
        <f t="shared" si="55"/>
        <v>620</v>
      </c>
      <c r="AC334" s="37">
        <f>COUNTIF(AB$3:AB334,AB334)</f>
        <v>75</v>
      </c>
      <c r="AD334" s="15" t="e">
        <f t="shared" ca="1" si="50"/>
        <v>#N/A</v>
      </c>
      <c r="AE334" s="37" t="e">
        <f t="shared" ca="1" si="56"/>
        <v>#VALUE!</v>
      </c>
      <c r="AF334" s="15" t="str">
        <f t="shared" ca="1" si="51"/>
        <v>无</v>
      </c>
      <c r="AG334" s="15" t="e">
        <f t="shared" ca="1" si="57"/>
        <v>#N/A</v>
      </c>
      <c r="AH334" s="15" t="str">
        <f t="shared" ca="1" si="58"/>
        <v>{0}</v>
      </c>
      <c r="AI334" s="15" t="e">
        <f t="shared" ca="1" si="52"/>
        <v>#N/A</v>
      </c>
      <c r="AJ334" s="26" t="e">
        <f t="shared" ca="1" si="59"/>
        <v>#N/A</v>
      </c>
    </row>
    <row r="335" spans="1:36" x14ac:dyDescent="0.25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3"/>
      <c r="O335" s="32">
        <f t="shared" si="53"/>
        <v>0</v>
      </c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15">
        <f t="shared" si="54"/>
        <v>0</v>
      </c>
      <c r="AA335" s="15">
        <f>SUM(Z$3:Z335)</f>
        <v>257</v>
      </c>
      <c r="AB335" s="37">
        <f t="shared" si="55"/>
        <v>620</v>
      </c>
      <c r="AC335" s="37">
        <f>COUNTIF(AB$3:AB335,AB335)</f>
        <v>76</v>
      </c>
      <c r="AD335" s="15" t="e">
        <f t="shared" ca="1" si="50"/>
        <v>#N/A</v>
      </c>
      <c r="AE335" s="37" t="e">
        <f t="shared" ca="1" si="56"/>
        <v>#VALUE!</v>
      </c>
      <c r="AF335" s="15" t="str">
        <f t="shared" ca="1" si="51"/>
        <v>无</v>
      </c>
      <c r="AG335" s="15" t="e">
        <f t="shared" ca="1" si="57"/>
        <v>#N/A</v>
      </c>
      <c r="AH335" s="15" t="str">
        <f t="shared" ca="1" si="58"/>
        <v>{0}</v>
      </c>
      <c r="AI335" s="15" t="e">
        <f t="shared" ca="1" si="52"/>
        <v>#N/A</v>
      </c>
      <c r="AJ335" s="26" t="e">
        <f t="shared" ca="1" si="59"/>
        <v>#N/A</v>
      </c>
    </row>
    <row r="336" spans="1:36" x14ac:dyDescent="0.25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3"/>
      <c r="O336" s="32">
        <f t="shared" si="53"/>
        <v>0</v>
      </c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15">
        <f t="shared" si="54"/>
        <v>0</v>
      </c>
      <c r="AA336" s="15">
        <f>SUM(Z$3:Z336)</f>
        <v>257</v>
      </c>
      <c r="AB336" s="37">
        <f t="shared" si="55"/>
        <v>620</v>
      </c>
      <c r="AC336" s="37">
        <f>COUNTIF(AB$3:AB336,AB336)</f>
        <v>77</v>
      </c>
      <c r="AD336" s="15" t="e">
        <f t="shared" ca="1" si="50"/>
        <v>#N/A</v>
      </c>
      <c r="AE336" s="37" t="e">
        <f t="shared" ca="1" si="56"/>
        <v>#VALUE!</v>
      </c>
      <c r="AF336" s="15" t="str">
        <f t="shared" ca="1" si="51"/>
        <v>无</v>
      </c>
      <c r="AG336" s="15" t="e">
        <f t="shared" ca="1" si="57"/>
        <v>#N/A</v>
      </c>
      <c r="AH336" s="15" t="str">
        <f t="shared" ca="1" si="58"/>
        <v>{0}</v>
      </c>
      <c r="AI336" s="15" t="e">
        <f t="shared" ca="1" si="52"/>
        <v>#N/A</v>
      </c>
      <c r="AJ336" s="26" t="e">
        <f t="shared" ca="1" si="59"/>
        <v>#N/A</v>
      </c>
    </row>
    <row r="337" spans="1:36" x14ac:dyDescent="0.25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3"/>
      <c r="O337" s="32">
        <f t="shared" si="53"/>
        <v>0</v>
      </c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15">
        <f t="shared" si="54"/>
        <v>0</v>
      </c>
      <c r="AA337" s="15">
        <f>SUM(Z$3:Z337)</f>
        <v>257</v>
      </c>
      <c r="AB337" s="37">
        <f t="shared" si="55"/>
        <v>620</v>
      </c>
      <c r="AC337" s="37">
        <f>COUNTIF(AB$3:AB337,AB337)</f>
        <v>78</v>
      </c>
      <c r="AD337" s="15" t="e">
        <f t="shared" ca="1" si="50"/>
        <v>#N/A</v>
      </c>
      <c r="AE337" s="37" t="e">
        <f t="shared" ca="1" si="56"/>
        <v>#VALUE!</v>
      </c>
      <c r="AF337" s="15" t="str">
        <f t="shared" ca="1" si="51"/>
        <v>无</v>
      </c>
      <c r="AG337" s="15" t="e">
        <f t="shared" ca="1" si="57"/>
        <v>#N/A</v>
      </c>
      <c r="AH337" s="15" t="str">
        <f t="shared" ca="1" si="58"/>
        <v>{0}</v>
      </c>
      <c r="AI337" s="15" t="e">
        <f t="shared" ca="1" si="52"/>
        <v>#N/A</v>
      </c>
      <c r="AJ337" s="26" t="e">
        <f t="shared" ca="1" si="59"/>
        <v>#N/A</v>
      </c>
    </row>
    <row r="338" spans="1:36" x14ac:dyDescent="0.25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3"/>
      <c r="O338" s="32">
        <f t="shared" si="53"/>
        <v>0</v>
      </c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15">
        <f t="shared" si="54"/>
        <v>0</v>
      </c>
      <c r="AA338" s="15">
        <f>SUM(Z$3:Z338)</f>
        <v>257</v>
      </c>
      <c r="AB338" s="37">
        <f t="shared" si="55"/>
        <v>620</v>
      </c>
      <c r="AC338" s="37">
        <f>COUNTIF(AB$3:AB338,AB338)</f>
        <v>79</v>
      </c>
      <c r="AD338" s="15" t="e">
        <f t="shared" ca="1" si="50"/>
        <v>#N/A</v>
      </c>
      <c r="AE338" s="37" t="e">
        <f t="shared" ca="1" si="56"/>
        <v>#VALUE!</v>
      </c>
      <c r="AF338" s="15" t="str">
        <f t="shared" ca="1" si="51"/>
        <v>无</v>
      </c>
      <c r="AG338" s="15" t="e">
        <f t="shared" ca="1" si="57"/>
        <v>#N/A</v>
      </c>
      <c r="AH338" s="15" t="str">
        <f t="shared" ca="1" si="58"/>
        <v>{0}</v>
      </c>
      <c r="AI338" s="15" t="e">
        <f t="shared" ca="1" si="52"/>
        <v>#N/A</v>
      </c>
      <c r="AJ338" s="26" t="e">
        <f t="shared" ca="1" si="59"/>
        <v>#N/A</v>
      </c>
    </row>
    <row r="339" spans="1:36" x14ac:dyDescent="0.25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3"/>
      <c r="O339" s="32">
        <f t="shared" si="53"/>
        <v>0</v>
      </c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15">
        <f t="shared" si="54"/>
        <v>0</v>
      </c>
      <c r="AA339" s="15">
        <f>SUM(Z$3:Z339)</f>
        <v>257</v>
      </c>
      <c r="AB339" s="37">
        <f t="shared" si="55"/>
        <v>620</v>
      </c>
      <c r="AC339" s="37">
        <f>COUNTIF(AB$3:AB339,AB339)</f>
        <v>80</v>
      </c>
      <c r="AD339" s="15" t="e">
        <f t="shared" ca="1" si="50"/>
        <v>#N/A</v>
      </c>
      <c r="AE339" s="37" t="e">
        <f t="shared" ca="1" si="56"/>
        <v>#VALUE!</v>
      </c>
      <c r="AF339" s="15" t="str">
        <f t="shared" ca="1" si="51"/>
        <v>无</v>
      </c>
      <c r="AG339" s="15" t="e">
        <f t="shared" ca="1" si="57"/>
        <v>#N/A</v>
      </c>
      <c r="AH339" s="15" t="str">
        <f t="shared" ca="1" si="58"/>
        <v>{0}</v>
      </c>
      <c r="AI339" s="15" t="e">
        <f t="shared" ca="1" si="52"/>
        <v>#N/A</v>
      </c>
      <c r="AJ339" s="26" t="e">
        <f t="shared" ca="1" si="59"/>
        <v>#N/A</v>
      </c>
    </row>
    <row r="340" spans="1:36" x14ac:dyDescent="0.25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3"/>
      <c r="O340" s="32">
        <f t="shared" si="53"/>
        <v>0</v>
      </c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15">
        <f t="shared" si="54"/>
        <v>0</v>
      </c>
      <c r="AA340" s="15">
        <f>SUM(Z$3:Z340)</f>
        <v>257</v>
      </c>
      <c r="AB340" s="37">
        <f t="shared" si="55"/>
        <v>620</v>
      </c>
      <c r="AC340" s="37">
        <f>COUNTIF(AB$3:AB340,AB340)</f>
        <v>81</v>
      </c>
      <c r="AD340" s="15" t="e">
        <f t="shared" ca="1" si="50"/>
        <v>#N/A</v>
      </c>
      <c r="AE340" s="37" t="e">
        <f t="shared" ca="1" si="56"/>
        <v>#VALUE!</v>
      </c>
      <c r="AF340" s="15" t="str">
        <f t="shared" ca="1" si="51"/>
        <v>无</v>
      </c>
      <c r="AG340" s="15" t="e">
        <f t="shared" ca="1" si="57"/>
        <v>#N/A</v>
      </c>
      <c r="AH340" s="15" t="str">
        <f t="shared" ca="1" si="58"/>
        <v>{0}</v>
      </c>
      <c r="AI340" s="15" t="e">
        <f t="shared" ca="1" si="52"/>
        <v>#N/A</v>
      </c>
      <c r="AJ340" s="26" t="e">
        <f t="shared" ca="1" si="59"/>
        <v>#N/A</v>
      </c>
    </row>
    <row r="341" spans="1:36" x14ac:dyDescent="0.25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3"/>
      <c r="O341" s="32">
        <f t="shared" si="53"/>
        <v>0</v>
      </c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15">
        <f t="shared" si="54"/>
        <v>0</v>
      </c>
      <c r="AA341" s="15">
        <f>SUM(Z$3:Z341)</f>
        <v>257</v>
      </c>
      <c r="AB341" s="37">
        <f t="shared" si="55"/>
        <v>620</v>
      </c>
      <c r="AC341" s="37">
        <f>COUNTIF(AB$3:AB341,AB341)</f>
        <v>82</v>
      </c>
      <c r="AD341" s="15" t="e">
        <f t="shared" ca="1" si="50"/>
        <v>#N/A</v>
      </c>
      <c r="AE341" s="37" t="e">
        <f t="shared" ca="1" si="56"/>
        <v>#VALUE!</v>
      </c>
      <c r="AF341" s="15" t="str">
        <f t="shared" ca="1" si="51"/>
        <v>无</v>
      </c>
      <c r="AG341" s="15" t="e">
        <f t="shared" ca="1" si="57"/>
        <v>#N/A</v>
      </c>
      <c r="AH341" s="15" t="str">
        <f t="shared" ca="1" si="58"/>
        <v>{0}</v>
      </c>
      <c r="AI341" s="15" t="e">
        <f t="shared" ca="1" si="52"/>
        <v>#N/A</v>
      </c>
      <c r="AJ341" s="26" t="e">
        <f t="shared" ca="1" si="59"/>
        <v>#N/A</v>
      </c>
    </row>
    <row r="342" spans="1:36" x14ac:dyDescent="0.25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3"/>
      <c r="O342" s="32">
        <f t="shared" si="53"/>
        <v>0</v>
      </c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15">
        <f t="shared" si="54"/>
        <v>0</v>
      </c>
      <c r="AA342" s="15">
        <f>SUM(Z$3:Z342)</f>
        <v>257</v>
      </c>
      <c r="AB342" s="37">
        <f t="shared" si="55"/>
        <v>620</v>
      </c>
      <c r="AC342" s="37">
        <f>COUNTIF(AB$3:AB342,AB342)</f>
        <v>83</v>
      </c>
      <c r="AD342" s="15" t="e">
        <f t="shared" ca="1" si="50"/>
        <v>#N/A</v>
      </c>
      <c r="AE342" s="37" t="e">
        <f t="shared" ca="1" si="56"/>
        <v>#VALUE!</v>
      </c>
      <c r="AF342" s="15" t="str">
        <f t="shared" ca="1" si="51"/>
        <v>无</v>
      </c>
      <c r="AG342" s="15" t="e">
        <f t="shared" ca="1" si="57"/>
        <v>#N/A</v>
      </c>
      <c r="AH342" s="15" t="str">
        <f t="shared" ca="1" si="58"/>
        <v>{0}</v>
      </c>
      <c r="AI342" s="15" t="e">
        <f t="shared" ca="1" si="52"/>
        <v>#N/A</v>
      </c>
      <c r="AJ342" s="26" t="e">
        <f t="shared" ca="1" si="59"/>
        <v>#N/A</v>
      </c>
    </row>
    <row r="343" spans="1:36" x14ac:dyDescent="0.25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3"/>
      <c r="O343" s="32">
        <f t="shared" si="53"/>
        <v>0</v>
      </c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15">
        <f t="shared" si="54"/>
        <v>0</v>
      </c>
      <c r="AA343" s="15">
        <f>SUM(Z$3:Z343)</f>
        <v>257</v>
      </c>
      <c r="AB343" s="37">
        <f t="shared" si="55"/>
        <v>620</v>
      </c>
      <c r="AC343" s="37">
        <f>COUNTIF(AB$3:AB343,AB343)</f>
        <v>84</v>
      </c>
      <c r="AD343" s="15" t="e">
        <f t="shared" ca="1" si="50"/>
        <v>#N/A</v>
      </c>
      <c r="AE343" s="37" t="e">
        <f t="shared" ca="1" si="56"/>
        <v>#VALUE!</v>
      </c>
      <c r="AF343" s="15" t="str">
        <f t="shared" ca="1" si="51"/>
        <v>无</v>
      </c>
      <c r="AG343" s="15" t="e">
        <f t="shared" ca="1" si="57"/>
        <v>#N/A</v>
      </c>
      <c r="AH343" s="15" t="str">
        <f t="shared" ca="1" si="58"/>
        <v>{0}</v>
      </c>
      <c r="AI343" s="15" t="e">
        <f t="shared" ca="1" si="52"/>
        <v>#N/A</v>
      </c>
      <c r="AJ343" s="26" t="e">
        <f t="shared" ca="1" si="59"/>
        <v>#N/A</v>
      </c>
    </row>
    <row r="344" spans="1:36" x14ac:dyDescent="0.25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3"/>
      <c r="O344" s="32">
        <f t="shared" si="53"/>
        <v>0</v>
      </c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15">
        <f t="shared" si="54"/>
        <v>0</v>
      </c>
      <c r="AA344" s="15">
        <f>SUM(Z$3:Z344)</f>
        <v>257</v>
      </c>
      <c r="AB344" s="37">
        <f t="shared" si="55"/>
        <v>620</v>
      </c>
      <c r="AC344" s="37">
        <f>COUNTIF(AB$3:AB344,AB344)</f>
        <v>85</v>
      </c>
      <c r="AD344" s="15" t="e">
        <f t="shared" ca="1" si="50"/>
        <v>#N/A</v>
      </c>
      <c r="AE344" s="37" t="e">
        <f t="shared" ca="1" si="56"/>
        <v>#VALUE!</v>
      </c>
      <c r="AF344" s="15" t="str">
        <f t="shared" ca="1" si="51"/>
        <v>无</v>
      </c>
      <c r="AG344" s="15" t="e">
        <f t="shared" ca="1" si="57"/>
        <v>#N/A</v>
      </c>
      <c r="AH344" s="15" t="str">
        <f t="shared" ca="1" si="58"/>
        <v>{0}</v>
      </c>
      <c r="AI344" s="15" t="e">
        <f t="shared" ca="1" si="52"/>
        <v>#N/A</v>
      </c>
      <c r="AJ344" s="26" t="e">
        <f t="shared" ca="1" si="59"/>
        <v>#N/A</v>
      </c>
    </row>
    <row r="345" spans="1:36" x14ac:dyDescent="0.25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3"/>
      <c r="O345" s="32">
        <f t="shared" si="53"/>
        <v>0</v>
      </c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15">
        <f t="shared" si="54"/>
        <v>0</v>
      </c>
      <c r="AA345" s="15">
        <f>SUM(Z$3:Z345)</f>
        <v>257</v>
      </c>
      <c r="AB345" s="37">
        <f t="shared" si="55"/>
        <v>620</v>
      </c>
      <c r="AC345" s="37">
        <f>COUNTIF(AB$3:AB345,AB345)</f>
        <v>86</v>
      </c>
      <c r="AD345" s="15" t="e">
        <f t="shared" ca="1" si="50"/>
        <v>#N/A</v>
      </c>
      <c r="AE345" s="37" t="e">
        <f t="shared" ca="1" si="56"/>
        <v>#VALUE!</v>
      </c>
      <c r="AF345" s="15" t="str">
        <f t="shared" ca="1" si="51"/>
        <v>无</v>
      </c>
      <c r="AG345" s="15" t="e">
        <f t="shared" ca="1" si="57"/>
        <v>#N/A</v>
      </c>
      <c r="AH345" s="15" t="str">
        <f t="shared" ca="1" si="58"/>
        <v>{0}</v>
      </c>
      <c r="AI345" s="15" t="e">
        <f t="shared" ca="1" si="52"/>
        <v>#N/A</v>
      </c>
      <c r="AJ345" s="26" t="e">
        <f t="shared" ca="1" si="59"/>
        <v>#N/A</v>
      </c>
    </row>
    <row r="346" spans="1:36" x14ac:dyDescent="0.25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3"/>
      <c r="O346" s="32">
        <f t="shared" si="53"/>
        <v>0</v>
      </c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15">
        <f t="shared" si="54"/>
        <v>0</v>
      </c>
      <c r="AA346" s="15">
        <f>SUM(Z$3:Z346)</f>
        <v>257</v>
      </c>
      <c r="AB346" s="37">
        <f t="shared" si="55"/>
        <v>620</v>
      </c>
      <c r="AC346" s="37">
        <f>COUNTIF(AB$3:AB346,AB346)</f>
        <v>87</v>
      </c>
      <c r="AD346" s="15" t="e">
        <f t="shared" ca="1" si="50"/>
        <v>#N/A</v>
      </c>
      <c r="AE346" s="37" t="e">
        <f t="shared" ca="1" si="56"/>
        <v>#VALUE!</v>
      </c>
      <c r="AF346" s="15" t="str">
        <f t="shared" ca="1" si="51"/>
        <v>无</v>
      </c>
      <c r="AG346" s="15" t="e">
        <f t="shared" ca="1" si="57"/>
        <v>#N/A</v>
      </c>
      <c r="AH346" s="15" t="str">
        <f t="shared" ca="1" si="58"/>
        <v>{0}</v>
      </c>
      <c r="AI346" s="15" t="e">
        <f t="shared" ca="1" si="52"/>
        <v>#N/A</v>
      </c>
      <c r="AJ346" s="26" t="e">
        <f t="shared" ca="1" si="59"/>
        <v>#N/A</v>
      </c>
    </row>
    <row r="347" spans="1:36" x14ac:dyDescent="0.25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3"/>
      <c r="O347" s="32">
        <f t="shared" si="53"/>
        <v>0</v>
      </c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15">
        <f t="shared" si="54"/>
        <v>0</v>
      </c>
      <c r="AA347" s="15">
        <f>SUM(Z$3:Z347)</f>
        <v>257</v>
      </c>
      <c r="AB347" s="37">
        <f t="shared" si="55"/>
        <v>620</v>
      </c>
      <c r="AC347" s="37">
        <f>COUNTIF(AB$3:AB347,AB347)</f>
        <v>88</v>
      </c>
      <c r="AD347" s="15" t="e">
        <f t="shared" ca="1" si="50"/>
        <v>#N/A</v>
      </c>
      <c r="AE347" s="37" t="e">
        <f t="shared" ca="1" si="56"/>
        <v>#VALUE!</v>
      </c>
      <c r="AF347" s="15" t="str">
        <f t="shared" ca="1" si="51"/>
        <v>无</v>
      </c>
      <c r="AG347" s="15" t="e">
        <f t="shared" ca="1" si="57"/>
        <v>#N/A</v>
      </c>
      <c r="AH347" s="15" t="str">
        <f t="shared" ca="1" si="58"/>
        <v>{0}</v>
      </c>
      <c r="AI347" s="15" t="e">
        <f t="shared" ca="1" si="52"/>
        <v>#N/A</v>
      </c>
      <c r="AJ347" s="26" t="e">
        <f t="shared" ca="1" si="59"/>
        <v>#N/A</v>
      </c>
    </row>
    <row r="348" spans="1:36" x14ac:dyDescent="0.25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3"/>
      <c r="O348" s="32">
        <f t="shared" si="53"/>
        <v>0</v>
      </c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15">
        <f t="shared" si="54"/>
        <v>0</v>
      </c>
      <c r="AA348" s="15">
        <f>SUM(Z$3:Z348)</f>
        <v>257</v>
      </c>
      <c r="AB348" s="37">
        <f t="shared" si="55"/>
        <v>620</v>
      </c>
      <c r="AC348" s="37">
        <f>COUNTIF(AB$3:AB348,AB348)</f>
        <v>89</v>
      </c>
      <c r="AD348" s="15" t="e">
        <f t="shared" ca="1" si="50"/>
        <v>#N/A</v>
      </c>
      <c r="AE348" s="37" t="e">
        <f t="shared" ca="1" si="56"/>
        <v>#VALUE!</v>
      </c>
      <c r="AF348" s="15" t="str">
        <f t="shared" ca="1" si="51"/>
        <v>无</v>
      </c>
      <c r="AG348" s="15" t="e">
        <f t="shared" ca="1" si="57"/>
        <v>#N/A</v>
      </c>
      <c r="AH348" s="15" t="str">
        <f t="shared" ca="1" si="58"/>
        <v>{0}</v>
      </c>
      <c r="AI348" s="15" t="e">
        <f t="shared" ca="1" si="52"/>
        <v>#N/A</v>
      </c>
      <c r="AJ348" s="26" t="e">
        <f t="shared" ca="1" si="59"/>
        <v>#N/A</v>
      </c>
    </row>
    <row r="349" spans="1:36" x14ac:dyDescent="0.25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3"/>
      <c r="O349" s="32">
        <f t="shared" si="53"/>
        <v>0</v>
      </c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15">
        <f t="shared" si="54"/>
        <v>0</v>
      </c>
      <c r="AA349" s="15">
        <f>SUM(Z$3:Z349)</f>
        <v>257</v>
      </c>
      <c r="AB349" s="37">
        <f t="shared" si="55"/>
        <v>620</v>
      </c>
      <c r="AC349" s="37">
        <f>COUNTIF(AB$3:AB349,AB349)</f>
        <v>90</v>
      </c>
      <c r="AD349" s="15" t="e">
        <f t="shared" ca="1" si="50"/>
        <v>#N/A</v>
      </c>
      <c r="AE349" s="37" t="e">
        <f t="shared" ca="1" si="56"/>
        <v>#VALUE!</v>
      </c>
      <c r="AF349" s="15" t="str">
        <f t="shared" ca="1" si="51"/>
        <v>无</v>
      </c>
      <c r="AG349" s="15" t="e">
        <f t="shared" ca="1" si="57"/>
        <v>#N/A</v>
      </c>
      <c r="AH349" s="15" t="str">
        <f t="shared" ca="1" si="58"/>
        <v>{0}</v>
      </c>
      <c r="AI349" s="15" t="e">
        <f t="shared" ca="1" si="52"/>
        <v>#N/A</v>
      </c>
      <c r="AJ349" s="26" t="e">
        <f t="shared" ca="1" si="59"/>
        <v>#N/A</v>
      </c>
    </row>
    <row r="350" spans="1:36" x14ac:dyDescent="0.25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3"/>
      <c r="O350" s="32">
        <f t="shared" si="53"/>
        <v>0</v>
      </c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15">
        <f t="shared" si="54"/>
        <v>0</v>
      </c>
      <c r="AA350" s="15">
        <f>SUM(Z$3:Z350)</f>
        <v>257</v>
      </c>
      <c r="AB350" s="37">
        <f t="shared" si="55"/>
        <v>620</v>
      </c>
      <c r="AC350" s="37">
        <f>COUNTIF(AB$3:AB350,AB350)</f>
        <v>91</v>
      </c>
      <c r="AD350" s="15" t="e">
        <f t="shared" ca="1" si="50"/>
        <v>#N/A</v>
      </c>
      <c r="AE350" s="37" t="e">
        <f t="shared" ca="1" si="56"/>
        <v>#VALUE!</v>
      </c>
      <c r="AF350" s="15" t="str">
        <f t="shared" ca="1" si="51"/>
        <v>无</v>
      </c>
      <c r="AG350" s="15" t="e">
        <f t="shared" ca="1" si="57"/>
        <v>#N/A</v>
      </c>
      <c r="AH350" s="15" t="str">
        <f t="shared" ca="1" si="58"/>
        <v>{0}</v>
      </c>
      <c r="AI350" s="15" t="e">
        <f t="shared" ca="1" si="52"/>
        <v>#N/A</v>
      </c>
      <c r="AJ350" s="26" t="e">
        <f t="shared" ca="1" si="59"/>
        <v>#N/A</v>
      </c>
    </row>
    <row r="351" spans="1:36" x14ac:dyDescent="0.25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3"/>
      <c r="O351" s="32">
        <f t="shared" si="53"/>
        <v>0</v>
      </c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15">
        <f t="shared" si="54"/>
        <v>0</v>
      </c>
      <c r="AA351" s="15">
        <f>SUM(Z$3:Z351)</f>
        <v>257</v>
      </c>
      <c r="AB351" s="37">
        <f t="shared" si="55"/>
        <v>620</v>
      </c>
      <c r="AC351" s="37">
        <f>COUNTIF(AB$3:AB351,AB351)</f>
        <v>92</v>
      </c>
      <c r="AD351" s="15" t="e">
        <f t="shared" ca="1" si="50"/>
        <v>#N/A</v>
      </c>
      <c r="AE351" s="37" t="e">
        <f t="shared" ca="1" si="56"/>
        <v>#VALUE!</v>
      </c>
      <c r="AF351" s="15" t="str">
        <f t="shared" ca="1" si="51"/>
        <v>无</v>
      </c>
      <c r="AG351" s="15" t="e">
        <f t="shared" ca="1" si="57"/>
        <v>#N/A</v>
      </c>
      <c r="AH351" s="15" t="str">
        <f t="shared" ca="1" si="58"/>
        <v>{0}</v>
      </c>
      <c r="AI351" s="15" t="e">
        <f t="shared" ca="1" si="52"/>
        <v>#N/A</v>
      </c>
      <c r="AJ351" s="26" t="e">
        <f t="shared" ca="1" si="59"/>
        <v>#N/A</v>
      </c>
    </row>
    <row r="352" spans="1:36" x14ac:dyDescent="0.25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3"/>
      <c r="O352" s="32">
        <f t="shared" si="53"/>
        <v>0</v>
      </c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15">
        <f t="shared" si="54"/>
        <v>0</v>
      </c>
      <c r="AA352" s="15">
        <f>SUM(Z$3:Z352)</f>
        <v>257</v>
      </c>
      <c r="AB352" s="37">
        <f t="shared" si="55"/>
        <v>620</v>
      </c>
      <c r="AC352" s="37">
        <f>COUNTIF(AB$3:AB352,AB352)</f>
        <v>93</v>
      </c>
      <c r="AD352" s="15" t="e">
        <f t="shared" ca="1" si="50"/>
        <v>#N/A</v>
      </c>
      <c r="AE352" s="37" t="e">
        <f t="shared" ca="1" si="56"/>
        <v>#VALUE!</v>
      </c>
      <c r="AF352" s="15" t="str">
        <f t="shared" ca="1" si="51"/>
        <v>无</v>
      </c>
      <c r="AG352" s="15" t="e">
        <f t="shared" ca="1" si="57"/>
        <v>#N/A</v>
      </c>
      <c r="AH352" s="15" t="str">
        <f t="shared" ca="1" si="58"/>
        <v>{0}</v>
      </c>
      <c r="AI352" s="15" t="e">
        <f t="shared" ca="1" si="52"/>
        <v>#N/A</v>
      </c>
      <c r="AJ352" s="26" t="e">
        <f t="shared" ca="1" si="59"/>
        <v>#N/A</v>
      </c>
    </row>
    <row r="353" spans="1:36" x14ac:dyDescent="0.25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3"/>
      <c r="O353" s="32">
        <f t="shared" si="53"/>
        <v>0</v>
      </c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15">
        <f t="shared" si="54"/>
        <v>0</v>
      </c>
      <c r="AA353" s="15">
        <f>SUM(Z$3:Z353)</f>
        <v>257</v>
      </c>
      <c r="AB353" s="37">
        <f t="shared" si="55"/>
        <v>620</v>
      </c>
      <c r="AC353" s="37">
        <f>COUNTIF(AB$3:AB353,AB353)</f>
        <v>94</v>
      </c>
      <c r="AD353" s="15" t="e">
        <f t="shared" ca="1" si="50"/>
        <v>#N/A</v>
      </c>
      <c r="AE353" s="37" t="e">
        <f t="shared" ca="1" si="56"/>
        <v>#VALUE!</v>
      </c>
      <c r="AF353" s="15" t="str">
        <f t="shared" ca="1" si="51"/>
        <v>无</v>
      </c>
      <c r="AG353" s="15" t="e">
        <f t="shared" ca="1" si="57"/>
        <v>#N/A</v>
      </c>
      <c r="AH353" s="15" t="str">
        <f t="shared" ca="1" si="58"/>
        <v>{0}</v>
      </c>
      <c r="AI353" s="15" t="e">
        <f t="shared" ca="1" si="52"/>
        <v>#N/A</v>
      </c>
      <c r="AJ353" s="26" t="e">
        <f t="shared" ca="1" si="59"/>
        <v>#N/A</v>
      </c>
    </row>
    <row r="354" spans="1:36" x14ac:dyDescent="0.25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3"/>
      <c r="O354" s="32">
        <f t="shared" si="53"/>
        <v>0</v>
      </c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15">
        <f t="shared" si="54"/>
        <v>0</v>
      </c>
      <c r="AA354" s="15">
        <f>SUM(Z$3:Z354)</f>
        <v>257</v>
      </c>
      <c r="AB354" s="37">
        <f t="shared" si="55"/>
        <v>620</v>
      </c>
      <c r="AC354" s="37">
        <f>COUNTIF(AB$3:AB354,AB354)</f>
        <v>95</v>
      </c>
      <c r="AD354" s="15" t="e">
        <f t="shared" ca="1" si="50"/>
        <v>#N/A</v>
      </c>
      <c r="AE354" s="37" t="e">
        <f t="shared" ca="1" si="56"/>
        <v>#VALUE!</v>
      </c>
      <c r="AF354" s="15" t="str">
        <f t="shared" ca="1" si="51"/>
        <v>无</v>
      </c>
      <c r="AG354" s="15" t="e">
        <f t="shared" ca="1" si="57"/>
        <v>#N/A</v>
      </c>
      <c r="AH354" s="15" t="str">
        <f t="shared" ca="1" si="58"/>
        <v>{0}</v>
      </c>
      <c r="AI354" s="15" t="e">
        <f t="shared" ca="1" si="52"/>
        <v>#N/A</v>
      </c>
      <c r="AJ354" s="26" t="e">
        <f t="shared" ca="1" si="59"/>
        <v>#N/A</v>
      </c>
    </row>
    <row r="355" spans="1:36" x14ac:dyDescent="0.25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3"/>
      <c r="O355" s="32">
        <f t="shared" si="53"/>
        <v>0</v>
      </c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15">
        <f t="shared" si="54"/>
        <v>0</v>
      </c>
      <c r="AA355" s="15">
        <f>SUM(Z$3:Z355)</f>
        <v>257</v>
      </c>
      <c r="AB355" s="37">
        <f t="shared" si="55"/>
        <v>620</v>
      </c>
      <c r="AC355" s="37">
        <f>COUNTIF(AB$3:AB355,AB355)</f>
        <v>96</v>
      </c>
      <c r="AD355" s="15" t="e">
        <f t="shared" ca="1" si="50"/>
        <v>#N/A</v>
      </c>
      <c r="AE355" s="37" t="e">
        <f t="shared" ca="1" si="56"/>
        <v>#VALUE!</v>
      </c>
      <c r="AF355" s="15" t="str">
        <f t="shared" ca="1" si="51"/>
        <v>无</v>
      </c>
      <c r="AG355" s="15" t="e">
        <f t="shared" ca="1" si="57"/>
        <v>#N/A</v>
      </c>
      <c r="AH355" s="15" t="str">
        <f t="shared" ca="1" si="58"/>
        <v>{0}</v>
      </c>
      <c r="AI355" s="15" t="e">
        <f t="shared" ca="1" si="52"/>
        <v>#N/A</v>
      </c>
      <c r="AJ355" s="26" t="e">
        <f t="shared" ca="1" si="59"/>
        <v>#N/A</v>
      </c>
    </row>
    <row r="356" spans="1:36" x14ac:dyDescent="0.25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3"/>
      <c r="O356" s="32">
        <f t="shared" si="53"/>
        <v>0</v>
      </c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15">
        <f t="shared" si="54"/>
        <v>0</v>
      </c>
      <c r="AA356" s="15">
        <f>SUM(Z$3:Z356)</f>
        <v>257</v>
      </c>
      <c r="AB356" s="37">
        <f t="shared" si="55"/>
        <v>620</v>
      </c>
      <c r="AC356" s="37">
        <f>COUNTIF(AB$3:AB356,AB356)</f>
        <v>97</v>
      </c>
      <c r="AD356" s="15" t="e">
        <f t="shared" ca="1" si="50"/>
        <v>#N/A</v>
      </c>
      <c r="AE356" s="37" t="e">
        <f t="shared" ca="1" si="56"/>
        <v>#VALUE!</v>
      </c>
      <c r="AF356" s="15" t="str">
        <f t="shared" ca="1" si="51"/>
        <v>无</v>
      </c>
      <c r="AG356" s="15" t="e">
        <f t="shared" ca="1" si="57"/>
        <v>#N/A</v>
      </c>
      <c r="AH356" s="15" t="str">
        <f t="shared" ca="1" si="58"/>
        <v>{0}</v>
      </c>
      <c r="AI356" s="15" t="e">
        <f t="shared" ca="1" si="52"/>
        <v>#N/A</v>
      </c>
      <c r="AJ356" s="26" t="e">
        <f t="shared" ca="1" si="59"/>
        <v>#N/A</v>
      </c>
    </row>
    <row r="357" spans="1:36" x14ac:dyDescent="0.25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3"/>
      <c r="O357" s="32">
        <f t="shared" si="53"/>
        <v>0</v>
      </c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15">
        <f t="shared" si="54"/>
        <v>0</v>
      </c>
      <c r="AA357" s="15">
        <f>SUM(Z$3:Z357)</f>
        <v>257</v>
      </c>
      <c r="AB357" s="37">
        <f t="shared" si="55"/>
        <v>620</v>
      </c>
      <c r="AC357" s="37">
        <f>COUNTIF(AB$3:AB357,AB357)</f>
        <v>98</v>
      </c>
      <c r="AD357" s="15" t="e">
        <f t="shared" ca="1" si="50"/>
        <v>#N/A</v>
      </c>
      <c r="AE357" s="37" t="e">
        <f t="shared" ca="1" si="56"/>
        <v>#VALUE!</v>
      </c>
      <c r="AF357" s="15" t="str">
        <f t="shared" ca="1" si="51"/>
        <v>无</v>
      </c>
      <c r="AG357" s="15" t="e">
        <f t="shared" ca="1" si="57"/>
        <v>#N/A</v>
      </c>
      <c r="AH357" s="15" t="str">
        <f t="shared" ca="1" si="58"/>
        <v>{0}</v>
      </c>
      <c r="AI357" s="15" t="e">
        <f t="shared" ca="1" si="52"/>
        <v>#N/A</v>
      </c>
      <c r="AJ357" s="26" t="e">
        <f t="shared" ca="1" si="59"/>
        <v>#N/A</v>
      </c>
    </row>
    <row r="358" spans="1:36" x14ac:dyDescent="0.25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3"/>
      <c r="O358" s="32">
        <f t="shared" si="53"/>
        <v>0</v>
      </c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15">
        <f t="shared" si="54"/>
        <v>0</v>
      </c>
      <c r="AA358" s="15">
        <f>SUM(Z$3:Z358)</f>
        <v>257</v>
      </c>
      <c r="AB358" s="37">
        <f t="shared" si="55"/>
        <v>620</v>
      </c>
      <c r="AC358" s="37">
        <f>COUNTIF(AB$3:AB358,AB358)</f>
        <v>99</v>
      </c>
      <c r="AD358" s="15" t="e">
        <f t="shared" ca="1" si="50"/>
        <v>#N/A</v>
      </c>
      <c r="AE358" s="37" t="e">
        <f t="shared" ca="1" si="56"/>
        <v>#VALUE!</v>
      </c>
      <c r="AF358" s="15" t="str">
        <f t="shared" ca="1" si="51"/>
        <v>无</v>
      </c>
      <c r="AG358" s="15" t="e">
        <f t="shared" ca="1" si="57"/>
        <v>#N/A</v>
      </c>
      <c r="AH358" s="15" t="str">
        <f t="shared" ca="1" si="58"/>
        <v>{0}</v>
      </c>
      <c r="AI358" s="15" t="e">
        <f t="shared" ca="1" si="52"/>
        <v>#N/A</v>
      </c>
      <c r="AJ358" s="26" t="e">
        <f t="shared" ca="1" si="59"/>
        <v>#N/A</v>
      </c>
    </row>
    <row r="359" spans="1:36" x14ac:dyDescent="0.25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3"/>
      <c r="O359" s="32">
        <f t="shared" si="53"/>
        <v>0</v>
      </c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15">
        <f t="shared" si="54"/>
        <v>0</v>
      </c>
      <c r="AA359" s="15">
        <f>SUM(Z$3:Z359)</f>
        <v>257</v>
      </c>
      <c r="AB359" s="37">
        <f t="shared" si="55"/>
        <v>620</v>
      </c>
      <c r="AC359" s="37">
        <f>COUNTIF(AB$3:AB359,AB359)</f>
        <v>100</v>
      </c>
      <c r="AD359" s="15" t="e">
        <f t="shared" ca="1" si="50"/>
        <v>#N/A</v>
      </c>
      <c r="AE359" s="37" t="e">
        <f t="shared" ca="1" si="56"/>
        <v>#VALUE!</v>
      </c>
      <c r="AF359" s="15" t="str">
        <f t="shared" ca="1" si="51"/>
        <v>无</v>
      </c>
      <c r="AG359" s="15" t="e">
        <f t="shared" ca="1" si="57"/>
        <v>#N/A</v>
      </c>
      <c r="AH359" s="15" t="str">
        <f t="shared" ca="1" si="58"/>
        <v>{0}</v>
      </c>
      <c r="AI359" s="15" t="e">
        <f t="shared" ca="1" si="52"/>
        <v>#N/A</v>
      </c>
      <c r="AJ359" s="26" t="e">
        <f t="shared" ca="1" si="59"/>
        <v>#N/A</v>
      </c>
    </row>
    <row r="360" spans="1:36" x14ac:dyDescent="0.25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3"/>
      <c r="O360" s="32">
        <f t="shared" si="53"/>
        <v>0</v>
      </c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15">
        <f t="shared" si="54"/>
        <v>0</v>
      </c>
      <c r="AA360" s="15">
        <f>SUM(Z$3:Z360)</f>
        <v>257</v>
      </c>
      <c r="AB360" s="37">
        <f t="shared" si="55"/>
        <v>620</v>
      </c>
      <c r="AC360" s="37">
        <f>COUNTIF(AB$3:AB360,AB360)</f>
        <v>101</v>
      </c>
      <c r="AD360" s="15" t="e">
        <f t="shared" ca="1" si="50"/>
        <v>#N/A</v>
      </c>
      <c r="AE360" s="37" t="e">
        <f t="shared" ca="1" si="56"/>
        <v>#VALUE!</v>
      </c>
      <c r="AF360" s="15" t="str">
        <f t="shared" ca="1" si="51"/>
        <v>无</v>
      </c>
      <c r="AG360" s="15" t="e">
        <f t="shared" ca="1" si="57"/>
        <v>#N/A</v>
      </c>
      <c r="AH360" s="15" t="str">
        <f t="shared" ca="1" si="58"/>
        <v>{0}</v>
      </c>
      <c r="AI360" s="15" t="e">
        <f t="shared" ca="1" si="52"/>
        <v>#N/A</v>
      </c>
      <c r="AJ360" s="26" t="e">
        <f t="shared" ca="1" si="59"/>
        <v>#N/A</v>
      </c>
    </row>
    <row r="361" spans="1:36" x14ac:dyDescent="0.25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3"/>
      <c r="O361" s="32">
        <f t="shared" si="53"/>
        <v>0</v>
      </c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15">
        <f t="shared" si="54"/>
        <v>0</v>
      </c>
      <c r="AA361" s="15">
        <f>SUM(Z$3:Z361)</f>
        <v>257</v>
      </c>
      <c r="AB361" s="37">
        <f t="shared" si="55"/>
        <v>620</v>
      </c>
      <c r="AC361" s="37">
        <f>COUNTIF(AB$3:AB361,AB361)</f>
        <v>102</v>
      </c>
      <c r="AD361" s="15" t="e">
        <f t="shared" ca="1" si="50"/>
        <v>#N/A</v>
      </c>
      <c r="AE361" s="37" t="e">
        <f t="shared" ca="1" si="56"/>
        <v>#VALUE!</v>
      </c>
      <c r="AF361" s="15" t="str">
        <f t="shared" ca="1" si="51"/>
        <v>无</v>
      </c>
      <c r="AG361" s="15" t="e">
        <f t="shared" ca="1" si="57"/>
        <v>#N/A</v>
      </c>
      <c r="AH361" s="15" t="str">
        <f t="shared" ca="1" si="58"/>
        <v>{0}</v>
      </c>
      <c r="AI361" s="15" t="e">
        <f t="shared" ca="1" si="52"/>
        <v>#N/A</v>
      </c>
      <c r="AJ361" s="26" t="e">
        <f t="shared" ca="1" si="59"/>
        <v>#N/A</v>
      </c>
    </row>
    <row r="362" spans="1:36" x14ac:dyDescent="0.25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3"/>
      <c r="O362" s="32">
        <f t="shared" si="53"/>
        <v>0</v>
      </c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15">
        <f t="shared" si="54"/>
        <v>0</v>
      </c>
      <c r="AA362" s="15">
        <f>SUM(Z$3:Z362)</f>
        <v>257</v>
      </c>
      <c r="AB362" s="37">
        <f t="shared" si="55"/>
        <v>620</v>
      </c>
      <c r="AC362" s="37">
        <f>COUNTIF(AB$3:AB362,AB362)</f>
        <v>103</v>
      </c>
      <c r="AD362" s="15" t="e">
        <f t="shared" ca="1" si="50"/>
        <v>#N/A</v>
      </c>
      <c r="AE362" s="37" t="e">
        <f t="shared" ca="1" si="56"/>
        <v>#VALUE!</v>
      </c>
      <c r="AF362" s="15" t="str">
        <f t="shared" ca="1" si="51"/>
        <v>无</v>
      </c>
      <c r="AG362" s="15" t="e">
        <f t="shared" ca="1" si="57"/>
        <v>#N/A</v>
      </c>
      <c r="AH362" s="15" t="str">
        <f t="shared" ca="1" si="58"/>
        <v>{0}</v>
      </c>
      <c r="AI362" s="15" t="e">
        <f t="shared" ca="1" si="52"/>
        <v>#N/A</v>
      </c>
      <c r="AJ362" s="26" t="e">
        <f t="shared" ca="1" si="59"/>
        <v>#N/A</v>
      </c>
    </row>
    <row r="363" spans="1:36" x14ac:dyDescent="0.25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3"/>
      <c r="O363" s="32">
        <f t="shared" si="53"/>
        <v>0</v>
      </c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15">
        <f t="shared" si="54"/>
        <v>0</v>
      </c>
      <c r="AA363" s="15">
        <f>SUM(Z$3:Z363)</f>
        <v>257</v>
      </c>
      <c r="AB363" s="37">
        <f t="shared" si="55"/>
        <v>620</v>
      </c>
      <c r="AC363" s="37">
        <f>COUNTIF(AB$3:AB363,AB363)</f>
        <v>104</v>
      </c>
      <c r="AD363" s="15" t="e">
        <f t="shared" ca="1" si="50"/>
        <v>#N/A</v>
      </c>
      <c r="AE363" s="37" t="e">
        <f t="shared" ca="1" si="56"/>
        <v>#VALUE!</v>
      </c>
      <c r="AF363" s="15" t="str">
        <f t="shared" ca="1" si="51"/>
        <v>无</v>
      </c>
      <c r="AG363" s="15" t="e">
        <f t="shared" ca="1" si="57"/>
        <v>#N/A</v>
      </c>
      <c r="AH363" s="15" t="str">
        <f t="shared" ca="1" si="58"/>
        <v>{0}</v>
      </c>
      <c r="AI363" s="15" t="e">
        <f t="shared" ca="1" si="52"/>
        <v>#N/A</v>
      </c>
      <c r="AJ363" s="26" t="e">
        <f t="shared" ca="1" si="59"/>
        <v>#N/A</v>
      </c>
    </row>
    <row r="364" spans="1:36" x14ac:dyDescent="0.25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3"/>
      <c r="O364" s="32">
        <f t="shared" si="53"/>
        <v>0</v>
      </c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15">
        <f t="shared" si="54"/>
        <v>0</v>
      </c>
      <c r="AA364" s="15">
        <f>SUM(Z$3:Z364)</f>
        <v>257</v>
      </c>
      <c r="AB364" s="37">
        <f t="shared" si="55"/>
        <v>620</v>
      </c>
      <c r="AC364" s="37">
        <f>COUNTIF(AB$3:AB364,AB364)</f>
        <v>105</v>
      </c>
      <c r="AD364" s="15" t="e">
        <f t="shared" ca="1" si="50"/>
        <v>#N/A</v>
      </c>
      <c r="AE364" s="37" t="e">
        <f t="shared" ca="1" si="56"/>
        <v>#VALUE!</v>
      </c>
      <c r="AF364" s="15" t="str">
        <f t="shared" ca="1" si="51"/>
        <v>无</v>
      </c>
      <c r="AG364" s="15" t="e">
        <f t="shared" ca="1" si="57"/>
        <v>#N/A</v>
      </c>
      <c r="AH364" s="15" t="str">
        <f t="shared" ca="1" si="58"/>
        <v>{0}</v>
      </c>
      <c r="AI364" s="15" t="e">
        <f t="shared" ca="1" si="52"/>
        <v>#N/A</v>
      </c>
      <c r="AJ364" s="26" t="e">
        <f t="shared" ca="1" si="59"/>
        <v>#N/A</v>
      </c>
    </row>
    <row r="365" spans="1:36" x14ac:dyDescent="0.25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3"/>
      <c r="O365" s="32">
        <f t="shared" si="53"/>
        <v>0</v>
      </c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15">
        <f t="shared" si="54"/>
        <v>0</v>
      </c>
      <c r="AA365" s="15">
        <f>SUM(Z$3:Z365)</f>
        <v>257</v>
      </c>
      <c r="AB365" s="37">
        <f t="shared" si="55"/>
        <v>620</v>
      </c>
      <c r="AC365" s="37">
        <f>COUNTIF(AB$3:AB365,AB365)</f>
        <v>106</v>
      </c>
      <c r="AD365" s="15" t="e">
        <f t="shared" ca="1" si="50"/>
        <v>#N/A</v>
      </c>
      <c r="AE365" s="37" t="e">
        <f t="shared" ca="1" si="56"/>
        <v>#VALUE!</v>
      </c>
      <c r="AF365" s="15" t="str">
        <f t="shared" ca="1" si="51"/>
        <v>无</v>
      </c>
      <c r="AG365" s="15" t="e">
        <f t="shared" ca="1" si="57"/>
        <v>#N/A</v>
      </c>
      <c r="AH365" s="15" t="str">
        <f t="shared" ca="1" si="58"/>
        <v>{0}</v>
      </c>
      <c r="AI365" s="15" t="e">
        <f t="shared" ca="1" si="52"/>
        <v>#N/A</v>
      </c>
      <c r="AJ365" s="26" t="e">
        <f t="shared" ca="1" si="59"/>
        <v>#N/A</v>
      </c>
    </row>
    <row r="366" spans="1:36" x14ac:dyDescent="0.25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3"/>
      <c r="O366" s="32">
        <f t="shared" si="53"/>
        <v>0</v>
      </c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15">
        <f t="shared" si="54"/>
        <v>0</v>
      </c>
      <c r="AA366" s="15">
        <f>SUM(Z$3:Z366)</f>
        <v>257</v>
      </c>
      <c r="AB366" s="37">
        <f t="shared" si="55"/>
        <v>620</v>
      </c>
      <c r="AC366" s="37">
        <f>COUNTIF(AB$3:AB366,AB366)</f>
        <v>107</v>
      </c>
      <c r="AD366" s="15" t="e">
        <f t="shared" ca="1" si="50"/>
        <v>#N/A</v>
      </c>
      <c r="AE366" s="37" t="e">
        <f t="shared" ca="1" si="56"/>
        <v>#VALUE!</v>
      </c>
      <c r="AF366" s="15" t="str">
        <f t="shared" ca="1" si="51"/>
        <v>无</v>
      </c>
      <c r="AG366" s="15" t="e">
        <f t="shared" ca="1" si="57"/>
        <v>#N/A</v>
      </c>
      <c r="AH366" s="15" t="str">
        <f t="shared" ca="1" si="58"/>
        <v>{0}</v>
      </c>
      <c r="AI366" s="15" t="e">
        <f t="shared" ca="1" si="52"/>
        <v>#N/A</v>
      </c>
      <c r="AJ366" s="26" t="e">
        <f t="shared" ca="1" si="59"/>
        <v>#N/A</v>
      </c>
    </row>
    <row r="367" spans="1:36" x14ac:dyDescent="0.25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3"/>
      <c r="O367" s="32">
        <f t="shared" si="53"/>
        <v>0</v>
      </c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15">
        <f t="shared" si="54"/>
        <v>0</v>
      </c>
      <c r="AA367" s="15">
        <f>SUM(Z$3:Z367)</f>
        <v>257</v>
      </c>
      <c r="AB367" s="37">
        <f t="shared" si="55"/>
        <v>620</v>
      </c>
      <c r="AC367" s="37">
        <f>COUNTIF(AB$3:AB367,AB367)</f>
        <v>108</v>
      </c>
      <c r="AD367" s="15" t="e">
        <f t="shared" ca="1" si="50"/>
        <v>#N/A</v>
      </c>
      <c r="AE367" s="37" t="e">
        <f t="shared" ca="1" si="56"/>
        <v>#VALUE!</v>
      </c>
      <c r="AF367" s="15" t="str">
        <f t="shared" ca="1" si="51"/>
        <v>无</v>
      </c>
      <c r="AG367" s="15" t="e">
        <f t="shared" ca="1" si="57"/>
        <v>#N/A</v>
      </c>
      <c r="AH367" s="15" t="str">
        <f t="shared" ca="1" si="58"/>
        <v>{0}</v>
      </c>
      <c r="AI367" s="15" t="e">
        <f t="shared" ca="1" si="52"/>
        <v>#N/A</v>
      </c>
      <c r="AJ367" s="26" t="e">
        <f t="shared" ca="1" si="59"/>
        <v>#N/A</v>
      </c>
    </row>
    <row r="368" spans="1:36" x14ac:dyDescent="0.25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3"/>
      <c r="O368" s="32">
        <f t="shared" si="53"/>
        <v>0</v>
      </c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15">
        <f t="shared" si="54"/>
        <v>0</v>
      </c>
      <c r="AA368" s="15">
        <f>SUM(Z$3:Z368)</f>
        <v>257</v>
      </c>
      <c r="AB368" s="37">
        <f t="shared" si="55"/>
        <v>620</v>
      </c>
      <c r="AC368" s="37">
        <f>COUNTIF(AB$3:AB368,AB368)</f>
        <v>109</v>
      </c>
      <c r="AD368" s="15" t="e">
        <f t="shared" ca="1" si="50"/>
        <v>#N/A</v>
      </c>
      <c r="AE368" s="37" t="e">
        <f t="shared" ca="1" si="56"/>
        <v>#VALUE!</v>
      </c>
      <c r="AF368" s="15" t="str">
        <f t="shared" ca="1" si="51"/>
        <v>无</v>
      </c>
      <c r="AG368" s="15" t="e">
        <f t="shared" ca="1" si="57"/>
        <v>#N/A</v>
      </c>
      <c r="AH368" s="15" t="str">
        <f t="shared" ca="1" si="58"/>
        <v>{0}</v>
      </c>
      <c r="AI368" s="15" t="e">
        <f t="shared" ca="1" si="52"/>
        <v>#N/A</v>
      </c>
      <c r="AJ368" s="26" t="e">
        <f t="shared" ca="1" si="59"/>
        <v>#N/A</v>
      </c>
    </row>
    <row r="369" spans="1:36" x14ac:dyDescent="0.25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3"/>
      <c r="O369" s="32">
        <f t="shared" si="53"/>
        <v>0</v>
      </c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15">
        <f t="shared" si="54"/>
        <v>0</v>
      </c>
      <c r="AA369" s="15">
        <f>SUM(Z$3:Z369)</f>
        <v>257</v>
      </c>
      <c r="AB369" s="37">
        <f t="shared" si="55"/>
        <v>620</v>
      </c>
      <c r="AC369" s="37">
        <f>COUNTIF(AB$3:AB369,AB369)</f>
        <v>110</v>
      </c>
      <c r="AD369" s="15" t="e">
        <f t="shared" ca="1" si="50"/>
        <v>#N/A</v>
      </c>
      <c r="AE369" s="37" t="e">
        <f t="shared" ca="1" si="56"/>
        <v>#VALUE!</v>
      </c>
      <c r="AF369" s="15" t="str">
        <f t="shared" ca="1" si="51"/>
        <v>无</v>
      </c>
      <c r="AG369" s="15" t="e">
        <f t="shared" ca="1" si="57"/>
        <v>#N/A</v>
      </c>
      <c r="AH369" s="15" t="str">
        <f t="shared" ca="1" si="58"/>
        <v>{0}</v>
      </c>
      <c r="AI369" s="15" t="e">
        <f t="shared" ca="1" si="52"/>
        <v>#N/A</v>
      </c>
      <c r="AJ369" s="26" t="e">
        <f t="shared" ca="1" si="59"/>
        <v>#N/A</v>
      </c>
    </row>
    <row r="370" spans="1:36" x14ac:dyDescent="0.25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3"/>
      <c r="O370" s="32">
        <f t="shared" si="53"/>
        <v>0</v>
      </c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15">
        <f t="shared" si="54"/>
        <v>0</v>
      </c>
      <c r="AA370" s="15">
        <f>SUM(Z$3:Z370)</f>
        <v>257</v>
      </c>
      <c r="AB370" s="37">
        <f t="shared" si="55"/>
        <v>620</v>
      </c>
      <c r="AC370" s="37">
        <f>COUNTIF(AB$3:AB370,AB370)</f>
        <v>111</v>
      </c>
      <c r="AD370" s="15" t="e">
        <f t="shared" ca="1" si="50"/>
        <v>#N/A</v>
      </c>
      <c r="AE370" s="37" t="e">
        <f t="shared" ca="1" si="56"/>
        <v>#VALUE!</v>
      </c>
      <c r="AF370" s="15" t="str">
        <f t="shared" ca="1" si="51"/>
        <v>无</v>
      </c>
      <c r="AG370" s="15" t="e">
        <f t="shared" ca="1" si="57"/>
        <v>#N/A</v>
      </c>
      <c r="AH370" s="15" t="str">
        <f t="shared" ca="1" si="58"/>
        <v>{0}</v>
      </c>
      <c r="AI370" s="15" t="e">
        <f t="shared" ca="1" si="52"/>
        <v>#N/A</v>
      </c>
      <c r="AJ370" s="26" t="e">
        <f t="shared" ca="1" si="59"/>
        <v>#N/A</v>
      </c>
    </row>
    <row r="371" spans="1:36" x14ac:dyDescent="0.25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3"/>
      <c r="O371" s="32">
        <f t="shared" si="53"/>
        <v>0</v>
      </c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15">
        <f t="shared" si="54"/>
        <v>0</v>
      </c>
      <c r="AA371" s="15">
        <f>SUM(Z$3:Z371)</f>
        <v>257</v>
      </c>
      <c r="AB371" s="37">
        <f t="shared" si="55"/>
        <v>620</v>
      </c>
      <c r="AC371" s="37">
        <f>COUNTIF(AB$3:AB371,AB371)</f>
        <v>112</v>
      </c>
      <c r="AD371" s="15" t="e">
        <f t="shared" ca="1" si="50"/>
        <v>#N/A</v>
      </c>
      <c r="AE371" s="37" t="e">
        <f t="shared" ca="1" si="56"/>
        <v>#VALUE!</v>
      </c>
      <c r="AF371" s="15" t="str">
        <f t="shared" ca="1" si="51"/>
        <v>无</v>
      </c>
      <c r="AG371" s="15" t="e">
        <f t="shared" ca="1" si="57"/>
        <v>#N/A</v>
      </c>
      <c r="AH371" s="15" t="str">
        <f t="shared" ca="1" si="58"/>
        <v>{0}</v>
      </c>
      <c r="AI371" s="15" t="e">
        <f t="shared" ca="1" si="52"/>
        <v>#N/A</v>
      </c>
      <c r="AJ371" s="26" t="e">
        <f t="shared" ca="1" si="59"/>
        <v>#N/A</v>
      </c>
    </row>
    <row r="372" spans="1:36" x14ac:dyDescent="0.25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3"/>
      <c r="O372" s="32">
        <f t="shared" si="53"/>
        <v>0</v>
      </c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15">
        <f t="shared" si="54"/>
        <v>0</v>
      </c>
      <c r="AA372" s="15">
        <f>SUM(Z$3:Z372)</f>
        <v>257</v>
      </c>
      <c r="AB372" s="37">
        <f t="shared" si="55"/>
        <v>620</v>
      </c>
      <c r="AC372" s="37">
        <f>COUNTIF(AB$3:AB372,AB372)</f>
        <v>113</v>
      </c>
      <c r="AD372" s="15" t="e">
        <f t="shared" ca="1" si="50"/>
        <v>#N/A</v>
      </c>
      <c r="AE372" s="37" t="e">
        <f t="shared" ca="1" si="56"/>
        <v>#VALUE!</v>
      </c>
      <c r="AF372" s="15" t="str">
        <f t="shared" ca="1" si="51"/>
        <v>无</v>
      </c>
      <c r="AG372" s="15" t="e">
        <f t="shared" ca="1" si="57"/>
        <v>#N/A</v>
      </c>
      <c r="AH372" s="15" t="str">
        <f t="shared" ca="1" si="58"/>
        <v>{0}</v>
      </c>
      <c r="AI372" s="15" t="e">
        <f t="shared" ca="1" si="52"/>
        <v>#N/A</v>
      </c>
      <c r="AJ372" s="26" t="e">
        <f t="shared" ca="1" si="59"/>
        <v>#N/A</v>
      </c>
    </row>
    <row r="373" spans="1:36" x14ac:dyDescent="0.25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3"/>
      <c r="O373" s="32">
        <f t="shared" si="53"/>
        <v>0</v>
      </c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15">
        <f t="shared" si="54"/>
        <v>0</v>
      </c>
      <c r="AA373" s="15">
        <f>SUM(Z$3:Z373)</f>
        <v>257</v>
      </c>
      <c r="AB373" s="37">
        <f t="shared" si="55"/>
        <v>620</v>
      </c>
      <c r="AC373" s="37">
        <f>COUNTIF(AB$3:AB373,AB373)</f>
        <v>114</v>
      </c>
      <c r="AD373" s="15" t="e">
        <f t="shared" ca="1" si="50"/>
        <v>#N/A</v>
      </c>
      <c r="AE373" s="37" t="e">
        <f t="shared" ca="1" si="56"/>
        <v>#VALUE!</v>
      </c>
      <c r="AF373" s="15" t="str">
        <f t="shared" ca="1" si="51"/>
        <v>无</v>
      </c>
      <c r="AG373" s="15" t="e">
        <f t="shared" ca="1" si="57"/>
        <v>#N/A</v>
      </c>
      <c r="AH373" s="15" t="str">
        <f t="shared" ca="1" si="58"/>
        <v>{0}</v>
      </c>
      <c r="AI373" s="15" t="e">
        <f t="shared" ca="1" si="52"/>
        <v>#N/A</v>
      </c>
      <c r="AJ373" s="26" t="e">
        <f t="shared" ca="1" si="59"/>
        <v>#N/A</v>
      </c>
    </row>
    <row r="374" spans="1:36" x14ac:dyDescent="0.25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3"/>
      <c r="O374" s="32">
        <f t="shared" si="53"/>
        <v>0</v>
      </c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15">
        <f t="shared" si="54"/>
        <v>0</v>
      </c>
      <c r="AA374" s="15">
        <f>SUM(Z$3:Z374)</f>
        <v>257</v>
      </c>
      <c r="AB374" s="37">
        <f t="shared" si="55"/>
        <v>620</v>
      </c>
      <c r="AC374" s="37">
        <f>COUNTIF(AB$3:AB374,AB374)</f>
        <v>115</v>
      </c>
      <c r="AD374" s="15" t="e">
        <f t="shared" ca="1" si="50"/>
        <v>#N/A</v>
      </c>
      <c r="AE374" s="37" t="e">
        <f t="shared" ca="1" si="56"/>
        <v>#VALUE!</v>
      </c>
      <c r="AF374" s="15" t="str">
        <f t="shared" ca="1" si="51"/>
        <v>无</v>
      </c>
      <c r="AG374" s="15" t="e">
        <f t="shared" ca="1" si="57"/>
        <v>#N/A</v>
      </c>
      <c r="AH374" s="15" t="str">
        <f t="shared" ca="1" si="58"/>
        <v>{0}</v>
      </c>
      <c r="AI374" s="15" t="e">
        <f t="shared" ca="1" si="52"/>
        <v>#N/A</v>
      </c>
      <c r="AJ374" s="26" t="e">
        <f t="shared" ca="1" si="59"/>
        <v>#N/A</v>
      </c>
    </row>
    <row r="375" spans="1:36" x14ac:dyDescent="0.25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3"/>
      <c r="O375" s="32">
        <f t="shared" si="53"/>
        <v>0</v>
      </c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15">
        <f t="shared" si="54"/>
        <v>0</v>
      </c>
      <c r="AA375" s="15">
        <f>SUM(Z$3:Z375)</f>
        <v>257</v>
      </c>
      <c r="AB375" s="37">
        <f t="shared" si="55"/>
        <v>620</v>
      </c>
      <c r="AC375" s="37">
        <f>COUNTIF(AB$3:AB375,AB375)</f>
        <v>116</v>
      </c>
      <c r="AD375" s="15" t="e">
        <f t="shared" ca="1" si="50"/>
        <v>#N/A</v>
      </c>
      <c r="AE375" s="37" t="e">
        <f t="shared" ca="1" si="56"/>
        <v>#VALUE!</v>
      </c>
      <c r="AF375" s="15" t="str">
        <f t="shared" ca="1" si="51"/>
        <v>无</v>
      </c>
      <c r="AG375" s="15" t="e">
        <f t="shared" ca="1" si="57"/>
        <v>#N/A</v>
      </c>
      <c r="AH375" s="15" t="str">
        <f t="shared" ca="1" si="58"/>
        <v>{0}</v>
      </c>
      <c r="AI375" s="15" t="e">
        <f t="shared" ca="1" si="52"/>
        <v>#N/A</v>
      </c>
      <c r="AJ375" s="26" t="e">
        <f t="shared" ca="1" si="59"/>
        <v>#N/A</v>
      </c>
    </row>
    <row r="376" spans="1:36" x14ac:dyDescent="0.25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3"/>
      <c r="O376" s="32">
        <f t="shared" si="53"/>
        <v>0</v>
      </c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15">
        <f t="shared" si="54"/>
        <v>0</v>
      </c>
      <c r="AA376" s="15">
        <f>SUM(Z$3:Z376)</f>
        <v>257</v>
      </c>
      <c r="AB376" s="37">
        <f t="shared" si="55"/>
        <v>620</v>
      </c>
      <c r="AC376" s="37">
        <f>COUNTIF(AB$3:AB376,AB376)</f>
        <v>117</v>
      </c>
      <c r="AD376" s="15" t="e">
        <f t="shared" ca="1" si="50"/>
        <v>#N/A</v>
      </c>
      <c r="AE376" s="37" t="e">
        <f t="shared" ca="1" si="56"/>
        <v>#VALUE!</v>
      </c>
      <c r="AF376" s="15" t="str">
        <f t="shared" ca="1" si="51"/>
        <v>无</v>
      </c>
      <c r="AG376" s="15" t="e">
        <f t="shared" ca="1" si="57"/>
        <v>#N/A</v>
      </c>
      <c r="AH376" s="15" t="str">
        <f t="shared" ca="1" si="58"/>
        <v>{0}</v>
      </c>
      <c r="AI376" s="15" t="e">
        <f t="shared" ca="1" si="52"/>
        <v>#N/A</v>
      </c>
      <c r="AJ376" s="26" t="e">
        <f t="shared" ca="1" si="59"/>
        <v>#N/A</v>
      </c>
    </row>
    <row r="377" spans="1:36" x14ac:dyDescent="0.25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3"/>
      <c r="O377" s="32">
        <f t="shared" si="53"/>
        <v>0</v>
      </c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15">
        <f t="shared" si="54"/>
        <v>0</v>
      </c>
      <c r="AA377" s="15">
        <f>SUM(Z$3:Z377)</f>
        <v>257</v>
      </c>
      <c r="AB377" s="37">
        <f t="shared" si="55"/>
        <v>620</v>
      </c>
      <c r="AC377" s="37">
        <f>COUNTIF(AB$3:AB377,AB377)</f>
        <v>118</v>
      </c>
      <c r="AD377" s="15" t="e">
        <f t="shared" ca="1" si="50"/>
        <v>#N/A</v>
      </c>
      <c r="AE377" s="37" t="e">
        <f t="shared" ca="1" si="56"/>
        <v>#VALUE!</v>
      </c>
      <c r="AF377" s="15" t="str">
        <f t="shared" ca="1" si="51"/>
        <v>无</v>
      </c>
      <c r="AG377" s="15" t="e">
        <f t="shared" ca="1" si="57"/>
        <v>#N/A</v>
      </c>
      <c r="AH377" s="15" t="str">
        <f t="shared" ca="1" si="58"/>
        <v>{0}</v>
      </c>
      <c r="AI377" s="15" t="e">
        <f t="shared" ca="1" si="52"/>
        <v>#N/A</v>
      </c>
      <c r="AJ377" s="26" t="e">
        <f t="shared" ca="1" si="59"/>
        <v>#N/A</v>
      </c>
    </row>
    <row r="378" spans="1:36" x14ac:dyDescent="0.25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3"/>
      <c r="O378" s="32">
        <f t="shared" si="53"/>
        <v>0</v>
      </c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15">
        <f t="shared" si="54"/>
        <v>0</v>
      </c>
      <c r="AA378" s="15">
        <f>SUM(Z$3:Z378)</f>
        <v>257</v>
      </c>
      <c r="AB378" s="37">
        <f t="shared" si="55"/>
        <v>620</v>
      </c>
      <c r="AC378" s="37">
        <f>COUNTIF(AB$3:AB378,AB378)</f>
        <v>119</v>
      </c>
      <c r="AD378" s="15" t="e">
        <f t="shared" ca="1" si="50"/>
        <v>#N/A</v>
      </c>
      <c r="AE378" s="37" t="e">
        <f t="shared" ca="1" si="56"/>
        <v>#VALUE!</v>
      </c>
      <c r="AF378" s="15" t="str">
        <f t="shared" ca="1" si="51"/>
        <v>无</v>
      </c>
      <c r="AG378" s="15" t="e">
        <f t="shared" ca="1" si="57"/>
        <v>#N/A</v>
      </c>
      <c r="AH378" s="15" t="str">
        <f t="shared" ca="1" si="58"/>
        <v>{0}</v>
      </c>
      <c r="AI378" s="15" t="e">
        <f t="shared" ca="1" si="52"/>
        <v>#N/A</v>
      </c>
      <c r="AJ378" s="26" t="e">
        <f t="shared" ca="1" si="59"/>
        <v>#N/A</v>
      </c>
    </row>
    <row r="379" spans="1:36" x14ac:dyDescent="0.25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3"/>
      <c r="O379" s="32">
        <f t="shared" si="53"/>
        <v>0</v>
      </c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15">
        <f t="shared" si="54"/>
        <v>0</v>
      </c>
      <c r="AA379" s="15">
        <f>SUM(Z$3:Z379)</f>
        <v>257</v>
      </c>
      <c r="AB379" s="37">
        <f t="shared" si="55"/>
        <v>620</v>
      </c>
      <c r="AC379" s="37">
        <f>COUNTIF(AB$3:AB379,AB379)</f>
        <v>120</v>
      </c>
      <c r="AD379" s="15" t="e">
        <f t="shared" ca="1" si="50"/>
        <v>#N/A</v>
      </c>
      <c r="AE379" s="37" t="e">
        <f t="shared" ca="1" si="56"/>
        <v>#VALUE!</v>
      </c>
      <c r="AF379" s="15" t="str">
        <f t="shared" ca="1" si="51"/>
        <v>无</v>
      </c>
      <c r="AG379" s="15" t="e">
        <f t="shared" ca="1" si="57"/>
        <v>#N/A</v>
      </c>
      <c r="AH379" s="15" t="str">
        <f t="shared" ca="1" si="58"/>
        <v>{0}</v>
      </c>
      <c r="AI379" s="15" t="e">
        <f t="shared" ca="1" si="52"/>
        <v>#N/A</v>
      </c>
      <c r="AJ379" s="26" t="e">
        <f t="shared" ca="1" si="59"/>
        <v>#N/A</v>
      </c>
    </row>
    <row r="380" spans="1:36" x14ac:dyDescent="0.25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3"/>
      <c r="O380" s="32">
        <f t="shared" si="53"/>
        <v>0</v>
      </c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15">
        <f t="shared" si="54"/>
        <v>0</v>
      </c>
      <c r="AA380" s="15">
        <f>SUM(Z$3:Z380)</f>
        <v>257</v>
      </c>
      <c r="AB380" s="37">
        <f t="shared" si="55"/>
        <v>620</v>
      </c>
      <c r="AC380" s="37">
        <f>COUNTIF(AB$3:AB380,AB380)</f>
        <v>121</v>
      </c>
      <c r="AD380" s="15" t="e">
        <f t="shared" ca="1" si="50"/>
        <v>#N/A</v>
      </c>
      <c r="AE380" s="37" t="e">
        <f t="shared" ca="1" si="56"/>
        <v>#VALUE!</v>
      </c>
      <c r="AF380" s="15" t="str">
        <f t="shared" ca="1" si="51"/>
        <v>无</v>
      </c>
      <c r="AG380" s="15" t="e">
        <f t="shared" ca="1" si="57"/>
        <v>#N/A</v>
      </c>
      <c r="AH380" s="15" t="str">
        <f t="shared" ca="1" si="58"/>
        <v>{0}</v>
      </c>
      <c r="AI380" s="15" t="e">
        <f t="shared" ca="1" si="52"/>
        <v>#N/A</v>
      </c>
      <c r="AJ380" s="26" t="e">
        <f t="shared" ca="1" si="59"/>
        <v>#N/A</v>
      </c>
    </row>
    <row r="381" spans="1:36" x14ac:dyDescent="0.25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3"/>
      <c r="O381" s="32">
        <f t="shared" si="53"/>
        <v>0</v>
      </c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15">
        <f t="shared" si="54"/>
        <v>0</v>
      </c>
      <c r="AA381" s="15">
        <f>SUM(Z$3:Z381)</f>
        <v>257</v>
      </c>
      <c r="AB381" s="37">
        <f t="shared" si="55"/>
        <v>620</v>
      </c>
      <c r="AC381" s="37">
        <f>COUNTIF(AB$3:AB381,AB381)</f>
        <v>122</v>
      </c>
      <c r="AD381" s="15" t="e">
        <f t="shared" ca="1" si="50"/>
        <v>#N/A</v>
      </c>
      <c r="AE381" s="37" t="e">
        <f t="shared" ca="1" si="56"/>
        <v>#VALUE!</v>
      </c>
      <c r="AF381" s="15" t="str">
        <f t="shared" ca="1" si="51"/>
        <v>无</v>
      </c>
      <c r="AG381" s="15" t="e">
        <f t="shared" ca="1" si="57"/>
        <v>#N/A</v>
      </c>
      <c r="AH381" s="15" t="str">
        <f t="shared" ca="1" si="58"/>
        <v>{0}</v>
      </c>
      <c r="AI381" s="15" t="e">
        <f t="shared" ca="1" si="52"/>
        <v>#N/A</v>
      </c>
      <c r="AJ381" s="26" t="e">
        <f t="shared" ca="1" si="59"/>
        <v>#N/A</v>
      </c>
    </row>
    <row r="382" spans="1:36" x14ac:dyDescent="0.25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3"/>
      <c r="O382" s="32">
        <f t="shared" si="53"/>
        <v>0</v>
      </c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15">
        <f t="shared" si="54"/>
        <v>0</v>
      </c>
      <c r="AA382" s="15">
        <f>SUM(Z$3:Z382)</f>
        <v>257</v>
      </c>
      <c r="AB382" s="37">
        <f t="shared" si="55"/>
        <v>620</v>
      </c>
      <c r="AC382" s="37">
        <f>COUNTIF(AB$3:AB382,AB382)</f>
        <v>123</v>
      </c>
      <c r="AD382" s="15" t="e">
        <f t="shared" ca="1" si="50"/>
        <v>#N/A</v>
      </c>
      <c r="AE382" s="37" t="e">
        <f t="shared" ca="1" si="56"/>
        <v>#VALUE!</v>
      </c>
      <c r="AF382" s="15" t="str">
        <f t="shared" ca="1" si="51"/>
        <v>无</v>
      </c>
      <c r="AG382" s="15" t="e">
        <f t="shared" ca="1" si="57"/>
        <v>#N/A</v>
      </c>
      <c r="AH382" s="15" t="str">
        <f t="shared" ca="1" si="58"/>
        <v>{0}</v>
      </c>
      <c r="AI382" s="15" t="e">
        <f t="shared" ca="1" si="52"/>
        <v>#N/A</v>
      </c>
      <c r="AJ382" s="26" t="e">
        <f t="shared" ca="1" si="59"/>
        <v>#N/A</v>
      </c>
    </row>
    <row r="383" spans="1:36" x14ac:dyDescent="0.25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3"/>
      <c r="O383" s="32">
        <f t="shared" si="53"/>
        <v>0</v>
      </c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15">
        <f t="shared" si="54"/>
        <v>0</v>
      </c>
      <c r="AA383" s="15">
        <f>SUM(Z$3:Z383)</f>
        <v>257</v>
      </c>
      <c r="AB383" s="37">
        <f t="shared" si="55"/>
        <v>620</v>
      </c>
      <c r="AC383" s="37">
        <f>COUNTIF(AB$3:AB383,AB383)</f>
        <v>124</v>
      </c>
      <c r="AD383" s="15" t="e">
        <f t="shared" ca="1" si="50"/>
        <v>#N/A</v>
      </c>
      <c r="AE383" s="37" t="e">
        <f t="shared" ca="1" si="56"/>
        <v>#VALUE!</v>
      </c>
      <c r="AF383" s="15" t="str">
        <f t="shared" ca="1" si="51"/>
        <v>无</v>
      </c>
      <c r="AG383" s="15" t="e">
        <f t="shared" ca="1" si="57"/>
        <v>#N/A</v>
      </c>
      <c r="AH383" s="15" t="str">
        <f t="shared" ca="1" si="58"/>
        <v>{0}</v>
      </c>
      <c r="AI383" s="15" t="e">
        <f t="shared" ca="1" si="52"/>
        <v>#N/A</v>
      </c>
      <c r="AJ383" s="26" t="e">
        <f t="shared" ca="1" si="59"/>
        <v>#N/A</v>
      </c>
    </row>
    <row r="384" spans="1:36" x14ac:dyDescent="0.25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3"/>
      <c r="O384" s="32">
        <f t="shared" si="53"/>
        <v>0</v>
      </c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15">
        <f t="shared" si="54"/>
        <v>0</v>
      </c>
      <c r="AA384" s="15">
        <f>SUM(Z$3:Z384)</f>
        <v>257</v>
      </c>
      <c r="AB384" s="37">
        <f t="shared" si="55"/>
        <v>620</v>
      </c>
      <c r="AC384" s="37">
        <f>COUNTIF(AB$3:AB384,AB384)</f>
        <v>125</v>
      </c>
      <c r="AD384" s="15" t="e">
        <f t="shared" ca="1" si="50"/>
        <v>#N/A</v>
      </c>
      <c r="AE384" s="37" t="e">
        <f t="shared" ca="1" si="56"/>
        <v>#VALUE!</v>
      </c>
      <c r="AF384" s="15" t="str">
        <f t="shared" ca="1" si="51"/>
        <v>无</v>
      </c>
      <c r="AG384" s="15" t="e">
        <f t="shared" ca="1" si="57"/>
        <v>#N/A</v>
      </c>
      <c r="AH384" s="15" t="str">
        <f t="shared" ca="1" si="58"/>
        <v>{0}</v>
      </c>
      <c r="AI384" s="15" t="e">
        <f t="shared" ca="1" si="52"/>
        <v>#N/A</v>
      </c>
      <c r="AJ384" s="26" t="e">
        <f t="shared" ca="1" si="59"/>
        <v>#N/A</v>
      </c>
    </row>
    <row r="385" spans="1:36" x14ac:dyDescent="0.25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3"/>
      <c r="O385" s="32">
        <f t="shared" si="53"/>
        <v>0</v>
      </c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15">
        <f t="shared" si="54"/>
        <v>0</v>
      </c>
      <c r="AA385" s="15">
        <f>SUM(Z$3:Z385)</f>
        <v>257</v>
      </c>
      <c r="AB385" s="37">
        <f t="shared" si="55"/>
        <v>620</v>
      </c>
      <c r="AC385" s="37">
        <f>COUNTIF(AB$3:AB385,AB385)</f>
        <v>126</v>
      </c>
      <c r="AD385" s="15" t="e">
        <f t="shared" ca="1" si="50"/>
        <v>#N/A</v>
      </c>
      <c r="AE385" s="37" t="e">
        <f t="shared" ca="1" si="56"/>
        <v>#VALUE!</v>
      </c>
      <c r="AF385" s="15" t="str">
        <f t="shared" ca="1" si="51"/>
        <v>无</v>
      </c>
      <c r="AG385" s="15" t="e">
        <f t="shared" ca="1" si="57"/>
        <v>#N/A</v>
      </c>
      <c r="AH385" s="15" t="str">
        <f t="shared" ca="1" si="58"/>
        <v>{0}</v>
      </c>
      <c r="AI385" s="15" t="e">
        <f t="shared" ca="1" si="52"/>
        <v>#N/A</v>
      </c>
      <c r="AJ385" s="26" t="e">
        <f t="shared" ca="1" si="59"/>
        <v>#N/A</v>
      </c>
    </row>
    <row r="386" spans="1:36" x14ac:dyDescent="0.25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3"/>
      <c r="O386" s="32">
        <f t="shared" si="53"/>
        <v>0</v>
      </c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15">
        <f t="shared" si="54"/>
        <v>0</v>
      </c>
      <c r="AA386" s="15">
        <f>SUM(Z$3:Z386)</f>
        <v>257</v>
      </c>
      <c r="AB386" s="37">
        <f t="shared" si="55"/>
        <v>620</v>
      </c>
      <c r="AC386" s="37">
        <f>COUNTIF(AB$3:AB386,AB386)</f>
        <v>127</v>
      </c>
      <c r="AD386" s="15" t="e">
        <f t="shared" ca="1" si="50"/>
        <v>#N/A</v>
      </c>
      <c r="AE386" s="37" t="e">
        <f t="shared" ca="1" si="56"/>
        <v>#VALUE!</v>
      </c>
      <c r="AF386" s="15" t="str">
        <f t="shared" ca="1" si="51"/>
        <v>无</v>
      </c>
      <c r="AG386" s="15" t="e">
        <f t="shared" ca="1" si="57"/>
        <v>#N/A</v>
      </c>
      <c r="AH386" s="15" t="str">
        <f t="shared" ca="1" si="58"/>
        <v>{0}</v>
      </c>
      <c r="AI386" s="15" t="e">
        <f t="shared" ca="1" si="52"/>
        <v>#N/A</v>
      </c>
      <c r="AJ386" s="26" t="e">
        <f t="shared" ca="1" si="59"/>
        <v>#N/A</v>
      </c>
    </row>
    <row r="387" spans="1:36" x14ac:dyDescent="0.25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3"/>
      <c r="O387" s="32">
        <f t="shared" si="53"/>
        <v>0</v>
      </c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15">
        <f t="shared" si="54"/>
        <v>0</v>
      </c>
      <c r="AA387" s="15">
        <f>SUM(Z$3:Z387)</f>
        <v>257</v>
      </c>
      <c r="AB387" s="37">
        <f t="shared" si="55"/>
        <v>620</v>
      </c>
      <c r="AC387" s="37">
        <f>COUNTIF(AB$3:AB387,AB387)</f>
        <v>128</v>
      </c>
      <c r="AD387" s="15" t="e">
        <f t="shared" ref="AD387:AD450" ca="1" si="60">OFFSET($C$2,MATCH(AF387,$A:$A,0)-2,$AC387)</f>
        <v>#N/A</v>
      </c>
      <c r="AE387" s="37" t="e">
        <f t="shared" ca="1" si="56"/>
        <v>#VALUE!</v>
      </c>
      <c r="AF387" s="15" t="str">
        <f t="shared" ref="AF387:AF450" ca="1" si="61">IF(OFFSET(A$1,AB387,)="","无",OFFSET(A$1,AB387,))</f>
        <v>无</v>
      </c>
      <c r="AG387" s="15" t="e">
        <f t="shared" ca="1" si="57"/>
        <v>#N/A</v>
      </c>
      <c r="AH387" s="15" t="str">
        <f t="shared" ca="1" si="58"/>
        <v>{0}</v>
      </c>
      <c r="AI387" s="15" t="e">
        <f t="shared" ref="AI387:AI450" ca="1" si="62">IF(OFFSET($C$2,MATCH($AF387,A:A,0)-2,)="是",INT($AI$1/OFFSET($Z$2,MATCH(AF387,A:A,0)-2,)),OFFSET($O$2,MATCH($AF387,A:A,0)-2,$AC387)*$AI$1)</f>
        <v>#N/A</v>
      </c>
      <c r="AJ387" s="26" t="e">
        <f t="shared" ca="1" si="59"/>
        <v>#N/A</v>
      </c>
    </row>
    <row r="388" spans="1:36" x14ac:dyDescent="0.25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3"/>
      <c r="O388" s="32">
        <f t="shared" ref="O388:O451" si="63">SUM(P388:Y388)</f>
        <v>0</v>
      </c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15">
        <f t="shared" ref="Z388:Z451" si="64">COUNTA(D388:M388)</f>
        <v>0</v>
      </c>
      <c r="AA388" s="15">
        <f>SUM(Z$3:Z388)</f>
        <v>257</v>
      </c>
      <c r="AB388" s="37">
        <f t="shared" ref="AB388:AB451" si="65">MATCH(ROW(AB386)-0.1,AA:AA,1)</f>
        <v>620</v>
      </c>
      <c r="AC388" s="37">
        <f>COUNTIF(AB$3:AB388,AB388)</f>
        <v>129</v>
      </c>
      <c r="AD388" s="15" t="e">
        <f t="shared" ca="1" si="60"/>
        <v>#N/A</v>
      </c>
      <c r="AE388" s="37" t="e">
        <f t="shared" ref="AE388:AE451" ca="1" si="66">AF388*100+AC388</f>
        <v>#VALUE!</v>
      </c>
      <c r="AF388" s="15" t="str">
        <f t="shared" ca="1" si="61"/>
        <v>无</v>
      </c>
      <c r="AG388" s="15" t="e">
        <f t="shared" ref="AG388:AG451" ca="1" si="67">VALUE(MID(AD388,1,FIND("+",AD388,1)-1))</f>
        <v>#N/A</v>
      </c>
      <c r="AH388" s="15" t="str">
        <f t="shared" ref="AH388:AH451" ca="1" si="68">"{" &amp; IFERROR(MID($AD388,FIND("+",$AD388,1)+1,IFERROR(FIND("/",$AD388),LEN($AD388)+1)-FIND("+",$AD388)-1),0) &amp; "}"</f>
        <v>{0}</v>
      </c>
      <c r="AI388" s="15" t="e">
        <f t="shared" ca="1" si="62"/>
        <v>#N/A</v>
      </c>
      <c r="AJ388" s="26" t="e">
        <f t="shared" ref="AJ388:AJ451" ca="1" si="69">OFFSET($B$2,MATCH($AF388,A:A,0)-2,) &amp; "-" &amp; $AD388 &amp; "|" &amp; AI388/$AI$1*100 &amp; "%"</f>
        <v>#N/A</v>
      </c>
    </row>
    <row r="389" spans="1:36" x14ac:dyDescent="0.25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3"/>
      <c r="O389" s="32">
        <f t="shared" si="63"/>
        <v>0</v>
      </c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15">
        <f t="shared" si="64"/>
        <v>0</v>
      </c>
      <c r="AA389" s="15">
        <f>SUM(Z$3:Z389)</f>
        <v>257</v>
      </c>
      <c r="AB389" s="37">
        <f t="shared" si="65"/>
        <v>620</v>
      </c>
      <c r="AC389" s="37">
        <f>COUNTIF(AB$3:AB389,AB389)</f>
        <v>130</v>
      </c>
      <c r="AD389" s="15" t="e">
        <f t="shared" ca="1" si="60"/>
        <v>#N/A</v>
      </c>
      <c r="AE389" s="37" t="e">
        <f t="shared" ca="1" si="66"/>
        <v>#VALUE!</v>
      </c>
      <c r="AF389" s="15" t="str">
        <f t="shared" ca="1" si="61"/>
        <v>无</v>
      </c>
      <c r="AG389" s="15" t="e">
        <f t="shared" ca="1" si="67"/>
        <v>#N/A</v>
      </c>
      <c r="AH389" s="15" t="str">
        <f t="shared" ca="1" si="68"/>
        <v>{0}</v>
      </c>
      <c r="AI389" s="15" t="e">
        <f t="shared" ca="1" si="62"/>
        <v>#N/A</v>
      </c>
      <c r="AJ389" s="26" t="e">
        <f t="shared" ca="1" si="69"/>
        <v>#N/A</v>
      </c>
    </row>
    <row r="390" spans="1:36" x14ac:dyDescent="0.25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3"/>
      <c r="O390" s="32">
        <f t="shared" si="63"/>
        <v>0</v>
      </c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15">
        <f t="shared" si="64"/>
        <v>0</v>
      </c>
      <c r="AA390" s="15">
        <f>SUM(Z$3:Z390)</f>
        <v>257</v>
      </c>
      <c r="AB390" s="37">
        <f t="shared" si="65"/>
        <v>620</v>
      </c>
      <c r="AC390" s="37">
        <f>COUNTIF(AB$3:AB390,AB390)</f>
        <v>131</v>
      </c>
      <c r="AD390" s="15" t="e">
        <f t="shared" ca="1" si="60"/>
        <v>#N/A</v>
      </c>
      <c r="AE390" s="37" t="e">
        <f t="shared" ca="1" si="66"/>
        <v>#VALUE!</v>
      </c>
      <c r="AF390" s="15" t="str">
        <f t="shared" ca="1" si="61"/>
        <v>无</v>
      </c>
      <c r="AG390" s="15" t="e">
        <f t="shared" ca="1" si="67"/>
        <v>#N/A</v>
      </c>
      <c r="AH390" s="15" t="str">
        <f t="shared" ca="1" si="68"/>
        <v>{0}</v>
      </c>
      <c r="AI390" s="15" t="e">
        <f t="shared" ca="1" si="62"/>
        <v>#N/A</v>
      </c>
      <c r="AJ390" s="26" t="e">
        <f t="shared" ca="1" si="69"/>
        <v>#N/A</v>
      </c>
    </row>
    <row r="391" spans="1:36" x14ac:dyDescent="0.25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3"/>
      <c r="O391" s="32">
        <f t="shared" si="63"/>
        <v>0</v>
      </c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15">
        <f t="shared" si="64"/>
        <v>0</v>
      </c>
      <c r="AA391" s="15">
        <f>SUM(Z$3:Z391)</f>
        <v>257</v>
      </c>
      <c r="AB391" s="37">
        <f t="shared" si="65"/>
        <v>620</v>
      </c>
      <c r="AC391" s="37">
        <f>COUNTIF(AB$3:AB391,AB391)</f>
        <v>132</v>
      </c>
      <c r="AD391" s="15" t="e">
        <f t="shared" ca="1" si="60"/>
        <v>#N/A</v>
      </c>
      <c r="AE391" s="37" t="e">
        <f t="shared" ca="1" si="66"/>
        <v>#VALUE!</v>
      </c>
      <c r="AF391" s="15" t="str">
        <f t="shared" ca="1" si="61"/>
        <v>无</v>
      </c>
      <c r="AG391" s="15" t="e">
        <f t="shared" ca="1" si="67"/>
        <v>#N/A</v>
      </c>
      <c r="AH391" s="15" t="str">
        <f t="shared" ca="1" si="68"/>
        <v>{0}</v>
      </c>
      <c r="AI391" s="15" t="e">
        <f t="shared" ca="1" si="62"/>
        <v>#N/A</v>
      </c>
      <c r="AJ391" s="26" t="e">
        <f t="shared" ca="1" si="69"/>
        <v>#N/A</v>
      </c>
    </row>
    <row r="392" spans="1:36" x14ac:dyDescent="0.25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3"/>
      <c r="O392" s="32">
        <f t="shared" si="63"/>
        <v>0</v>
      </c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15">
        <f t="shared" si="64"/>
        <v>0</v>
      </c>
      <c r="AA392" s="15">
        <f>SUM(Z$3:Z392)</f>
        <v>257</v>
      </c>
      <c r="AB392" s="37">
        <f t="shared" si="65"/>
        <v>620</v>
      </c>
      <c r="AC392" s="37">
        <f>COUNTIF(AB$3:AB392,AB392)</f>
        <v>133</v>
      </c>
      <c r="AD392" s="15" t="e">
        <f t="shared" ca="1" si="60"/>
        <v>#N/A</v>
      </c>
      <c r="AE392" s="37" t="e">
        <f t="shared" ca="1" si="66"/>
        <v>#VALUE!</v>
      </c>
      <c r="AF392" s="15" t="str">
        <f t="shared" ca="1" si="61"/>
        <v>无</v>
      </c>
      <c r="AG392" s="15" t="e">
        <f t="shared" ca="1" si="67"/>
        <v>#N/A</v>
      </c>
      <c r="AH392" s="15" t="str">
        <f t="shared" ca="1" si="68"/>
        <v>{0}</v>
      </c>
      <c r="AI392" s="15" t="e">
        <f t="shared" ca="1" si="62"/>
        <v>#N/A</v>
      </c>
      <c r="AJ392" s="26" t="e">
        <f t="shared" ca="1" si="69"/>
        <v>#N/A</v>
      </c>
    </row>
    <row r="393" spans="1:36" x14ac:dyDescent="0.25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3"/>
      <c r="O393" s="32">
        <f t="shared" si="63"/>
        <v>0</v>
      </c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15">
        <f t="shared" si="64"/>
        <v>0</v>
      </c>
      <c r="AA393" s="15">
        <f>SUM(Z$3:Z393)</f>
        <v>257</v>
      </c>
      <c r="AB393" s="37">
        <f t="shared" si="65"/>
        <v>620</v>
      </c>
      <c r="AC393" s="37">
        <f>COUNTIF(AB$3:AB393,AB393)</f>
        <v>134</v>
      </c>
      <c r="AD393" s="15" t="e">
        <f t="shared" ca="1" si="60"/>
        <v>#N/A</v>
      </c>
      <c r="AE393" s="37" t="e">
        <f t="shared" ca="1" si="66"/>
        <v>#VALUE!</v>
      </c>
      <c r="AF393" s="15" t="str">
        <f t="shared" ca="1" si="61"/>
        <v>无</v>
      </c>
      <c r="AG393" s="15" t="e">
        <f t="shared" ca="1" si="67"/>
        <v>#N/A</v>
      </c>
      <c r="AH393" s="15" t="str">
        <f t="shared" ca="1" si="68"/>
        <v>{0}</v>
      </c>
      <c r="AI393" s="15" t="e">
        <f t="shared" ca="1" si="62"/>
        <v>#N/A</v>
      </c>
      <c r="AJ393" s="26" t="e">
        <f t="shared" ca="1" si="69"/>
        <v>#N/A</v>
      </c>
    </row>
    <row r="394" spans="1:36" x14ac:dyDescent="0.25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3"/>
      <c r="O394" s="32">
        <f t="shared" si="63"/>
        <v>0</v>
      </c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15">
        <f t="shared" si="64"/>
        <v>0</v>
      </c>
      <c r="AA394" s="15">
        <f>SUM(Z$3:Z394)</f>
        <v>257</v>
      </c>
      <c r="AB394" s="37">
        <f t="shared" si="65"/>
        <v>620</v>
      </c>
      <c r="AC394" s="37">
        <f>COUNTIF(AB$3:AB394,AB394)</f>
        <v>135</v>
      </c>
      <c r="AD394" s="15" t="e">
        <f t="shared" ca="1" si="60"/>
        <v>#N/A</v>
      </c>
      <c r="AE394" s="37" t="e">
        <f t="shared" ca="1" si="66"/>
        <v>#VALUE!</v>
      </c>
      <c r="AF394" s="15" t="str">
        <f t="shared" ca="1" si="61"/>
        <v>无</v>
      </c>
      <c r="AG394" s="15" t="e">
        <f t="shared" ca="1" si="67"/>
        <v>#N/A</v>
      </c>
      <c r="AH394" s="15" t="str">
        <f t="shared" ca="1" si="68"/>
        <v>{0}</v>
      </c>
      <c r="AI394" s="15" t="e">
        <f t="shared" ca="1" si="62"/>
        <v>#N/A</v>
      </c>
      <c r="AJ394" s="26" t="e">
        <f t="shared" ca="1" si="69"/>
        <v>#N/A</v>
      </c>
    </row>
    <row r="395" spans="1:36" x14ac:dyDescent="0.25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3"/>
      <c r="O395" s="32">
        <f t="shared" si="63"/>
        <v>0</v>
      </c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15">
        <f t="shared" si="64"/>
        <v>0</v>
      </c>
      <c r="AA395" s="15">
        <f>SUM(Z$3:Z395)</f>
        <v>257</v>
      </c>
      <c r="AB395" s="37">
        <f t="shared" si="65"/>
        <v>620</v>
      </c>
      <c r="AC395" s="37">
        <f>COUNTIF(AB$3:AB395,AB395)</f>
        <v>136</v>
      </c>
      <c r="AD395" s="15" t="e">
        <f t="shared" ca="1" si="60"/>
        <v>#N/A</v>
      </c>
      <c r="AE395" s="37" t="e">
        <f t="shared" ca="1" si="66"/>
        <v>#VALUE!</v>
      </c>
      <c r="AF395" s="15" t="str">
        <f t="shared" ca="1" si="61"/>
        <v>无</v>
      </c>
      <c r="AG395" s="15" t="e">
        <f t="shared" ca="1" si="67"/>
        <v>#N/A</v>
      </c>
      <c r="AH395" s="15" t="str">
        <f t="shared" ca="1" si="68"/>
        <v>{0}</v>
      </c>
      <c r="AI395" s="15" t="e">
        <f t="shared" ca="1" si="62"/>
        <v>#N/A</v>
      </c>
      <c r="AJ395" s="26" t="e">
        <f t="shared" ca="1" si="69"/>
        <v>#N/A</v>
      </c>
    </row>
    <row r="396" spans="1:36" x14ac:dyDescent="0.25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3"/>
      <c r="O396" s="32">
        <f t="shared" si="63"/>
        <v>0</v>
      </c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15">
        <f t="shared" si="64"/>
        <v>0</v>
      </c>
      <c r="AA396" s="15">
        <f>SUM(Z$3:Z396)</f>
        <v>257</v>
      </c>
      <c r="AB396" s="37">
        <f t="shared" si="65"/>
        <v>620</v>
      </c>
      <c r="AC396" s="37">
        <f>COUNTIF(AB$3:AB396,AB396)</f>
        <v>137</v>
      </c>
      <c r="AD396" s="15" t="e">
        <f t="shared" ca="1" si="60"/>
        <v>#N/A</v>
      </c>
      <c r="AE396" s="37" t="e">
        <f t="shared" ca="1" si="66"/>
        <v>#VALUE!</v>
      </c>
      <c r="AF396" s="15" t="str">
        <f t="shared" ca="1" si="61"/>
        <v>无</v>
      </c>
      <c r="AG396" s="15" t="e">
        <f t="shared" ca="1" si="67"/>
        <v>#N/A</v>
      </c>
      <c r="AH396" s="15" t="str">
        <f t="shared" ca="1" si="68"/>
        <v>{0}</v>
      </c>
      <c r="AI396" s="15" t="e">
        <f t="shared" ca="1" si="62"/>
        <v>#N/A</v>
      </c>
      <c r="AJ396" s="26" t="e">
        <f t="shared" ca="1" si="69"/>
        <v>#N/A</v>
      </c>
    </row>
    <row r="397" spans="1:36" x14ac:dyDescent="0.25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3"/>
      <c r="O397" s="32">
        <f t="shared" si="63"/>
        <v>0</v>
      </c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15">
        <f t="shared" si="64"/>
        <v>0</v>
      </c>
      <c r="AA397" s="15">
        <f>SUM(Z$3:Z397)</f>
        <v>257</v>
      </c>
      <c r="AB397" s="37">
        <f t="shared" si="65"/>
        <v>620</v>
      </c>
      <c r="AC397" s="37">
        <f>COUNTIF(AB$3:AB397,AB397)</f>
        <v>138</v>
      </c>
      <c r="AD397" s="15" t="e">
        <f t="shared" ca="1" si="60"/>
        <v>#N/A</v>
      </c>
      <c r="AE397" s="37" t="e">
        <f t="shared" ca="1" si="66"/>
        <v>#VALUE!</v>
      </c>
      <c r="AF397" s="15" t="str">
        <f t="shared" ca="1" si="61"/>
        <v>无</v>
      </c>
      <c r="AG397" s="15" t="e">
        <f t="shared" ca="1" si="67"/>
        <v>#N/A</v>
      </c>
      <c r="AH397" s="15" t="str">
        <f t="shared" ca="1" si="68"/>
        <v>{0}</v>
      </c>
      <c r="AI397" s="15" t="e">
        <f t="shared" ca="1" si="62"/>
        <v>#N/A</v>
      </c>
      <c r="AJ397" s="26" t="e">
        <f t="shared" ca="1" si="69"/>
        <v>#N/A</v>
      </c>
    </row>
    <row r="398" spans="1:36" x14ac:dyDescent="0.25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3"/>
      <c r="O398" s="32">
        <f t="shared" si="63"/>
        <v>0</v>
      </c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15">
        <f t="shared" si="64"/>
        <v>0</v>
      </c>
      <c r="AA398" s="15">
        <f>SUM(Z$3:Z398)</f>
        <v>257</v>
      </c>
      <c r="AB398" s="37">
        <f t="shared" si="65"/>
        <v>620</v>
      </c>
      <c r="AC398" s="37">
        <f>COUNTIF(AB$3:AB398,AB398)</f>
        <v>139</v>
      </c>
      <c r="AD398" s="15" t="e">
        <f t="shared" ca="1" si="60"/>
        <v>#N/A</v>
      </c>
      <c r="AE398" s="37" t="e">
        <f t="shared" ca="1" si="66"/>
        <v>#VALUE!</v>
      </c>
      <c r="AF398" s="15" t="str">
        <f t="shared" ca="1" si="61"/>
        <v>无</v>
      </c>
      <c r="AG398" s="15" t="e">
        <f t="shared" ca="1" si="67"/>
        <v>#N/A</v>
      </c>
      <c r="AH398" s="15" t="str">
        <f t="shared" ca="1" si="68"/>
        <v>{0}</v>
      </c>
      <c r="AI398" s="15" t="e">
        <f t="shared" ca="1" si="62"/>
        <v>#N/A</v>
      </c>
      <c r="AJ398" s="26" t="e">
        <f t="shared" ca="1" si="69"/>
        <v>#N/A</v>
      </c>
    </row>
    <row r="399" spans="1:36" x14ac:dyDescent="0.25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3"/>
      <c r="O399" s="32">
        <f t="shared" si="63"/>
        <v>0</v>
      </c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15">
        <f t="shared" si="64"/>
        <v>0</v>
      </c>
      <c r="AA399" s="15">
        <f>SUM(Z$3:Z399)</f>
        <v>257</v>
      </c>
      <c r="AB399" s="37">
        <f t="shared" si="65"/>
        <v>620</v>
      </c>
      <c r="AC399" s="37">
        <f>COUNTIF(AB$3:AB399,AB399)</f>
        <v>140</v>
      </c>
      <c r="AD399" s="15" t="e">
        <f t="shared" ca="1" si="60"/>
        <v>#N/A</v>
      </c>
      <c r="AE399" s="37" t="e">
        <f t="shared" ca="1" si="66"/>
        <v>#VALUE!</v>
      </c>
      <c r="AF399" s="15" t="str">
        <f t="shared" ca="1" si="61"/>
        <v>无</v>
      </c>
      <c r="AG399" s="15" t="e">
        <f t="shared" ca="1" si="67"/>
        <v>#N/A</v>
      </c>
      <c r="AH399" s="15" t="str">
        <f t="shared" ca="1" si="68"/>
        <v>{0}</v>
      </c>
      <c r="AI399" s="15" t="e">
        <f t="shared" ca="1" si="62"/>
        <v>#N/A</v>
      </c>
      <c r="AJ399" s="26" t="e">
        <f t="shared" ca="1" si="69"/>
        <v>#N/A</v>
      </c>
    </row>
    <row r="400" spans="1:36" x14ac:dyDescent="0.25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3"/>
      <c r="O400" s="32">
        <f t="shared" si="63"/>
        <v>0</v>
      </c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15">
        <f t="shared" si="64"/>
        <v>0</v>
      </c>
      <c r="AA400" s="15">
        <f>SUM(Z$3:Z400)</f>
        <v>257</v>
      </c>
      <c r="AB400" s="37">
        <f t="shared" si="65"/>
        <v>620</v>
      </c>
      <c r="AC400" s="37">
        <f>COUNTIF(AB$3:AB400,AB400)</f>
        <v>141</v>
      </c>
      <c r="AD400" s="15" t="e">
        <f t="shared" ca="1" si="60"/>
        <v>#N/A</v>
      </c>
      <c r="AE400" s="37" t="e">
        <f t="shared" ca="1" si="66"/>
        <v>#VALUE!</v>
      </c>
      <c r="AF400" s="15" t="str">
        <f t="shared" ca="1" si="61"/>
        <v>无</v>
      </c>
      <c r="AG400" s="15" t="e">
        <f t="shared" ca="1" si="67"/>
        <v>#N/A</v>
      </c>
      <c r="AH400" s="15" t="str">
        <f t="shared" ca="1" si="68"/>
        <v>{0}</v>
      </c>
      <c r="AI400" s="15" t="e">
        <f t="shared" ca="1" si="62"/>
        <v>#N/A</v>
      </c>
      <c r="AJ400" s="26" t="e">
        <f t="shared" ca="1" si="69"/>
        <v>#N/A</v>
      </c>
    </row>
    <row r="401" spans="1:36" x14ac:dyDescent="0.25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3"/>
      <c r="O401" s="32">
        <f t="shared" si="63"/>
        <v>0</v>
      </c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15">
        <f t="shared" si="64"/>
        <v>0</v>
      </c>
      <c r="AA401" s="15">
        <f>SUM(Z$3:Z401)</f>
        <v>257</v>
      </c>
      <c r="AB401" s="37">
        <f t="shared" si="65"/>
        <v>620</v>
      </c>
      <c r="AC401" s="37">
        <f>COUNTIF(AB$3:AB401,AB401)</f>
        <v>142</v>
      </c>
      <c r="AD401" s="15" t="e">
        <f t="shared" ca="1" si="60"/>
        <v>#N/A</v>
      </c>
      <c r="AE401" s="37" t="e">
        <f t="shared" ca="1" si="66"/>
        <v>#VALUE!</v>
      </c>
      <c r="AF401" s="15" t="str">
        <f t="shared" ca="1" si="61"/>
        <v>无</v>
      </c>
      <c r="AG401" s="15" t="e">
        <f t="shared" ca="1" si="67"/>
        <v>#N/A</v>
      </c>
      <c r="AH401" s="15" t="str">
        <f t="shared" ca="1" si="68"/>
        <v>{0}</v>
      </c>
      <c r="AI401" s="15" t="e">
        <f t="shared" ca="1" si="62"/>
        <v>#N/A</v>
      </c>
      <c r="AJ401" s="26" t="e">
        <f t="shared" ca="1" si="69"/>
        <v>#N/A</v>
      </c>
    </row>
    <row r="402" spans="1:36" x14ac:dyDescent="0.25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3"/>
      <c r="O402" s="32">
        <f t="shared" si="63"/>
        <v>0</v>
      </c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15">
        <f t="shared" si="64"/>
        <v>0</v>
      </c>
      <c r="AA402" s="15">
        <f>SUM(Z$3:Z402)</f>
        <v>257</v>
      </c>
      <c r="AB402" s="37">
        <f t="shared" si="65"/>
        <v>620</v>
      </c>
      <c r="AC402" s="37">
        <f>COUNTIF(AB$3:AB402,AB402)</f>
        <v>143</v>
      </c>
      <c r="AD402" s="15" t="e">
        <f t="shared" ca="1" si="60"/>
        <v>#N/A</v>
      </c>
      <c r="AE402" s="37" t="e">
        <f t="shared" ca="1" si="66"/>
        <v>#VALUE!</v>
      </c>
      <c r="AF402" s="15" t="str">
        <f t="shared" ca="1" si="61"/>
        <v>无</v>
      </c>
      <c r="AG402" s="15" t="e">
        <f t="shared" ca="1" si="67"/>
        <v>#N/A</v>
      </c>
      <c r="AH402" s="15" t="str">
        <f t="shared" ca="1" si="68"/>
        <v>{0}</v>
      </c>
      <c r="AI402" s="15" t="e">
        <f t="shared" ca="1" si="62"/>
        <v>#N/A</v>
      </c>
      <c r="AJ402" s="26" t="e">
        <f t="shared" ca="1" si="69"/>
        <v>#N/A</v>
      </c>
    </row>
    <row r="403" spans="1:36" x14ac:dyDescent="0.25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3"/>
      <c r="O403" s="32">
        <f t="shared" si="63"/>
        <v>0</v>
      </c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15">
        <f t="shared" si="64"/>
        <v>0</v>
      </c>
      <c r="AA403" s="15">
        <f>SUM(Z$3:Z403)</f>
        <v>257</v>
      </c>
      <c r="AB403" s="37">
        <f t="shared" si="65"/>
        <v>620</v>
      </c>
      <c r="AC403" s="37">
        <f>COUNTIF(AB$3:AB403,AB403)</f>
        <v>144</v>
      </c>
      <c r="AD403" s="15" t="e">
        <f t="shared" ca="1" si="60"/>
        <v>#N/A</v>
      </c>
      <c r="AE403" s="37" t="e">
        <f t="shared" ca="1" si="66"/>
        <v>#VALUE!</v>
      </c>
      <c r="AF403" s="15" t="str">
        <f t="shared" ca="1" si="61"/>
        <v>无</v>
      </c>
      <c r="AG403" s="15" t="e">
        <f t="shared" ca="1" si="67"/>
        <v>#N/A</v>
      </c>
      <c r="AH403" s="15" t="str">
        <f t="shared" ca="1" si="68"/>
        <v>{0}</v>
      </c>
      <c r="AI403" s="15" t="e">
        <f t="shared" ca="1" si="62"/>
        <v>#N/A</v>
      </c>
      <c r="AJ403" s="26" t="e">
        <f t="shared" ca="1" si="69"/>
        <v>#N/A</v>
      </c>
    </row>
    <row r="404" spans="1:36" x14ac:dyDescent="0.25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3"/>
      <c r="O404" s="32">
        <f t="shared" si="63"/>
        <v>0</v>
      </c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15">
        <f t="shared" si="64"/>
        <v>0</v>
      </c>
      <c r="AA404" s="15">
        <f>SUM(Z$3:Z404)</f>
        <v>257</v>
      </c>
      <c r="AB404" s="37">
        <f t="shared" si="65"/>
        <v>620</v>
      </c>
      <c r="AC404" s="37">
        <f>COUNTIF(AB$3:AB404,AB404)</f>
        <v>145</v>
      </c>
      <c r="AD404" s="15" t="e">
        <f t="shared" ca="1" si="60"/>
        <v>#N/A</v>
      </c>
      <c r="AE404" s="37" t="e">
        <f t="shared" ca="1" si="66"/>
        <v>#VALUE!</v>
      </c>
      <c r="AF404" s="15" t="str">
        <f t="shared" ca="1" si="61"/>
        <v>无</v>
      </c>
      <c r="AG404" s="15" t="e">
        <f t="shared" ca="1" si="67"/>
        <v>#N/A</v>
      </c>
      <c r="AH404" s="15" t="str">
        <f t="shared" ca="1" si="68"/>
        <v>{0}</v>
      </c>
      <c r="AI404" s="15" t="e">
        <f t="shared" ca="1" si="62"/>
        <v>#N/A</v>
      </c>
      <c r="AJ404" s="26" t="e">
        <f t="shared" ca="1" si="69"/>
        <v>#N/A</v>
      </c>
    </row>
    <row r="405" spans="1:36" x14ac:dyDescent="0.25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3"/>
      <c r="O405" s="32">
        <f t="shared" si="63"/>
        <v>0</v>
      </c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15">
        <f t="shared" si="64"/>
        <v>0</v>
      </c>
      <c r="AA405" s="15">
        <f>SUM(Z$3:Z405)</f>
        <v>257</v>
      </c>
      <c r="AB405" s="37">
        <f t="shared" si="65"/>
        <v>620</v>
      </c>
      <c r="AC405" s="37">
        <f>COUNTIF(AB$3:AB405,AB405)</f>
        <v>146</v>
      </c>
      <c r="AD405" s="15" t="e">
        <f t="shared" ca="1" si="60"/>
        <v>#N/A</v>
      </c>
      <c r="AE405" s="37" t="e">
        <f t="shared" ca="1" si="66"/>
        <v>#VALUE!</v>
      </c>
      <c r="AF405" s="15" t="str">
        <f t="shared" ca="1" si="61"/>
        <v>无</v>
      </c>
      <c r="AG405" s="15" t="e">
        <f t="shared" ca="1" si="67"/>
        <v>#N/A</v>
      </c>
      <c r="AH405" s="15" t="str">
        <f t="shared" ca="1" si="68"/>
        <v>{0}</v>
      </c>
      <c r="AI405" s="15" t="e">
        <f t="shared" ca="1" si="62"/>
        <v>#N/A</v>
      </c>
      <c r="AJ405" s="26" t="e">
        <f t="shared" ca="1" si="69"/>
        <v>#N/A</v>
      </c>
    </row>
    <row r="406" spans="1:36" x14ac:dyDescent="0.25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3"/>
      <c r="O406" s="32">
        <f t="shared" si="63"/>
        <v>0</v>
      </c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15">
        <f t="shared" si="64"/>
        <v>0</v>
      </c>
      <c r="AA406" s="15">
        <f>SUM(Z$3:Z406)</f>
        <v>257</v>
      </c>
      <c r="AB406" s="37">
        <f t="shared" si="65"/>
        <v>620</v>
      </c>
      <c r="AC406" s="37">
        <f>COUNTIF(AB$3:AB406,AB406)</f>
        <v>147</v>
      </c>
      <c r="AD406" s="15" t="e">
        <f t="shared" ca="1" si="60"/>
        <v>#N/A</v>
      </c>
      <c r="AE406" s="37" t="e">
        <f t="shared" ca="1" si="66"/>
        <v>#VALUE!</v>
      </c>
      <c r="AF406" s="15" t="str">
        <f t="shared" ca="1" si="61"/>
        <v>无</v>
      </c>
      <c r="AG406" s="15" t="e">
        <f t="shared" ca="1" si="67"/>
        <v>#N/A</v>
      </c>
      <c r="AH406" s="15" t="str">
        <f t="shared" ca="1" si="68"/>
        <v>{0}</v>
      </c>
      <c r="AI406" s="15" t="e">
        <f t="shared" ca="1" si="62"/>
        <v>#N/A</v>
      </c>
      <c r="AJ406" s="26" t="e">
        <f t="shared" ca="1" si="69"/>
        <v>#N/A</v>
      </c>
    </row>
    <row r="407" spans="1:36" x14ac:dyDescent="0.25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3"/>
      <c r="O407" s="32">
        <f t="shared" si="63"/>
        <v>0</v>
      </c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15">
        <f t="shared" si="64"/>
        <v>0</v>
      </c>
      <c r="AA407" s="15">
        <f>SUM(Z$3:Z407)</f>
        <v>257</v>
      </c>
      <c r="AB407" s="37">
        <f t="shared" si="65"/>
        <v>620</v>
      </c>
      <c r="AC407" s="37">
        <f>COUNTIF(AB$3:AB407,AB407)</f>
        <v>148</v>
      </c>
      <c r="AD407" s="15" t="e">
        <f t="shared" ca="1" si="60"/>
        <v>#N/A</v>
      </c>
      <c r="AE407" s="37" t="e">
        <f t="shared" ca="1" si="66"/>
        <v>#VALUE!</v>
      </c>
      <c r="AF407" s="15" t="str">
        <f t="shared" ca="1" si="61"/>
        <v>无</v>
      </c>
      <c r="AG407" s="15" t="e">
        <f t="shared" ca="1" si="67"/>
        <v>#N/A</v>
      </c>
      <c r="AH407" s="15" t="str">
        <f t="shared" ca="1" si="68"/>
        <v>{0}</v>
      </c>
      <c r="AI407" s="15" t="e">
        <f t="shared" ca="1" si="62"/>
        <v>#N/A</v>
      </c>
      <c r="AJ407" s="26" t="e">
        <f t="shared" ca="1" si="69"/>
        <v>#N/A</v>
      </c>
    </row>
    <row r="408" spans="1:36" x14ac:dyDescent="0.25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3"/>
      <c r="O408" s="32">
        <f t="shared" si="63"/>
        <v>0</v>
      </c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15">
        <f t="shared" si="64"/>
        <v>0</v>
      </c>
      <c r="AA408" s="15">
        <f>SUM(Z$3:Z408)</f>
        <v>257</v>
      </c>
      <c r="AB408" s="37">
        <f t="shared" si="65"/>
        <v>620</v>
      </c>
      <c r="AC408" s="37">
        <f>COUNTIF(AB$3:AB408,AB408)</f>
        <v>149</v>
      </c>
      <c r="AD408" s="15" t="e">
        <f t="shared" ca="1" si="60"/>
        <v>#N/A</v>
      </c>
      <c r="AE408" s="37" t="e">
        <f t="shared" ca="1" si="66"/>
        <v>#VALUE!</v>
      </c>
      <c r="AF408" s="15" t="str">
        <f t="shared" ca="1" si="61"/>
        <v>无</v>
      </c>
      <c r="AG408" s="15" t="e">
        <f t="shared" ca="1" si="67"/>
        <v>#N/A</v>
      </c>
      <c r="AH408" s="15" t="str">
        <f t="shared" ca="1" si="68"/>
        <v>{0}</v>
      </c>
      <c r="AI408" s="15" t="e">
        <f t="shared" ca="1" si="62"/>
        <v>#N/A</v>
      </c>
      <c r="AJ408" s="26" t="e">
        <f t="shared" ca="1" si="69"/>
        <v>#N/A</v>
      </c>
    </row>
    <row r="409" spans="1:36" x14ac:dyDescent="0.25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3"/>
      <c r="O409" s="32">
        <f t="shared" si="63"/>
        <v>0</v>
      </c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15">
        <f t="shared" si="64"/>
        <v>0</v>
      </c>
      <c r="AA409" s="15">
        <f>SUM(Z$3:Z409)</f>
        <v>257</v>
      </c>
      <c r="AB409" s="37">
        <f t="shared" si="65"/>
        <v>620</v>
      </c>
      <c r="AC409" s="37">
        <f>COUNTIF(AB$3:AB409,AB409)</f>
        <v>150</v>
      </c>
      <c r="AD409" s="15" t="e">
        <f t="shared" ca="1" si="60"/>
        <v>#N/A</v>
      </c>
      <c r="AE409" s="37" t="e">
        <f t="shared" ca="1" si="66"/>
        <v>#VALUE!</v>
      </c>
      <c r="AF409" s="15" t="str">
        <f t="shared" ca="1" si="61"/>
        <v>无</v>
      </c>
      <c r="AG409" s="15" t="e">
        <f t="shared" ca="1" si="67"/>
        <v>#N/A</v>
      </c>
      <c r="AH409" s="15" t="str">
        <f t="shared" ca="1" si="68"/>
        <v>{0}</v>
      </c>
      <c r="AI409" s="15" t="e">
        <f t="shared" ca="1" si="62"/>
        <v>#N/A</v>
      </c>
      <c r="AJ409" s="26" t="e">
        <f t="shared" ca="1" si="69"/>
        <v>#N/A</v>
      </c>
    </row>
    <row r="410" spans="1:36" x14ac:dyDescent="0.25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3"/>
      <c r="O410" s="32">
        <f t="shared" si="63"/>
        <v>0</v>
      </c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15">
        <f t="shared" si="64"/>
        <v>0</v>
      </c>
      <c r="AA410" s="15">
        <f>SUM(Z$3:Z410)</f>
        <v>257</v>
      </c>
      <c r="AB410" s="37">
        <f t="shared" si="65"/>
        <v>620</v>
      </c>
      <c r="AC410" s="37">
        <f>COUNTIF(AB$3:AB410,AB410)</f>
        <v>151</v>
      </c>
      <c r="AD410" s="15" t="e">
        <f t="shared" ca="1" si="60"/>
        <v>#N/A</v>
      </c>
      <c r="AE410" s="37" t="e">
        <f t="shared" ca="1" si="66"/>
        <v>#VALUE!</v>
      </c>
      <c r="AF410" s="15" t="str">
        <f t="shared" ca="1" si="61"/>
        <v>无</v>
      </c>
      <c r="AG410" s="15" t="e">
        <f t="shared" ca="1" si="67"/>
        <v>#N/A</v>
      </c>
      <c r="AH410" s="15" t="str">
        <f t="shared" ca="1" si="68"/>
        <v>{0}</v>
      </c>
      <c r="AI410" s="15" t="e">
        <f t="shared" ca="1" si="62"/>
        <v>#N/A</v>
      </c>
      <c r="AJ410" s="26" t="e">
        <f t="shared" ca="1" si="69"/>
        <v>#N/A</v>
      </c>
    </row>
    <row r="411" spans="1:36" x14ac:dyDescent="0.25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3"/>
      <c r="O411" s="32">
        <f t="shared" si="63"/>
        <v>0</v>
      </c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15">
        <f t="shared" si="64"/>
        <v>0</v>
      </c>
      <c r="AA411" s="15">
        <f>SUM(Z$3:Z411)</f>
        <v>257</v>
      </c>
      <c r="AB411" s="37">
        <f t="shared" si="65"/>
        <v>620</v>
      </c>
      <c r="AC411" s="37">
        <f>COUNTIF(AB$3:AB411,AB411)</f>
        <v>152</v>
      </c>
      <c r="AD411" s="15" t="e">
        <f t="shared" ca="1" si="60"/>
        <v>#N/A</v>
      </c>
      <c r="AE411" s="37" t="e">
        <f t="shared" ca="1" si="66"/>
        <v>#VALUE!</v>
      </c>
      <c r="AF411" s="15" t="str">
        <f t="shared" ca="1" si="61"/>
        <v>无</v>
      </c>
      <c r="AG411" s="15" t="e">
        <f t="shared" ca="1" si="67"/>
        <v>#N/A</v>
      </c>
      <c r="AH411" s="15" t="str">
        <f t="shared" ca="1" si="68"/>
        <v>{0}</v>
      </c>
      <c r="AI411" s="15" t="e">
        <f t="shared" ca="1" si="62"/>
        <v>#N/A</v>
      </c>
      <c r="AJ411" s="26" t="e">
        <f t="shared" ca="1" si="69"/>
        <v>#N/A</v>
      </c>
    </row>
    <row r="412" spans="1:36" x14ac:dyDescent="0.25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3"/>
      <c r="O412" s="32">
        <f t="shared" si="63"/>
        <v>0</v>
      </c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15">
        <f t="shared" si="64"/>
        <v>0</v>
      </c>
      <c r="AA412" s="15">
        <f>SUM(Z$3:Z412)</f>
        <v>257</v>
      </c>
      <c r="AB412" s="37">
        <f t="shared" si="65"/>
        <v>620</v>
      </c>
      <c r="AC412" s="37">
        <f>COUNTIF(AB$3:AB412,AB412)</f>
        <v>153</v>
      </c>
      <c r="AD412" s="15" t="e">
        <f t="shared" ca="1" si="60"/>
        <v>#N/A</v>
      </c>
      <c r="AE412" s="37" t="e">
        <f t="shared" ca="1" si="66"/>
        <v>#VALUE!</v>
      </c>
      <c r="AF412" s="15" t="str">
        <f t="shared" ca="1" si="61"/>
        <v>无</v>
      </c>
      <c r="AG412" s="15" t="e">
        <f t="shared" ca="1" si="67"/>
        <v>#N/A</v>
      </c>
      <c r="AH412" s="15" t="str">
        <f t="shared" ca="1" si="68"/>
        <v>{0}</v>
      </c>
      <c r="AI412" s="15" t="e">
        <f t="shared" ca="1" si="62"/>
        <v>#N/A</v>
      </c>
      <c r="AJ412" s="26" t="e">
        <f t="shared" ca="1" si="69"/>
        <v>#N/A</v>
      </c>
    </row>
    <row r="413" spans="1:36" x14ac:dyDescent="0.25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3"/>
      <c r="O413" s="32">
        <f t="shared" si="63"/>
        <v>0</v>
      </c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15">
        <f t="shared" si="64"/>
        <v>0</v>
      </c>
      <c r="AA413" s="15">
        <f>SUM(Z$3:Z413)</f>
        <v>257</v>
      </c>
      <c r="AB413" s="37">
        <f t="shared" si="65"/>
        <v>620</v>
      </c>
      <c r="AC413" s="37">
        <f>COUNTIF(AB$3:AB413,AB413)</f>
        <v>154</v>
      </c>
      <c r="AD413" s="15" t="e">
        <f t="shared" ca="1" si="60"/>
        <v>#N/A</v>
      </c>
      <c r="AE413" s="37" t="e">
        <f t="shared" ca="1" si="66"/>
        <v>#VALUE!</v>
      </c>
      <c r="AF413" s="15" t="str">
        <f t="shared" ca="1" si="61"/>
        <v>无</v>
      </c>
      <c r="AG413" s="15" t="e">
        <f t="shared" ca="1" si="67"/>
        <v>#N/A</v>
      </c>
      <c r="AH413" s="15" t="str">
        <f t="shared" ca="1" si="68"/>
        <v>{0}</v>
      </c>
      <c r="AI413" s="15" t="e">
        <f t="shared" ca="1" si="62"/>
        <v>#N/A</v>
      </c>
      <c r="AJ413" s="26" t="e">
        <f t="shared" ca="1" si="69"/>
        <v>#N/A</v>
      </c>
    </row>
    <row r="414" spans="1:36" x14ac:dyDescent="0.25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3"/>
      <c r="O414" s="32">
        <f t="shared" si="63"/>
        <v>0</v>
      </c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15">
        <f t="shared" si="64"/>
        <v>0</v>
      </c>
      <c r="AA414" s="15">
        <f>SUM(Z$3:Z414)</f>
        <v>257</v>
      </c>
      <c r="AB414" s="37">
        <f t="shared" si="65"/>
        <v>620</v>
      </c>
      <c r="AC414" s="37">
        <f>COUNTIF(AB$3:AB414,AB414)</f>
        <v>155</v>
      </c>
      <c r="AD414" s="15" t="e">
        <f t="shared" ca="1" si="60"/>
        <v>#N/A</v>
      </c>
      <c r="AE414" s="37" t="e">
        <f t="shared" ca="1" si="66"/>
        <v>#VALUE!</v>
      </c>
      <c r="AF414" s="15" t="str">
        <f t="shared" ca="1" si="61"/>
        <v>无</v>
      </c>
      <c r="AG414" s="15" t="e">
        <f t="shared" ca="1" si="67"/>
        <v>#N/A</v>
      </c>
      <c r="AH414" s="15" t="str">
        <f t="shared" ca="1" si="68"/>
        <v>{0}</v>
      </c>
      <c r="AI414" s="15" t="e">
        <f t="shared" ca="1" si="62"/>
        <v>#N/A</v>
      </c>
      <c r="AJ414" s="26" t="e">
        <f t="shared" ca="1" si="69"/>
        <v>#N/A</v>
      </c>
    </row>
    <row r="415" spans="1:36" x14ac:dyDescent="0.25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3"/>
      <c r="O415" s="32">
        <f t="shared" si="63"/>
        <v>0</v>
      </c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15">
        <f t="shared" si="64"/>
        <v>0</v>
      </c>
      <c r="AA415" s="15">
        <f>SUM(Z$3:Z415)</f>
        <v>257</v>
      </c>
      <c r="AB415" s="37">
        <f t="shared" si="65"/>
        <v>620</v>
      </c>
      <c r="AC415" s="37">
        <f>COUNTIF(AB$3:AB415,AB415)</f>
        <v>156</v>
      </c>
      <c r="AD415" s="15" t="e">
        <f t="shared" ca="1" si="60"/>
        <v>#N/A</v>
      </c>
      <c r="AE415" s="37" t="e">
        <f t="shared" ca="1" si="66"/>
        <v>#VALUE!</v>
      </c>
      <c r="AF415" s="15" t="str">
        <f t="shared" ca="1" si="61"/>
        <v>无</v>
      </c>
      <c r="AG415" s="15" t="e">
        <f t="shared" ca="1" si="67"/>
        <v>#N/A</v>
      </c>
      <c r="AH415" s="15" t="str">
        <f t="shared" ca="1" si="68"/>
        <v>{0}</v>
      </c>
      <c r="AI415" s="15" t="e">
        <f t="shared" ca="1" si="62"/>
        <v>#N/A</v>
      </c>
      <c r="AJ415" s="26" t="e">
        <f t="shared" ca="1" si="69"/>
        <v>#N/A</v>
      </c>
    </row>
    <row r="416" spans="1:36" x14ac:dyDescent="0.25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3"/>
      <c r="O416" s="32">
        <f t="shared" si="63"/>
        <v>0</v>
      </c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15">
        <f t="shared" si="64"/>
        <v>0</v>
      </c>
      <c r="AA416" s="15">
        <f>SUM(Z$3:Z416)</f>
        <v>257</v>
      </c>
      <c r="AB416" s="37">
        <f t="shared" si="65"/>
        <v>620</v>
      </c>
      <c r="AC416" s="37">
        <f>COUNTIF(AB$3:AB416,AB416)</f>
        <v>157</v>
      </c>
      <c r="AD416" s="15" t="e">
        <f t="shared" ca="1" si="60"/>
        <v>#N/A</v>
      </c>
      <c r="AE416" s="37" t="e">
        <f t="shared" ca="1" si="66"/>
        <v>#VALUE!</v>
      </c>
      <c r="AF416" s="15" t="str">
        <f t="shared" ca="1" si="61"/>
        <v>无</v>
      </c>
      <c r="AG416" s="15" t="e">
        <f t="shared" ca="1" si="67"/>
        <v>#N/A</v>
      </c>
      <c r="AH416" s="15" t="str">
        <f t="shared" ca="1" si="68"/>
        <v>{0}</v>
      </c>
      <c r="AI416" s="15" t="e">
        <f t="shared" ca="1" si="62"/>
        <v>#N/A</v>
      </c>
      <c r="AJ416" s="26" t="e">
        <f t="shared" ca="1" si="69"/>
        <v>#N/A</v>
      </c>
    </row>
    <row r="417" spans="1:36" x14ac:dyDescent="0.25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3"/>
      <c r="O417" s="32">
        <f t="shared" si="63"/>
        <v>0</v>
      </c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15">
        <f t="shared" si="64"/>
        <v>0</v>
      </c>
      <c r="AA417" s="15">
        <f>SUM(Z$3:Z417)</f>
        <v>257</v>
      </c>
      <c r="AB417" s="37">
        <f t="shared" si="65"/>
        <v>620</v>
      </c>
      <c r="AC417" s="37">
        <f>COUNTIF(AB$3:AB417,AB417)</f>
        <v>158</v>
      </c>
      <c r="AD417" s="15" t="e">
        <f t="shared" ca="1" si="60"/>
        <v>#N/A</v>
      </c>
      <c r="AE417" s="37" t="e">
        <f t="shared" ca="1" si="66"/>
        <v>#VALUE!</v>
      </c>
      <c r="AF417" s="15" t="str">
        <f t="shared" ca="1" si="61"/>
        <v>无</v>
      </c>
      <c r="AG417" s="15" t="e">
        <f t="shared" ca="1" si="67"/>
        <v>#N/A</v>
      </c>
      <c r="AH417" s="15" t="str">
        <f t="shared" ca="1" si="68"/>
        <v>{0}</v>
      </c>
      <c r="AI417" s="15" t="e">
        <f t="shared" ca="1" si="62"/>
        <v>#N/A</v>
      </c>
      <c r="AJ417" s="26" t="e">
        <f t="shared" ca="1" si="69"/>
        <v>#N/A</v>
      </c>
    </row>
    <row r="418" spans="1:36" x14ac:dyDescent="0.25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3"/>
      <c r="O418" s="32">
        <f t="shared" si="63"/>
        <v>0</v>
      </c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15">
        <f t="shared" si="64"/>
        <v>0</v>
      </c>
      <c r="AA418" s="15">
        <f>SUM(Z$3:Z418)</f>
        <v>257</v>
      </c>
      <c r="AB418" s="37">
        <f t="shared" si="65"/>
        <v>620</v>
      </c>
      <c r="AC418" s="37">
        <f>COUNTIF(AB$3:AB418,AB418)</f>
        <v>159</v>
      </c>
      <c r="AD418" s="15" t="e">
        <f t="shared" ca="1" si="60"/>
        <v>#N/A</v>
      </c>
      <c r="AE418" s="37" t="e">
        <f t="shared" ca="1" si="66"/>
        <v>#VALUE!</v>
      </c>
      <c r="AF418" s="15" t="str">
        <f t="shared" ca="1" si="61"/>
        <v>无</v>
      </c>
      <c r="AG418" s="15" t="e">
        <f t="shared" ca="1" si="67"/>
        <v>#N/A</v>
      </c>
      <c r="AH418" s="15" t="str">
        <f t="shared" ca="1" si="68"/>
        <v>{0}</v>
      </c>
      <c r="AI418" s="15" t="e">
        <f t="shared" ca="1" si="62"/>
        <v>#N/A</v>
      </c>
      <c r="AJ418" s="26" t="e">
        <f t="shared" ca="1" si="69"/>
        <v>#N/A</v>
      </c>
    </row>
    <row r="419" spans="1:36" x14ac:dyDescent="0.25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3"/>
      <c r="O419" s="32">
        <f t="shared" si="63"/>
        <v>0</v>
      </c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15">
        <f t="shared" si="64"/>
        <v>0</v>
      </c>
      <c r="AA419" s="15">
        <f>SUM(Z$3:Z419)</f>
        <v>257</v>
      </c>
      <c r="AB419" s="37">
        <f t="shared" si="65"/>
        <v>620</v>
      </c>
      <c r="AC419" s="37">
        <f>COUNTIF(AB$3:AB419,AB419)</f>
        <v>160</v>
      </c>
      <c r="AD419" s="15" t="e">
        <f t="shared" ca="1" si="60"/>
        <v>#N/A</v>
      </c>
      <c r="AE419" s="37" t="e">
        <f t="shared" ca="1" si="66"/>
        <v>#VALUE!</v>
      </c>
      <c r="AF419" s="15" t="str">
        <f t="shared" ca="1" si="61"/>
        <v>无</v>
      </c>
      <c r="AG419" s="15" t="e">
        <f t="shared" ca="1" si="67"/>
        <v>#N/A</v>
      </c>
      <c r="AH419" s="15" t="str">
        <f t="shared" ca="1" si="68"/>
        <v>{0}</v>
      </c>
      <c r="AI419" s="15" t="e">
        <f t="shared" ca="1" si="62"/>
        <v>#N/A</v>
      </c>
      <c r="AJ419" s="26" t="e">
        <f t="shared" ca="1" si="69"/>
        <v>#N/A</v>
      </c>
    </row>
    <row r="420" spans="1:36" x14ac:dyDescent="0.25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3"/>
      <c r="O420" s="32">
        <f t="shared" si="63"/>
        <v>0</v>
      </c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15">
        <f t="shared" si="64"/>
        <v>0</v>
      </c>
      <c r="AA420" s="15">
        <f>SUM(Z$3:Z420)</f>
        <v>257</v>
      </c>
      <c r="AB420" s="37">
        <f t="shared" si="65"/>
        <v>620</v>
      </c>
      <c r="AC420" s="37">
        <f>COUNTIF(AB$3:AB420,AB420)</f>
        <v>161</v>
      </c>
      <c r="AD420" s="15" t="e">
        <f t="shared" ca="1" si="60"/>
        <v>#N/A</v>
      </c>
      <c r="AE420" s="37" t="e">
        <f t="shared" ca="1" si="66"/>
        <v>#VALUE!</v>
      </c>
      <c r="AF420" s="15" t="str">
        <f t="shared" ca="1" si="61"/>
        <v>无</v>
      </c>
      <c r="AG420" s="15" t="e">
        <f t="shared" ca="1" si="67"/>
        <v>#N/A</v>
      </c>
      <c r="AH420" s="15" t="str">
        <f t="shared" ca="1" si="68"/>
        <v>{0}</v>
      </c>
      <c r="AI420" s="15" t="e">
        <f t="shared" ca="1" si="62"/>
        <v>#N/A</v>
      </c>
      <c r="AJ420" s="26" t="e">
        <f t="shared" ca="1" si="69"/>
        <v>#N/A</v>
      </c>
    </row>
    <row r="421" spans="1:36" x14ac:dyDescent="0.25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3"/>
      <c r="O421" s="32">
        <f t="shared" si="63"/>
        <v>0</v>
      </c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15">
        <f t="shared" si="64"/>
        <v>0</v>
      </c>
      <c r="AA421" s="15">
        <f>SUM(Z$3:Z421)</f>
        <v>257</v>
      </c>
      <c r="AB421" s="37">
        <f t="shared" si="65"/>
        <v>620</v>
      </c>
      <c r="AC421" s="37">
        <f>COUNTIF(AB$3:AB421,AB421)</f>
        <v>162</v>
      </c>
      <c r="AD421" s="15" t="e">
        <f t="shared" ca="1" si="60"/>
        <v>#N/A</v>
      </c>
      <c r="AE421" s="37" t="e">
        <f t="shared" ca="1" si="66"/>
        <v>#VALUE!</v>
      </c>
      <c r="AF421" s="15" t="str">
        <f t="shared" ca="1" si="61"/>
        <v>无</v>
      </c>
      <c r="AG421" s="15" t="e">
        <f t="shared" ca="1" si="67"/>
        <v>#N/A</v>
      </c>
      <c r="AH421" s="15" t="str">
        <f t="shared" ca="1" si="68"/>
        <v>{0}</v>
      </c>
      <c r="AI421" s="15" t="e">
        <f t="shared" ca="1" si="62"/>
        <v>#N/A</v>
      </c>
      <c r="AJ421" s="26" t="e">
        <f t="shared" ca="1" si="69"/>
        <v>#N/A</v>
      </c>
    </row>
    <row r="422" spans="1:36" x14ac:dyDescent="0.25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3"/>
      <c r="O422" s="32">
        <f t="shared" si="63"/>
        <v>0</v>
      </c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15">
        <f t="shared" si="64"/>
        <v>0</v>
      </c>
      <c r="AA422" s="15">
        <f>SUM(Z$3:Z422)</f>
        <v>257</v>
      </c>
      <c r="AB422" s="37">
        <f t="shared" si="65"/>
        <v>620</v>
      </c>
      <c r="AC422" s="37">
        <f>COUNTIF(AB$3:AB422,AB422)</f>
        <v>163</v>
      </c>
      <c r="AD422" s="15" t="e">
        <f t="shared" ca="1" si="60"/>
        <v>#N/A</v>
      </c>
      <c r="AE422" s="37" t="e">
        <f t="shared" ca="1" si="66"/>
        <v>#VALUE!</v>
      </c>
      <c r="AF422" s="15" t="str">
        <f t="shared" ca="1" si="61"/>
        <v>无</v>
      </c>
      <c r="AG422" s="15" t="e">
        <f t="shared" ca="1" si="67"/>
        <v>#N/A</v>
      </c>
      <c r="AH422" s="15" t="str">
        <f t="shared" ca="1" si="68"/>
        <v>{0}</v>
      </c>
      <c r="AI422" s="15" t="e">
        <f t="shared" ca="1" si="62"/>
        <v>#N/A</v>
      </c>
      <c r="AJ422" s="26" t="e">
        <f t="shared" ca="1" si="69"/>
        <v>#N/A</v>
      </c>
    </row>
    <row r="423" spans="1:36" x14ac:dyDescent="0.25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3"/>
      <c r="O423" s="32">
        <f t="shared" si="63"/>
        <v>0</v>
      </c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15">
        <f t="shared" si="64"/>
        <v>0</v>
      </c>
      <c r="AA423" s="15">
        <f>SUM(Z$3:Z423)</f>
        <v>257</v>
      </c>
      <c r="AB423" s="37">
        <f t="shared" si="65"/>
        <v>620</v>
      </c>
      <c r="AC423" s="37">
        <f>COUNTIF(AB$3:AB423,AB423)</f>
        <v>164</v>
      </c>
      <c r="AD423" s="15" t="e">
        <f t="shared" ca="1" si="60"/>
        <v>#N/A</v>
      </c>
      <c r="AE423" s="37" t="e">
        <f t="shared" ca="1" si="66"/>
        <v>#VALUE!</v>
      </c>
      <c r="AF423" s="15" t="str">
        <f t="shared" ca="1" si="61"/>
        <v>无</v>
      </c>
      <c r="AG423" s="15" t="e">
        <f t="shared" ca="1" si="67"/>
        <v>#N/A</v>
      </c>
      <c r="AH423" s="15" t="str">
        <f t="shared" ca="1" si="68"/>
        <v>{0}</v>
      </c>
      <c r="AI423" s="15" t="e">
        <f t="shared" ca="1" si="62"/>
        <v>#N/A</v>
      </c>
      <c r="AJ423" s="26" t="e">
        <f t="shared" ca="1" si="69"/>
        <v>#N/A</v>
      </c>
    </row>
    <row r="424" spans="1:36" x14ac:dyDescent="0.25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3"/>
      <c r="O424" s="32">
        <f t="shared" si="63"/>
        <v>0</v>
      </c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15">
        <f t="shared" si="64"/>
        <v>0</v>
      </c>
      <c r="AA424" s="15">
        <f>SUM(Z$3:Z424)</f>
        <v>257</v>
      </c>
      <c r="AB424" s="37">
        <f t="shared" si="65"/>
        <v>620</v>
      </c>
      <c r="AC424" s="37">
        <f>COUNTIF(AB$3:AB424,AB424)</f>
        <v>165</v>
      </c>
      <c r="AD424" s="15" t="e">
        <f t="shared" ca="1" si="60"/>
        <v>#N/A</v>
      </c>
      <c r="AE424" s="37" t="e">
        <f t="shared" ca="1" si="66"/>
        <v>#VALUE!</v>
      </c>
      <c r="AF424" s="15" t="str">
        <f t="shared" ca="1" si="61"/>
        <v>无</v>
      </c>
      <c r="AG424" s="15" t="e">
        <f t="shared" ca="1" si="67"/>
        <v>#N/A</v>
      </c>
      <c r="AH424" s="15" t="str">
        <f t="shared" ca="1" si="68"/>
        <v>{0}</v>
      </c>
      <c r="AI424" s="15" t="e">
        <f t="shared" ca="1" si="62"/>
        <v>#N/A</v>
      </c>
      <c r="AJ424" s="26" t="e">
        <f t="shared" ca="1" si="69"/>
        <v>#N/A</v>
      </c>
    </row>
    <row r="425" spans="1:36" x14ac:dyDescent="0.25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3"/>
      <c r="O425" s="32">
        <f t="shared" si="63"/>
        <v>0</v>
      </c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15">
        <f t="shared" si="64"/>
        <v>0</v>
      </c>
      <c r="AA425" s="15">
        <f>SUM(Z$3:Z425)</f>
        <v>257</v>
      </c>
      <c r="AB425" s="37">
        <f t="shared" si="65"/>
        <v>620</v>
      </c>
      <c r="AC425" s="37">
        <f>COUNTIF(AB$3:AB425,AB425)</f>
        <v>166</v>
      </c>
      <c r="AD425" s="15" t="e">
        <f t="shared" ca="1" si="60"/>
        <v>#N/A</v>
      </c>
      <c r="AE425" s="37" t="e">
        <f t="shared" ca="1" si="66"/>
        <v>#VALUE!</v>
      </c>
      <c r="AF425" s="15" t="str">
        <f t="shared" ca="1" si="61"/>
        <v>无</v>
      </c>
      <c r="AG425" s="15" t="e">
        <f t="shared" ca="1" si="67"/>
        <v>#N/A</v>
      </c>
      <c r="AH425" s="15" t="str">
        <f t="shared" ca="1" si="68"/>
        <v>{0}</v>
      </c>
      <c r="AI425" s="15" t="e">
        <f t="shared" ca="1" si="62"/>
        <v>#N/A</v>
      </c>
      <c r="AJ425" s="26" t="e">
        <f t="shared" ca="1" si="69"/>
        <v>#N/A</v>
      </c>
    </row>
    <row r="426" spans="1:36" x14ac:dyDescent="0.25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3"/>
      <c r="O426" s="32">
        <f t="shared" si="63"/>
        <v>0</v>
      </c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15">
        <f t="shared" si="64"/>
        <v>0</v>
      </c>
      <c r="AA426" s="15">
        <f>SUM(Z$3:Z426)</f>
        <v>257</v>
      </c>
      <c r="AB426" s="37">
        <f t="shared" si="65"/>
        <v>620</v>
      </c>
      <c r="AC426" s="37">
        <f>COUNTIF(AB$3:AB426,AB426)</f>
        <v>167</v>
      </c>
      <c r="AD426" s="15" t="e">
        <f t="shared" ca="1" si="60"/>
        <v>#N/A</v>
      </c>
      <c r="AE426" s="37" t="e">
        <f t="shared" ca="1" si="66"/>
        <v>#VALUE!</v>
      </c>
      <c r="AF426" s="15" t="str">
        <f t="shared" ca="1" si="61"/>
        <v>无</v>
      </c>
      <c r="AG426" s="15" t="e">
        <f t="shared" ca="1" si="67"/>
        <v>#N/A</v>
      </c>
      <c r="AH426" s="15" t="str">
        <f t="shared" ca="1" si="68"/>
        <v>{0}</v>
      </c>
      <c r="AI426" s="15" t="e">
        <f t="shared" ca="1" si="62"/>
        <v>#N/A</v>
      </c>
      <c r="AJ426" s="26" t="e">
        <f t="shared" ca="1" si="69"/>
        <v>#N/A</v>
      </c>
    </row>
    <row r="427" spans="1:36" x14ac:dyDescent="0.25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3"/>
      <c r="O427" s="32">
        <f t="shared" si="63"/>
        <v>0</v>
      </c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15">
        <f t="shared" si="64"/>
        <v>0</v>
      </c>
      <c r="AA427" s="15">
        <f>SUM(Z$3:Z427)</f>
        <v>257</v>
      </c>
      <c r="AB427" s="37">
        <f t="shared" si="65"/>
        <v>620</v>
      </c>
      <c r="AC427" s="37">
        <f>COUNTIF(AB$3:AB427,AB427)</f>
        <v>168</v>
      </c>
      <c r="AD427" s="15" t="e">
        <f t="shared" ca="1" si="60"/>
        <v>#N/A</v>
      </c>
      <c r="AE427" s="37" t="e">
        <f t="shared" ca="1" si="66"/>
        <v>#VALUE!</v>
      </c>
      <c r="AF427" s="15" t="str">
        <f t="shared" ca="1" si="61"/>
        <v>无</v>
      </c>
      <c r="AG427" s="15" t="e">
        <f t="shared" ca="1" si="67"/>
        <v>#N/A</v>
      </c>
      <c r="AH427" s="15" t="str">
        <f t="shared" ca="1" si="68"/>
        <v>{0}</v>
      </c>
      <c r="AI427" s="15" t="e">
        <f t="shared" ca="1" si="62"/>
        <v>#N/A</v>
      </c>
      <c r="AJ427" s="26" t="e">
        <f t="shared" ca="1" si="69"/>
        <v>#N/A</v>
      </c>
    </row>
    <row r="428" spans="1:36" x14ac:dyDescent="0.25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3"/>
      <c r="O428" s="32">
        <f t="shared" si="63"/>
        <v>0</v>
      </c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15">
        <f t="shared" si="64"/>
        <v>0</v>
      </c>
      <c r="AA428" s="15">
        <f>SUM(Z$3:Z428)</f>
        <v>257</v>
      </c>
      <c r="AB428" s="37">
        <f t="shared" si="65"/>
        <v>620</v>
      </c>
      <c r="AC428" s="37">
        <f>COUNTIF(AB$3:AB428,AB428)</f>
        <v>169</v>
      </c>
      <c r="AD428" s="15" t="e">
        <f t="shared" ca="1" si="60"/>
        <v>#N/A</v>
      </c>
      <c r="AE428" s="37" t="e">
        <f t="shared" ca="1" si="66"/>
        <v>#VALUE!</v>
      </c>
      <c r="AF428" s="15" t="str">
        <f t="shared" ca="1" si="61"/>
        <v>无</v>
      </c>
      <c r="AG428" s="15" t="e">
        <f t="shared" ca="1" si="67"/>
        <v>#N/A</v>
      </c>
      <c r="AH428" s="15" t="str">
        <f t="shared" ca="1" si="68"/>
        <v>{0}</v>
      </c>
      <c r="AI428" s="15" t="e">
        <f t="shared" ca="1" si="62"/>
        <v>#N/A</v>
      </c>
      <c r="AJ428" s="26" t="e">
        <f t="shared" ca="1" si="69"/>
        <v>#N/A</v>
      </c>
    </row>
    <row r="429" spans="1:36" x14ac:dyDescent="0.25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3"/>
      <c r="O429" s="32">
        <f t="shared" si="63"/>
        <v>0</v>
      </c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15">
        <f t="shared" si="64"/>
        <v>0</v>
      </c>
      <c r="AA429" s="15">
        <f>SUM(Z$3:Z429)</f>
        <v>257</v>
      </c>
      <c r="AB429" s="37">
        <f t="shared" si="65"/>
        <v>620</v>
      </c>
      <c r="AC429" s="37">
        <f>COUNTIF(AB$3:AB429,AB429)</f>
        <v>170</v>
      </c>
      <c r="AD429" s="15" t="e">
        <f t="shared" ca="1" si="60"/>
        <v>#N/A</v>
      </c>
      <c r="AE429" s="37" t="e">
        <f t="shared" ca="1" si="66"/>
        <v>#VALUE!</v>
      </c>
      <c r="AF429" s="15" t="str">
        <f t="shared" ca="1" si="61"/>
        <v>无</v>
      </c>
      <c r="AG429" s="15" t="e">
        <f t="shared" ca="1" si="67"/>
        <v>#N/A</v>
      </c>
      <c r="AH429" s="15" t="str">
        <f t="shared" ca="1" si="68"/>
        <v>{0}</v>
      </c>
      <c r="AI429" s="15" t="e">
        <f t="shared" ca="1" si="62"/>
        <v>#N/A</v>
      </c>
      <c r="AJ429" s="26" t="e">
        <f t="shared" ca="1" si="69"/>
        <v>#N/A</v>
      </c>
    </row>
    <row r="430" spans="1:36" x14ac:dyDescent="0.25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3"/>
      <c r="O430" s="32">
        <f t="shared" si="63"/>
        <v>0</v>
      </c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15">
        <f t="shared" si="64"/>
        <v>0</v>
      </c>
      <c r="AA430" s="15">
        <f>SUM(Z$3:Z430)</f>
        <v>257</v>
      </c>
      <c r="AB430" s="37">
        <f t="shared" si="65"/>
        <v>620</v>
      </c>
      <c r="AC430" s="37">
        <f>COUNTIF(AB$3:AB430,AB430)</f>
        <v>171</v>
      </c>
      <c r="AD430" s="15" t="e">
        <f t="shared" ca="1" si="60"/>
        <v>#N/A</v>
      </c>
      <c r="AE430" s="37" t="e">
        <f t="shared" ca="1" si="66"/>
        <v>#VALUE!</v>
      </c>
      <c r="AF430" s="15" t="str">
        <f t="shared" ca="1" si="61"/>
        <v>无</v>
      </c>
      <c r="AG430" s="15" t="e">
        <f t="shared" ca="1" si="67"/>
        <v>#N/A</v>
      </c>
      <c r="AH430" s="15" t="str">
        <f t="shared" ca="1" si="68"/>
        <v>{0}</v>
      </c>
      <c r="AI430" s="15" t="e">
        <f t="shared" ca="1" si="62"/>
        <v>#N/A</v>
      </c>
      <c r="AJ430" s="26" t="e">
        <f t="shared" ca="1" si="69"/>
        <v>#N/A</v>
      </c>
    </row>
    <row r="431" spans="1:36" x14ac:dyDescent="0.25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3"/>
      <c r="O431" s="32">
        <f t="shared" si="63"/>
        <v>0</v>
      </c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15">
        <f t="shared" si="64"/>
        <v>0</v>
      </c>
      <c r="AA431" s="15">
        <f>SUM(Z$3:Z431)</f>
        <v>257</v>
      </c>
      <c r="AB431" s="37">
        <f t="shared" si="65"/>
        <v>620</v>
      </c>
      <c r="AC431" s="37">
        <f>COUNTIF(AB$3:AB431,AB431)</f>
        <v>172</v>
      </c>
      <c r="AD431" s="15" t="e">
        <f t="shared" ca="1" si="60"/>
        <v>#N/A</v>
      </c>
      <c r="AE431" s="37" t="e">
        <f t="shared" ca="1" si="66"/>
        <v>#VALUE!</v>
      </c>
      <c r="AF431" s="15" t="str">
        <f t="shared" ca="1" si="61"/>
        <v>无</v>
      </c>
      <c r="AG431" s="15" t="e">
        <f t="shared" ca="1" si="67"/>
        <v>#N/A</v>
      </c>
      <c r="AH431" s="15" t="str">
        <f t="shared" ca="1" si="68"/>
        <v>{0}</v>
      </c>
      <c r="AI431" s="15" t="e">
        <f t="shared" ca="1" si="62"/>
        <v>#N/A</v>
      </c>
      <c r="AJ431" s="26" t="e">
        <f t="shared" ca="1" si="69"/>
        <v>#N/A</v>
      </c>
    </row>
    <row r="432" spans="1:36" x14ac:dyDescent="0.25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3"/>
      <c r="O432" s="32">
        <f t="shared" si="63"/>
        <v>0</v>
      </c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15">
        <f t="shared" si="64"/>
        <v>0</v>
      </c>
      <c r="AA432" s="15">
        <f>SUM(Z$3:Z432)</f>
        <v>257</v>
      </c>
      <c r="AB432" s="37">
        <f t="shared" si="65"/>
        <v>620</v>
      </c>
      <c r="AC432" s="37">
        <f>COUNTIF(AB$3:AB432,AB432)</f>
        <v>173</v>
      </c>
      <c r="AD432" s="15" t="e">
        <f t="shared" ca="1" si="60"/>
        <v>#N/A</v>
      </c>
      <c r="AE432" s="37" t="e">
        <f t="shared" ca="1" si="66"/>
        <v>#VALUE!</v>
      </c>
      <c r="AF432" s="15" t="str">
        <f t="shared" ca="1" si="61"/>
        <v>无</v>
      </c>
      <c r="AG432" s="15" t="e">
        <f t="shared" ca="1" si="67"/>
        <v>#N/A</v>
      </c>
      <c r="AH432" s="15" t="str">
        <f t="shared" ca="1" si="68"/>
        <v>{0}</v>
      </c>
      <c r="AI432" s="15" t="e">
        <f t="shared" ca="1" si="62"/>
        <v>#N/A</v>
      </c>
      <c r="AJ432" s="26" t="e">
        <f t="shared" ca="1" si="69"/>
        <v>#N/A</v>
      </c>
    </row>
    <row r="433" spans="1:36" x14ac:dyDescent="0.25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3"/>
      <c r="O433" s="32">
        <f t="shared" si="63"/>
        <v>0</v>
      </c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15">
        <f t="shared" si="64"/>
        <v>0</v>
      </c>
      <c r="AA433" s="15">
        <f>SUM(Z$3:Z433)</f>
        <v>257</v>
      </c>
      <c r="AB433" s="37">
        <f t="shared" si="65"/>
        <v>620</v>
      </c>
      <c r="AC433" s="37">
        <f>COUNTIF(AB$3:AB433,AB433)</f>
        <v>174</v>
      </c>
      <c r="AD433" s="15" t="e">
        <f t="shared" ca="1" si="60"/>
        <v>#N/A</v>
      </c>
      <c r="AE433" s="37" t="e">
        <f t="shared" ca="1" si="66"/>
        <v>#VALUE!</v>
      </c>
      <c r="AF433" s="15" t="str">
        <f t="shared" ca="1" si="61"/>
        <v>无</v>
      </c>
      <c r="AG433" s="15" t="e">
        <f t="shared" ca="1" si="67"/>
        <v>#N/A</v>
      </c>
      <c r="AH433" s="15" t="str">
        <f t="shared" ca="1" si="68"/>
        <v>{0}</v>
      </c>
      <c r="AI433" s="15" t="e">
        <f t="shared" ca="1" si="62"/>
        <v>#N/A</v>
      </c>
      <c r="AJ433" s="26" t="e">
        <f t="shared" ca="1" si="69"/>
        <v>#N/A</v>
      </c>
    </row>
    <row r="434" spans="1:36" x14ac:dyDescent="0.25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3"/>
      <c r="O434" s="32">
        <f t="shared" si="63"/>
        <v>0</v>
      </c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15">
        <f t="shared" si="64"/>
        <v>0</v>
      </c>
      <c r="AA434" s="15">
        <f>SUM(Z$3:Z434)</f>
        <v>257</v>
      </c>
      <c r="AB434" s="37">
        <f t="shared" si="65"/>
        <v>620</v>
      </c>
      <c r="AC434" s="37">
        <f>COUNTIF(AB$3:AB434,AB434)</f>
        <v>175</v>
      </c>
      <c r="AD434" s="15" t="e">
        <f t="shared" ca="1" si="60"/>
        <v>#N/A</v>
      </c>
      <c r="AE434" s="37" t="e">
        <f t="shared" ca="1" si="66"/>
        <v>#VALUE!</v>
      </c>
      <c r="AF434" s="15" t="str">
        <f t="shared" ca="1" si="61"/>
        <v>无</v>
      </c>
      <c r="AG434" s="15" t="e">
        <f t="shared" ca="1" si="67"/>
        <v>#N/A</v>
      </c>
      <c r="AH434" s="15" t="str">
        <f t="shared" ca="1" si="68"/>
        <v>{0}</v>
      </c>
      <c r="AI434" s="15" t="e">
        <f t="shared" ca="1" si="62"/>
        <v>#N/A</v>
      </c>
      <c r="AJ434" s="26" t="e">
        <f t="shared" ca="1" si="69"/>
        <v>#N/A</v>
      </c>
    </row>
    <row r="435" spans="1:36" x14ac:dyDescent="0.25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3"/>
      <c r="O435" s="32">
        <f t="shared" si="63"/>
        <v>0</v>
      </c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15">
        <f t="shared" si="64"/>
        <v>0</v>
      </c>
      <c r="AA435" s="15">
        <f>SUM(Z$3:Z435)</f>
        <v>257</v>
      </c>
      <c r="AB435" s="37">
        <f t="shared" si="65"/>
        <v>620</v>
      </c>
      <c r="AC435" s="37">
        <f>COUNTIF(AB$3:AB435,AB435)</f>
        <v>176</v>
      </c>
      <c r="AD435" s="15" t="e">
        <f t="shared" ca="1" si="60"/>
        <v>#N/A</v>
      </c>
      <c r="AE435" s="37" t="e">
        <f t="shared" ca="1" si="66"/>
        <v>#VALUE!</v>
      </c>
      <c r="AF435" s="15" t="str">
        <f t="shared" ca="1" si="61"/>
        <v>无</v>
      </c>
      <c r="AG435" s="15" t="e">
        <f t="shared" ca="1" si="67"/>
        <v>#N/A</v>
      </c>
      <c r="AH435" s="15" t="str">
        <f t="shared" ca="1" si="68"/>
        <v>{0}</v>
      </c>
      <c r="AI435" s="15" t="e">
        <f t="shared" ca="1" si="62"/>
        <v>#N/A</v>
      </c>
      <c r="AJ435" s="26" t="e">
        <f t="shared" ca="1" si="69"/>
        <v>#N/A</v>
      </c>
    </row>
    <row r="436" spans="1:36" x14ac:dyDescent="0.25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3"/>
      <c r="O436" s="32">
        <f t="shared" si="63"/>
        <v>0</v>
      </c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15">
        <f t="shared" si="64"/>
        <v>0</v>
      </c>
      <c r="AA436" s="15">
        <f>SUM(Z$3:Z436)</f>
        <v>257</v>
      </c>
      <c r="AB436" s="37">
        <f t="shared" si="65"/>
        <v>620</v>
      </c>
      <c r="AC436" s="37">
        <f>COUNTIF(AB$3:AB436,AB436)</f>
        <v>177</v>
      </c>
      <c r="AD436" s="15" t="e">
        <f t="shared" ca="1" si="60"/>
        <v>#N/A</v>
      </c>
      <c r="AE436" s="37" t="e">
        <f t="shared" ca="1" si="66"/>
        <v>#VALUE!</v>
      </c>
      <c r="AF436" s="15" t="str">
        <f t="shared" ca="1" si="61"/>
        <v>无</v>
      </c>
      <c r="AG436" s="15" t="e">
        <f t="shared" ca="1" si="67"/>
        <v>#N/A</v>
      </c>
      <c r="AH436" s="15" t="str">
        <f t="shared" ca="1" si="68"/>
        <v>{0}</v>
      </c>
      <c r="AI436" s="15" t="e">
        <f t="shared" ca="1" si="62"/>
        <v>#N/A</v>
      </c>
      <c r="AJ436" s="26" t="e">
        <f t="shared" ca="1" si="69"/>
        <v>#N/A</v>
      </c>
    </row>
    <row r="437" spans="1:36" x14ac:dyDescent="0.25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3"/>
      <c r="O437" s="32">
        <f t="shared" si="63"/>
        <v>0</v>
      </c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15">
        <f t="shared" si="64"/>
        <v>0</v>
      </c>
      <c r="AA437" s="15">
        <f>SUM(Z$3:Z437)</f>
        <v>257</v>
      </c>
      <c r="AB437" s="37">
        <f t="shared" si="65"/>
        <v>620</v>
      </c>
      <c r="AC437" s="37">
        <f>COUNTIF(AB$3:AB437,AB437)</f>
        <v>178</v>
      </c>
      <c r="AD437" s="15" t="e">
        <f t="shared" ca="1" si="60"/>
        <v>#N/A</v>
      </c>
      <c r="AE437" s="37" t="e">
        <f t="shared" ca="1" si="66"/>
        <v>#VALUE!</v>
      </c>
      <c r="AF437" s="15" t="str">
        <f t="shared" ca="1" si="61"/>
        <v>无</v>
      </c>
      <c r="AG437" s="15" t="e">
        <f t="shared" ca="1" si="67"/>
        <v>#N/A</v>
      </c>
      <c r="AH437" s="15" t="str">
        <f t="shared" ca="1" si="68"/>
        <v>{0}</v>
      </c>
      <c r="AI437" s="15" t="e">
        <f t="shared" ca="1" si="62"/>
        <v>#N/A</v>
      </c>
      <c r="AJ437" s="26" t="e">
        <f t="shared" ca="1" si="69"/>
        <v>#N/A</v>
      </c>
    </row>
    <row r="438" spans="1:36" x14ac:dyDescent="0.25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3"/>
      <c r="O438" s="32">
        <f t="shared" si="63"/>
        <v>0</v>
      </c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15">
        <f t="shared" si="64"/>
        <v>0</v>
      </c>
      <c r="AA438" s="15">
        <f>SUM(Z$3:Z438)</f>
        <v>257</v>
      </c>
      <c r="AB438" s="37">
        <f t="shared" si="65"/>
        <v>620</v>
      </c>
      <c r="AC438" s="37">
        <f>COUNTIF(AB$3:AB438,AB438)</f>
        <v>179</v>
      </c>
      <c r="AD438" s="15" t="e">
        <f t="shared" ca="1" si="60"/>
        <v>#N/A</v>
      </c>
      <c r="AE438" s="37" t="e">
        <f t="shared" ca="1" si="66"/>
        <v>#VALUE!</v>
      </c>
      <c r="AF438" s="15" t="str">
        <f t="shared" ca="1" si="61"/>
        <v>无</v>
      </c>
      <c r="AG438" s="15" t="e">
        <f t="shared" ca="1" si="67"/>
        <v>#N/A</v>
      </c>
      <c r="AH438" s="15" t="str">
        <f t="shared" ca="1" si="68"/>
        <v>{0}</v>
      </c>
      <c r="AI438" s="15" t="e">
        <f t="shared" ca="1" si="62"/>
        <v>#N/A</v>
      </c>
      <c r="AJ438" s="26" t="e">
        <f t="shared" ca="1" si="69"/>
        <v>#N/A</v>
      </c>
    </row>
    <row r="439" spans="1:36" x14ac:dyDescent="0.25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3"/>
      <c r="O439" s="32">
        <f t="shared" si="63"/>
        <v>0</v>
      </c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15">
        <f t="shared" si="64"/>
        <v>0</v>
      </c>
      <c r="AA439" s="15">
        <f>SUM(Z$3:Z439)</f>
        <v>257</v>
      </c>
      <c r="AB439" s="37">
        <f t="shared" si="65"/>
        <v>620</v>
      </c>
      <c r="AC439" s="37">
        <f>COUNTIF(AB$3:AB439,AB439)</f>
        <v>180</v>
      </c>
      <c r="AD439" s="15" t="e">
        <f t="shared" ca="1" si="60"/>
        <v>#N/A</v>
      </c>
      <c r="AE439" s="37" t="e">
        <f t="shared" ca="1" si="66"/>
        <v>#VALUE!</v>
      </c>
      <c r="AF439" s="15" t="str">
        <f t="shared" ca="1" si="61"/>
        <v>无</v>
      </c>
      <c r="AG439" s="15" t="e">
        <f t="shared" ca="1" si="67"/>
        <v>#N/A</v>
      </c>
      <c r="AH439" s="15" t="str">
        <f t="shared" ca="1" si="68"/>
        <v>{0}</v>
      </c>
      <c r="AI439" s="15" t="e">
        <f t="shared" ca="1" si="62"/>
        <v>#N/A</v>
      </c>
      <c r="AJ439" s="26" t="e">
        <f t="shared" ca="1" si="69"/>
        <v>#N/A</v>
      </c>
    </row>
    <row r="440" spans="1:36" x14ac:dyDescent="0.25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3"/>
      <c r="O440" s="32">
        <f t="shared" si="63"/>
        <v>0</v>
      </c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15">
        <f t="shared" si="64"/>
        <v>0</v>
      </c>
      <c r="AA440" s="15">
        <f>SUM(Z$3:Z440)</f>
        <v>257</v>
      </c>
      <c r="AB440" s="37">
        <f t="shared" si="65"/>
        <v>620</v>
      </c>
      <c r="AC440" s="37">
        <f>COUNTIF(AB$3:AB440,AB440)</f>
        <v>181</v>
      </c>
      <c r="AD440" s="15" t="e">
        <f t="shared" ca="1" si="60"/>
        <v>#N/A</v>
      </c>
      <c r="AE440" s="37" t="e">
        <f t="shared" ca="1" si="66"/>
        <v>#VALUE!</v>
      </c>
      <c r="AF440" s="15" t="str">
        <f t="shared" ca="1" si="61"/>
        <v>无</v>
      </c>
      <c r="AG440" s="15" t="e">
        <f t="shared" ca="1" si="67"/>
        <v>#N/A</v>
      </c>
      <c r="AH440" s="15" t="str">
        <f t="shared" ca="1" si="68"/>
        <v>{0}</v>
      </c>
      <c r="AI440" s="15" t="e">
        <f t="shared" ca="1" si="62"/>
        <v>#N/A</v>
      </c>
      <c r="AJ440" s="26" t="e">
        <f t="shared" ca="1" si="69"/>
        <v>#N/A</v>
      </c>
    </row>
    <row r="441" spans="1:36" x14ac:dyDescent="0.25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3"/>
      <c r="O441" s="32">
        <f t="shared" si="63"/>
        <v>0</v>
      </c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15">
        <f t="shared" si="64"/>
        <v>0</v>
      </c>
      <c r="AA441" s="15">
        <f>SUM(Z$3:Z441)</f>
        <v>257</v>
      </c>
      <c r="AB441" s="37">
        <f t="shared" si="65"/>
        <v>620</v>
      </c>
      <c r="AC441" s="37">
        <f>COUNTIF(AB$3:AB441,AB441)</f>
        <v>182</v>
      </c>
      <c r="AD441" s="15" t="e">
        <f t="shared" ca="1" si="60"/>
        <v>#N/A</v>
      </c>
      <c r="AE441" s="37" t="e">
        <f t="shared" ca="1" si="66"/>
        <v>#VALUE!</v>
      </c>
      <c r="AF441" s="15" t="str">
        <f t="shared" ca="1" si="61"/>
        <v>无</v>
      </c>
      <c r="AG441" s="15" t="e">
        <f t="shared" ca="1" si="67"/>
        <v>#N/A</v>
      </c>
      <c r="AH441" s="15" t="str">
        <f t="shared" ca="1" si="68"/>
        <v>{0}</v>
      </c>
      <c r="AI441" s="15" t="e">
        <f t="shared" ca="1" si="62"/>
        <v>#N/A</v>
      </c>
      <c r="AJ441" s="26" t="e">
        <f t="shared" ca="1" si="69"/>
        <v>#N/A</v>
      </c>
    </row>
    <row r="442" spans="1:36" x14ac:dyDescent="0.25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3"/>
      <c r="O442" s="32">
        <f t="shared" si="63"/>
        <v>0</v>
      </c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15">
        <f t="shared" si="64"/>
        <v>0</v>
      </c>
      <c r="AA442" s="15">
        <f>SUM(Z$3:Z442)</f>
        <v>257</v>
      </c>
      <c r="AB442" s="37">
        <f t="shared" si="65"/>
        <v>620</v>
      </c>
      <c r="AC442" s="37">
        <f>COUNTIF(AB$3:AB442,AB442)</f>
        <v>183</v>
      </c>
      <c r="AD442" s="15" t="e">
        <f t="shared" ca="1" si="60"/>
        <v>#N/A</v>
      </c>
      <c r="AE442" s="37" t="e">
        <f t="shared" ca="1" si="66"/>
        <v>#VALUE!</v>
      </c>
      <c r="AF442" s="15" t="str">
        <f t="shared" ca="1" si="61"/>
        <v>无</v>
      </c>
      <c r="AG442" s="15" t="e">
        <f t="shared" ca="1" si="67"/>
        <v>#N/A</v>
      </c>
      <c r="AH442" s="15" t="str">
        <f t="shared" ca="1" si="68"/>
        <v>{0}</v>
      </c>
      <c r="AI442" s="15" t="e">
        <f t="shared" ca="1" si="62"/>
        <v>#N/A</v>
      </c>
      <c r="AJ442" s="26" t="e">
        <f t="shared" ca="1" si="69"/>
        <v>#N/A</v>
      </c>
    </row>
    <row r="443" spans="1:36" x14ac:dyDescent="0.25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3"/>
      <c r="O443" s="32">
        <f t="shared" si="63"/>
        <v>0</v>
      </c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15">
        <f t="shared" si="64"/>
        <v>0</v>
      </c>
      <c r="AA443" s="15">
        <f>SUM(Z$3:Z443)</f>
        <v>257</v>
      </c>
      <c r="AB443" s="37">
        <f t="shared" si="65"/>
        <v>620</v>
      </c>
      <c r="AC443" s="37">
        <f>COUNTIF(AB$3:AB443,AB443)</f>
        <v>184</v>
      </c>
      <c r="AD443" s="15" t="e">
        <f t="shared" ca="1" si="60"/>
        <v>#N/A</v>
      </c>
      <c r="AE443" s="37" t="e">
        <f t="shared" ca="1" si="66"/>
        <v>#VALUE!</v>
      </c>
      <c r="AF443" s="15" t="str">
        <f t="shared" ca="1" si="61"/>
        <v>无</v>
      </c>
      <c r="AG443" s="15" t="e">
        <f t="shared" ca="1" si="67"/>
        <v>#N/A</v>
      </c>
      <c r="AH443" s="15" t="str">
        <f t="shared" ca="1" si="68"/>
        <v>{0}</v>
      </c>
      <c r="AI443" s="15" t="e">
        <f t="shared" ca="1" si="62"/>
        <v>#N/A</v>
      </c>
      <c r="AJ443" s="26" t="e">
        <f t="shared" ca="1" si="69"/>
        <v>#N/A</v>
      </c>
    </row>
    <row r="444" spans="1:36" x14ac:dyDescent="0.25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3"/>
      <c r="O444" s="32">
        <f t="shared" si="63"/>
        <v>0</v>
      </c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15">
        <f t="shared" si="64"/>
        <v>0</v>
      </c>
      <c r="AA444" s="15">
        <f>SUM(Z$3:Z444)</f>
        <v>257</v>
      </c>
      <c r="AB444" s="37">
        <f t="shared" si="65"/>
        <v>620</v>
      </c>
      <c r="AC444" s="37">
        <f>COUNTIF(AB$3:AB444,AB444)</f>
        <v>185</v>
      </c>
      <c r="AD444" s="15" t="e">
        <f t="shared" ca="1" si="60"/>
        <v>#N/A</v>
      </c>
      <c r="AE444" s="37" t="e">
        <f t="shared" ca="1" si="66"/>
        <v>#VALUE!</v>
      </c>
      <c r="AF444" s="15" t="str">
        <f t="shared" ca="1" si="61"/>
        <v>无</v>
      </c>
      <c r="AG444" s="15" t="e">
        <f t="shared" ca="1" si="67"/>
        <v>#N/A</v>
      </c>
      <c r="AH444" s="15" t="str">
        <f t="shared" ca="1" si="68"/>
        <v>{0}</v>
      </c>
      <c r="AI444" s="15" t="e">
        <f t="shared" ca="1" si="62"/>
        <v>#N/A</v>
      </c>
      <c r="AJ444" s="26" t="e">
        <f t="shared" ca="1" si="69"/>
        <v>#N/A</v>
      </c>
    </row>
    <row r="445" spans="1:36" x14ac:dyDescent="0.25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3"/>
      <c r="O445" s="32">
        <f t="shared" si="63"/>
        <v>0</v>
      </c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15">
        <f t="shared" si="64"/>
        <v>0</v>
      </c>
      <c r="AA445" s="15">
        <f>SUM(Z$3:Z445)</f>
        <v>257</v>
      </c>
      <c r="AB445" s="37">
        <f t="shared" si="65"/>
        <v>620</v>
      </c>
      <c r="AC445" s="37">
        <f>COUNTIF(AB$3:AB445,AB445)</f>
        <v>186</v>
      </c>
      <c r="AD445" s="15" t="e">
        <f t="shared" ca="1" si="60"/>
        <v>#N/A</v>
      </c>
      <c r="AE445" s="37" t="e">
        <f t="shared" ca="1" si="66"/>
        <v>#VALUE!</v>
      </c>
      <c r="AF445" s="15" t="str">
        <f t="shared" ca="1" si="61"/>
        <v>无</v>
      </c>
      <c r="AG445" s="15" t="e">
        <f t="shared" ca="1" si="67"/>
        <v>#N/A</v>
      </c>
      <c r="AH445" s="15" t="str">
        <f t="shared" ca="1" si="68"/>
        <v>{0}</v>
      </c>
      <c r="AI445" s="15" t="e">
        <f t="shared" ca="1" si="62"/>
        <v>#N/A</v>
      </c>
      <c r="AJ445" s="26" t="e">
        <f t="shared" ca="1" si="69"/>
        <v>#N/A</v>
      </c>
    </row>
    <row r="446" spans="1:36" x14ac:dyDescent="0.25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3"/>
      <c r="O446" s="32">
        <f t="shared" si="63"/>
        <v>0</v>
      </c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15">
        <f t="shared" si="64"/>
        <v>0</v>
      </c>
      <c r="AA446" s="15">
        <f>SUM(Z$3:Z446)</f>
        <v>257</v>
      </c>
      <c r="AB446" s="37">
        <f t="shared" si="65"/>
        <v>620</v>
      </c>
      <c r="AC446" s="37">
        <f>COUNTIF(AB$3:AB446,AB446)</f>
        <v>187</v>
      </c>
      <c r="AD446" s="15" t="e">
        <f t="shared" ca="1" si="60"/>
        <v>#N/A</v>
      </c>
      <c r="AE446" s="37" t="e">
        <f t="shared" ca="1" si="66"/>
        <v>#VALUE!</v>
      </c>
      <c r="AF446" s="15" t="str">
        <f t="shared" ca="1" si="61"/>
        <v>无</v>
      </c>
      <c r="AG446" s="15" t="e">
        <f t="shared" ca="1" si="67"/>
        <v>#N/A</v>
      </c>
      <c r="AH446" s="15" t="str">
        <f t="shared" ca="1" si="68"/>
        <v>{0}</v>
      </c>
      <c r="AI446" s="15" t="e">
        <f t="shared" ca="1" si="62"/>
        <v>#N/A</v>
      </c>
      <c r="AJ446" s="26" t="e">
        <f t="shared" ca="1" si="69"/>
        <v>#N/A</v>
      </c>
    </row>
    <row r="447" spans="1:36" x14ac:dyDescent="0.25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3"/>
      <c r="O447" s="32">
        <f t="shared" si="63"/>
        <v>0</v>
      </c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15">
        <f t="shared" si="64"/>
        <v>0</v>
      </c>
      <c r="AA447" s="15">
        <f>SUM(Z$3:Z447)</f>
        <v>257</v>
      </c>
      <c r="AB447" s="37">
        <f t="shared" si="65"/>
        <v>620</v>
      </c>
      <c r="AC447" s="37">
        <f>COUNTIF(AB$3:AB447,AB447)</f>
        <v>188</v>
      </c>
      <c r="AD447" s="15" t="e">
        <f t="shared" ca="1" si="60"/>
        <v>#N/A</v>
      </c>
      <c r="AE447" s="37" t="e">
        <f t="shared" ca="1" si="66"/>
        <v>#VALUE!</v>
      </c>
      <c r="AF447" s="15" t="str">
        <f t="shared" ca="1" si="61"/>
        <v>无</v>
      </c>
      <c r="AG447" s="15" t="e">
        <f t="shared" ca="1" si="67"/>
        <v>#N/A</v>
      </c>
      <c r="AH447" s="15" t="str">
        <f t="shared" ca="1" si="68"/>
        <v>{0}</v>
      </c>
      <c r="AI447" s="15" t="e">
        <f t="shared" ca="1" si="62"/>
        <v>#N/A</v>
      </c>
      <c r="AJ447" s="26" t="e">
        <f t="shared" ca="1" si="69"/>
        <v>#N/A</v>
      </c>
    </row>
    <row r="448" spans="1:36" x14ac:dyDescent="0.25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3"/>
      <c r="O448" s="32">
        <f t="shared" si="63"/>
        <v>0</v>
      </c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15">
        <f t="shared" si="64"/>
        <v>0</v>
      </c>
      <c r="AA448" s="15">
        <f>SUM(Z$3:Z448)</f>
        <v>257</v>
      </c>
      <c r="AB448" s="37">
        <f t="shared" si="65"/>
        <v>620</v>
      </c>
      <c r="AC448" s="37">
        <f>COUNTIF(AB$3:AB448,AB448)</f>
        <v>189</v>
      </c>
      <c r="AD448" s="15" t="e">
        <f t="shared" ca="1" si="60"/>
        <v>#N/A</v>
      </c>
      <c r="AE448" s="37" t="e">
        <f t="shared" ca="1" si="66"/>
        <v>#VALUE!</v>
      </c>
      <c r="AF448" s="15" t="str">
        <f t="shared" ca="1" si="61"/>
        <v>无</v>
      </c>
      <c r="AG448" s="15" t="e">
        <f t="shared" ca="1" si="67"/>
        <v>#N/A</v>
      </c>
      <c r="AH448" s="15" t="str">
        <f t="shared" ca="1" si="68"/>
        <v>{0}</v>
      </c>
      <c r="AI448" s="15" t="e">
        <f t="shared" ca="1" si="62"/>
        <v>#N/A</v>
      </c>
      <c r="AJ448" s="26" t="e">
        <f t="shared" ca="1" si="69"/>
        <v>#N/A</v>
      </c>
    </row>
    <row r="449" spans="1:36" x14ac:dyDescent="0.25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3"/>
      <c r="O449" s="32">
        <f t="shared" si="63"/>
        <v>0</v>
      </c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15">
        <f t="shared" si="64"/>
        <v>0</v>
      </c>
      <c r="AA449" s="15">
        <f>SUM(Z$3:Z449)</f>
        <v>257</v>
      </c>
      <c r="AB449" s="37">
        <f t="shared" si="65"/>
        <v>620</v>
      </c>
      <c r="AC449" s="37">
        <f>COUNTIF(AB$3:AB449,AB449)</f>
        <v>190</v>
      </c>
      <c r="AD449" s="15" t="e">
        <f t="shared" ca="1" si="60"/>
        <v>#N/A</v>
      </c>
      <c r="AE449" s="37" t="e">
        <f t="shared" ca="1" si="66"/>
        <v>#VALUE!</v>
      </c>
      <c r="AF449" s="15" t="str">
        <f t="shared" ca="1" si="61"/>
        <v>无</v>
      </c>
      <c r="AG449" s="15" t="e">
        <f t="shared" ca="1" si="67"/>
        <v>#N/A</v>
      </c>
      <c r="AH449" s="15" t="str">
        <f t="shared" ca="1" si="68"/>
        <v>{0}</v>
      </c>
      <c r="AI449" s="15" t="e">
        <f t="shared" ca="1" si="62"/>
        <v>#N/A</v>
      </c>
      <c r="AJ449" s="26" t="e">
        <f t="shared" ca="1" si="69"/>
        <v>#N/A</v>
      </c>
    </row>
    <row r="450" spans="1:36" x14ac:dyDescent="0.25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3"/>
      <c r="O450" s="32">
        <f t="shared" si="63"/>
        <v>0</v>
      </c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15">
        <f t="shared" si="64"/>
        <v>0</v>
      </c>
      <c r="AA450" s="15">
        <f>SUM(Z$3:Z450)</f>
        <v>257</v>
      </c>
      <c r="AB450" s="37">
        <f t="shared" si="65"/>
        <v>620</v>
      </c>
      <c r="AC450" s="37">
        <f>COUNTIF(AB$3:AB450,AB450)</f>
        <v>191</v>
      </c>
      <c r="AD450" s="15" t="e">
        <f t="shared" ca="1" si="60"/>
        <v>#N/A</v>
      </c>
      <c r="AE450" s="37" t="e">
        <f t="shared" ca="1" si="66"/>
        <v>#VALUE!</v>
      </c>
      <c r="AF450" s="15" t="str">
        <f t="shared" ca="1" si="61"/>
        <v>无</v>
      </c>
      <c r="AG450" s="15" t="e">
        <f t="shared" ca="1" si="67"/>
        <v>#N/A</v>
      </c>
      <c r="AH450" s="15" t="str">
        <f t="shared" ca="1" si="68"/>
        <v>{0}</v>
      </c>
      <c r="AI450" s="15" t="e">
        <f t="shared" ca="1" si="62"/>
        <v>#N/A</v>
      </c>
      <c r="AJ450" s="26" t="e">
        <f t="shared" ca="1" si="69"/>
        <v>#N/A</v>
      </c>
    </row>
    <row r="451" spans="1:36" x14ac:dyDescent="0.25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3"/>
      <c r="O451" s="32">
        <f t="shared" si="63"/>
        <v>0</v>
      </c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15">
        <f t="shared" si="64"/>
        <v>0</v>
      </c>
      <c r="AA451" s="15">
        <f>SUM(Z$3:Z451)</f>
        <v>257</v>
      </c>
      <c r="AB451" s="37">
        <f t="shared" si="65"/>
        <v>620</v>
      </c>
      <c r="AC451" s="37">
        <f>COUNTIF(AB$3:AB451,AB451)</f>
        <v>192</v>
      </c>
      <c r="AD451" s="15" t="e">
        <f t="shared" ref="AD451:AD514" ca="1" si="70">OFFSET($C$2,MATCH(AF451,$A:$A,0)-2,$AC451)</f>
        <v>#N/A</v>
      </c>
      <c r="AE451" s="37" t="e">
        <f t="shared" ca="1" si="66"/>
        <v>#VALUE!</v>
      </c>
      <c r="AF451" s="15" t="str">
        <f t="shared" ref="AF451:AF514" ca="1" si="71">IF(OFFSET(A$1,AB451,)="","无",OFFSET(A$1,AB451,))</f>
        <v>无</v>
      </c>
      <c r="AG451" s="15" t="e">
        <f t="shared" ca="1" si="67"/>
        <v>#N/A</v>
      </c>
      <c r="AH451" s="15" t="str">
        <f t="shared" ca="1" si="68"/>
        <v>{0}</v>
      </c>
      <c r="AI451" s="15" t="e">
        <f t="shared" ref="AI451:AI514" ca="1" si="72">IF(OFFSET($C$2,MATCH($AF451,A:A,0)-2,)="是",INT($AI$1/OFFSET($Z$2,MATCH(AF451,A:A,0)-2,)),OFFSET($O$2,MATCH($AF451,A:A,0)-2,$AC451)*$AI$1)</f>
        <v>#N/A</v>
      </c>
      <c r="AJ451" s="26" t="e">
        <f t="shared" ca="1" si="69"/>
        <v>#N/A</v>
      </c>
    </row>
    <row r="452" spans="1:36" x14ac:dyDescent="0.25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3"/>
      <c r="O452" s="32">
        <f t="shared" ref="O452:O515" si="73">SUM(P452:Y452)</f>
        <v>0</v>
      </c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15">
        <f t="shared" ref="Z452:Z515" si="74">COUNTA(D452:M452)</f>
        <v>0</v>
      </c>
      <c r="AA452" s="15">
        <f>SUM(Z$3:Z452)</f>
        <v>257</v>
      </c>
      <c r="AB452" s="37">
        <f t="shared" ref="AB452:AB515" si="75">MATCH(ROW(AB450)-0.1,AA:AA,1)</f>
        <v>620</v>
      </c>
      <c r="AC452" s="37">
        <f>COUNTIF(AB$3:AB452,AB452)</f>
        <v>193</v>
      </c>
      <c r="AD452" s="15" t="e">
        <f t="shared" ca="1" si="70"/>
        <v>#N/A</v>
      </c>
      <c r="AE452" s="37" t="e">
        <f t="shared" ref="AE452:AE515" ca="1" si="76">AF452*100+AC452</f>
        <v>#VALUE!</v>
      </c>
      <c r="AF452" s="15" t="str">
        <f t="shared" ca="1" si="71"/>
        <v>无</v>
      </c>
      <c r="AG452" s="15" t="e">
        <f t="shared" ref="AG452:AG515" ca="1" si="77">VALUE(MID(AD452,1,FIND("+",AD452,1)-1))</f>
        <v>#N/A</v>
      </c>
      <c r="AH452" s="15" t="str">
        <f t="shared" ref="AH452:AH515" ca="1" si="78">"{" &amp; IFERROR(MID($AD452,FIND("+",$AD452,1)+1,IFERROR(FIND("/",$AD452),LEN($AD452)+1)-FIND("+",$AD452)-1),0) &amp; "}"</f>
        <v>{0}</v>
      </c>
      <c r="AI452" s="15" t="e">
        <f t="shared" ca="1" si="72"/>
        <v>#N/A</v>
      </c>
      <c r="AJ452" s="26" t="e">
        <f t="shared" ref="AJ452:AJ515" ca="1" si="79">OFFSET($B$2,MATCH($AF452,A:A,0)-2,) &amp; "-" &amp; $AD452 &amp; "|" &amp; AI452/$AI$1*100 &amp; "%"</f>
        <v>#N/A</v>
      </c>
    </row>
    <row r="453" spans="1:36" x14ac:dyDescent="0.25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3"/>
      <c r="O453" s="32">
        <f t="shared" si="73"/>
        <v>0</v>
      </c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15">
        <f t="shared" si="74"/>
        <v>0</v>
      </c>
      <c r="AA453" s="15">
        <f>SUM(Z$3:Z453)</f>
        <v>257</v>
      </c>
      <c r="AB453" s="37">
        <f t="shared" si="75"/>
        <v>620</v>
      </c>
      <c r="AC453" s="37">
        <f>COUNTIF(AB$3:AB453,AB453)</f>
        <v>194</v>
      </c>
      <c r="AD453" s="15" t="e">
        <f t="shared" ca="1" si="70"/>
        <v>#N/A</v>
      </c>
      <c r="AE453" s="37" t="e">
        <f t="shared" ca="1" si="76"/>
        <v>#VALUE!</v>
      </c>
      <c r="AF453" s="15" t="str">
        <f t="shared" ca="1" si="71"/>
        <v>无</v>
      </c>
      <c r="AG453" s="15" t="e">
        <f t="shared" ca="1" si="77"/>
        <v>#N/A</v>
      </c>
      <c r="AH453" s="15" t="str">
        <f t="shared" ca="1" si="78"/>
        <v>{0}</v>
      </c>
      <c r="AI453" s="15" t="e">
        <f t="shared" ca="1" si="72"/>
        <v>#N/A</v>
      </c>
      <c r="AJ453" s="26" t="e">
        <f t="shared" ca="1" si="79"/>
        <v>#N/A</v>
      </c>
    </row>
    <row r="454" spans="1:36" x14ac:dyDescent="0.25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3"/>
      <c r="O454" s="32">
        <f t="shared" si="73"/>
        <v>0</v>
      </c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15">
        <f t="shared" si="74"/>
        <v>0</v>
      </c>
      <c r="AA454" s="15">
        <f>SUM(Z$3:Z454)</f>
        <v>257</v>
      </c>
      <c r="AB454" s="37">
        <f t="shared" si="75"/>
        <v>620</v>
      </c>
      <c r="AC454" s="37">
        <f>COUNTIF(AB$3:AB454,AB454)</f>
        <v>195</v>
      </c>
      <c r="AD454" s="15" t="e">
        <f t="shared" ca="1" si="70"/>
        <v>#N/A</v>
      </c>
      <c r="AE454" s="37" t="e">
        <f t="shared" ca="1" si="76"/>
        <v>#VALUE!</v>
      </c>
      <c r="AF454" s="15" t="str">
        <f t="shared" ca="1" si="71"/>
        <v>无</v>
      </c>
      <c r="AG454" s="15" t="e">
        <f t="shared" ca="1" si="77"/>
        <v>#N/A</v>
      </c>
      <c r="AH454" s="15" t="str">
        <f t="shared" ca="1" si="78"/>
        <v>{0}</v>
      </c>
      <c r="AI454" s="15" t="e">
        <f t="shared" ca="1" si="72"/>
        <v>#N/A</v>
      </c>
      <c r="AJ454" s="26" t="e">
        <f t="shared" ca="1" si="79"/>
        <v>#N/A</v>
      </c>
    </row>
    <row r="455" spans="1:36" x14ac:dyDescent="0.25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3"/>
      <c r="O455" s="32">
        <f t="shared" si="73"/>
        <v>0</v>
      </c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15">
        <f t="shared" si="74"/>
        <v>0</v>
      </c>
      <c r="AA455" s="15">
        <f>SUM(Z$3:Z455)</f>
        <v>257</v>
      </c>
      <c r="AB455" s="37">
        <f t="shared" si="75"/>
        <v>620</v>
      </c>
      <c r="AC455" s="37">
        <f>COUNTIF(AB$3:AB455,AB455)</f>
        <v>196</v>
      </c>
      <c r="AD455" s="15" t="e">
        <f t="shared" ca="1" si="70"/>
        <v>#N/A</v>
      </c>
      <c r="AE455" s="37" t="e">
        <f t="shared" ca="1" si="76"/>
        <v>#VALUE!</v>
      </c>
      <c r="AF455" s="15" t="str">
        <f t="shared" ca="1" si="71"/>
        <v>无</v>
      </c>
      <c r="AG455" s="15" t="e">
        <f t="shared" ca="1" si="77"/>
        <v>#N/A</v>
      </c>
      <c r="AH455" s="15" t="str">
        <f t="shared" ca="1" si="78"/>
        <v>{0}</v>
      </c>
      <c r="AI455" s="15" t="e">
        <f t="shared" ca="1" si="72"/>
        <v>#N/A</v>
      </c>
      <c r="AJ455" s="26" t="e">
        <f t="shared" ca="1" si="79"/>
        <v>#N/A</v>
      </c>
    </row>
    <row r="456" spans="1:36" x14ac:dyDescent="0.25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3"/>
      <c r="O456" s="32">
        <f t="shared" si="73"/>
        <v>0</v>
      </c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15">
        <f t="shared" si="74"/>
        <v>0</v>
      </c>
      <c r="AA456" s="15">
        <f>SUM(Z$3:Z456)</f>
        <v>257</v>
      </c>
      <c r="AB456" s="37">
        <f t="shared" si="75"/>
        <v>620</v>
      </c>
      <c r="AC456" s="37">
        <f>COUNTIF(AB$3:AB456,AB456)</f>
        <v>197</v>
      </c>
      <c r="AD456" s="15" t="e">
        <f t="shared" ca="1" si="70"/>
        <v>#N/A</v>
      </c>
      <c r="AE456" s="37" t="e">
        <f t="shared" ca="1" si="76"/>
        <v>#VALUE!</v>
      </c>
      <c r="AF456" s="15" t="str">
        <f t="shared" ca="1" si="71"/>
        <v>无</v>
      </c>
      <c r="AG456" s="15" t="e">
        <f t="shared" ca="1" si="77"/>
        <v>#N/A</v>
      </c>
      <c r="AH456" s="15" t="str">
        <f t="shared" ca="1" si="78"/>
        <v>{0}</v>
      </c>
      <c r="AI456" s="15" t="e">
        <f t="shared" ca="1" si="72"/>
        <v>#N/A</v>
      </c>
      <c r="AJ456" s="26" t="e">
        <f t="shared" ca="1" si="79"/>
        <v>#N/A</v>
      </c>
    </row>
    <row r="457" spans="1:36" x14ac:dyDescent="0.25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3"/>
      <c r="O457" s="32">
        <f t="shared" si="73"/>
        <v>0</v>
      </c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15">
        <f t="shared" si="74"/>
        <v>0</v>
      </c>
      <c r="AA457" s="15">
        <f>SUM(Z$3:Z457)</f>
        <v>257</v>
      </c>
      <c r="AB457" s="37">
        <f t="shared" si="75"/>
        <v>620</v>
      </c>
      <c r="AC457" s="37">
        <f>COUNTIF(AB$3:AB457,AB457)</f>
        <v>198</v>
      </c>
      <c r="AD457" s="15" t="e">
        <f t="shared" ca="1" si="70"/>
        <v>#N/A</v>
      </c>
      <c r="AE457" s="37" t="e">
        <f t="shared" ca="1" si="76"/>
        <v>#VALUE!</v>
      </c>
      <c r="AF457" s="15" t="str">
        <f t="shared" ca="1" si="71"/>
        <v>无</v>
      </c>
      <c r="AG457" s="15" t="e">
        <f t="shared" ca="1" si="77"/>
        <v>#N/A</v>
      </c>
      <c r="AH457" s="15" t="str">
        <f t="shared" ca="1" si="78"/>
        <v>{0}</v>
      </c>
      <c r="AI457" s="15" t="e">
        <f t="shared" ca="1" si="72"/>
        <v>#N/A</v>
      </c>
      <c r="AJ457" s="26" t="e">
        <f t="shared" ca="1" si="79"/>
        <v>#N/A</v>
      </c>
    </row>
    <row r="458" spans="1:36" x14ac:dyDescent="0.25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3"/>
      <c r="O458" s="32">
        <f t="shared" si="73"/>
        <v>0</v>
      </c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15">
        <f t="shared" si="74"/>
        <v>0</v>
      </c>
      <c r="AA458" s="15">
        <f>SUM(Z$3:Z458)</f>
        <v>257</v>
      </c>
      <c r="AB458" s="37">
        <f t="shared" si="75"/>
        <v>620</v>
      </c>
      <c r="AC458" s="37">
        <f>COUNTIF(AB$3:AB458,AB458)</f>
        <v>199</v>
      </c>
      <c r="AD458" s="15" t="e">
        <f t="shared" ca="1" si="70"/>
        <v>#N/A</v>
      </c>
      <c r="AE458" s="37" t="e">
        <f t="shared" ca="1" si="76"/>
        <v>#VALUE!</v>
      </c>
      <c r="AF458" s="15" t="str">
        <f t="shared" ca="1" si="71"/>
        <v>无</v>
      </c>
      <c r="AG458" s="15" t="e">
        <f t="shared" ca="1" si="77"/>
        <v>#N/A</v>
      </c>
      <c r="AH458" s="15" t="str">
        <f t="shared" ca="1" si="78"/>
        <v>{0}</v>
      </c>
      <c r="AI458" s="15" t="e">
        <f t="shared" ca="1" si="72"/>
        <v>#N/A</v>
      </c>
      <c r="AJ458" s="26" t="e">
        <f t="shared" ca="1" si="79"/>
        <v>#N/A</v>
      </c>
    </row>
    <row r="459" spans="1:36" x14ac:dyDescent="0.25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3"/>
      <c r="O459" s="32">
        <f t="shared" si="73"/>
        <v>0</v>
      </c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15">
        <f t="shared" si="74"/>
        <v>0</v>
      </c>
      <c r="AA459" s="15">
        <f>SUM(Z$3:Z459)</f>
        <v>257</v>
      </c>
      <c r="AB459" s="37">
        <f t="shared" si="75"/>
        <v>620</v>
      </c>
      <c r="AC459" s="37">
        <f>COUNTIF(AB$3:AB459,AB459)</f>
        <v>200</v>
      </c>
      <c r="AD459" s="15" t="e">
        <f t="shared" ca="1" si="70"/>
        <v>#N/A</v>
      </c>
      <c r="AE459" s="37" t="e">
        <f t="shared" ca="1" si="76"/>
        <v>#VALUE!</v>
      </c>
      <c r="AF459" s="15" t="str">
        <f t="shared" ca="1" si="71"/>
        <v>无</v>
      </c>
      <c r="AG459" s="15" t="e">
        <f t="shared" ca="1" si="77"/>
        <v>#N/A</v>
      </c>
      <c r="AH459" s="15" t="str">
        <f t="shared" ca="1" si="78"/>
        <v>{0}</v>
      </c>
      <c r="AI459" s="15" t="e">
        <f t="shared" ca="1" si="72"/>
        <v>#N/A</v>
      </c>
      <c r="AJ459" s="26" t="e">
        <f t="shared" ca="1" si="79"/>
        <v>#N/A</v>
      </c>
    </row>
    <row r="460" spans="1:36" x14ac:dyDescent="0.25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3"/>
      <c r="O460" s="32">
        <f t="shared" si="73"/>
        <v>0</v>
      </c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15">
        <f t="shared" si="74"/>
        <v>0</v>
      </c>
      <c r="AA460" s="15">
        <f>SUM(Z$3:Z460)</f>
        <v>257</v>
      </c>
      <c r="AB460" s="37">
        <f t="shared" si="75"/>
        <v>620</v>
      </c>
      <c r="AC460" s="37">
        <f>COUNTIF(AB$3:AB460,AB460)</f>
        <v>201</v>
      </c>
      <c r="AD460" s="15" t="e">
        <f t="shared" ca="1" si="70"/>
        <v>#N/A</v>
      </c>
      <c r="AE460" s="37" t="e">
        <f t="shared" ca="1" si="76"/>
        <v>#VALUE!</v>
      </c>
      <c r="AF460" s="15" t="str">
        <f t="shared" ca="1" si="71"/>
        <v>无</v>
      </c>
      <c r="AG460" s="15" t="e">
        <f t="shared" ca="1" si="77"/>
        <v>#N/A</v>
      </c>
      <c r="AH460" s="15" t="str">
        <f t="shared" ca="1" si="78"/>
        <v>{0}</v>
      </c>
      <c r="AI460" s="15" t="e">
        <f t="shared" ca="1" si="72"/>
        <v>#N/A</v>
      </c>
      <c r="AJ460" s="26" t="e">
        <f t="shared" ca="1" si="79"/>
        <v>#N/A</v>
      </c>
    </row>
    <row r="461" spans="1:36" x14ac:dyDescent="0.25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3"/>
      <c r="O461" s="32">
        <f t="shared" si="73"/>
        <v>0</v>
      </c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15">
        <f t="shared" si="74"/>
        <v>0</v>
      </c>
      <c r="AA461" s="15">
        <f>SUM(Z$3:Z461)</f>
        <v>257</v>
      </c>
      <c r="AB461" s="37">
        <f t="shared" si="75"/>
        <v>620</v>
      </c>
      <c r="AC461" s="37">
        <f>COUNTIF(AB$3:AB461,AB461)</f>
        <v>202</v>
      </c>
      <c r="AD461" s="15" t="e">
        <f t="shared" ca="1" si="70"/>
        <v>#N/A</v>
      </c>
      <c r="AE461" s="37" t="e">
        <f t="shared" ca="1" si="76"/>
        <v>#VALUE!</v>
      </c>
      <c r="AF461" s="15" t="str">
        <f t="shared" ca="1" si="71"/>
        <v>无</v>
      </c>
      <c r="AG461" s="15" t="e">
        <f t="shared" ca="1" si="77"/>
        <v>#N/A</v>
      </c>
      <c r="AH461" s="15" t="str">
        <f t="shared" ca="1" si="78"/>
        <v>{0}</v>
      </c>
      <c r="AI461" s="15" t="e">
        <f t="shared" ca="1" si="72"/>
        <v>#N/A</v>
      </c>
      <c r="AJ461" s="26" t="e">
        <f t="shared" ca="1" si="79"/>
        <v>#N/A</v>
      </c>
    </row>
    <row r="462" spans="1:36" x14ac:dyDescent="0.25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3"/>
      <c r="O462" s="32">
        <f t="shared" si="73"/>
        <v>0</v>
      </c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15">
        <f t="shared" si="74"/>
        <v>0</v>
      </c>
      <c r="AA462" s="15">
        <f>SUM(Z$3:Z462)</f>
        <v>257</v>
      </c>
      <c r="AB462" s="37">
        <f t="shared" si="75"/>
        <v>620</v>
      </c>
      <c r="AC462" s="37">
        <f>COUNTIF(AB$3:AB462,AB462)</f>
        <v>203</v>
      </c>
      <c r="AD462" s="15" t="e">
        <f t="shared" ca="1" si="70"/>
        <v>#N/A</v>
      </c>
      <c r="AE462" s="37" t="e">
        <f t="shared" ca="1" si="76"/>
        <v>#VALUE!</v>
      </c>
      <c r="AF462" s="15" t="str">
        <f t="shared" ca="1" si="71"/>
        <v>无</v>
      </c>
      <c r="AG462" s="15" t="e">
        <f t="shared" ca="1" si="77"/>
        <v>#N/A</v>
      </c>
      <c r="AH462" s="15" t="str">
        <f t="shared" ca="1" si="78"/>
        <v>{0}</v>
      </c>
      <c r="AI462" s="15" t="e">
        <f t="shared" ca="1" si="72"/>
        <v>#N/A</v>
      </c>
      <c r="AJ462" s="26" t="e">
        <f t="shared" ca="1" si="79"/>
        <v>#N/A</v>
      </c>
    </row>
    <row r="463" spans="1:36" x14ac:dyDescent="0.25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3"/>
      <c r="O463" s="32">
        <f t="shared" si="73"/>
        <v>0</v>
      </c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15">
        <f t="shared" si="74"/>
        <v>0</v>
      </c>
      <c r="AA463" s="15">
        <f>SUM(Z$3:Z463)</f>
        <v>257</v>
      </c>
      <c r="AB463" s="37">
        <f t="shared" si="75"/>
        <v>620</v>
      </c>
      <c r="AC463" s="37">
        <f>COUNTIF(AB$3:AB463,AB463)</f>
        <v>204</v>
      </c>
      <c r="AD463" s="15" t="e">
        <f t="shared" ca="1" si="70"/>
        <v>#N/A</v>
      </c>
      <c r="AE463" s="37" t="e">
        <f t="shared" ca="1" si="76"/>
        <v>#VALUE!</v>
      </c>
      <c r="AF463" s="15" t="str">
        <f t="shared" ca="1" si="71"/>
        <v>无</v>
      </c>
      <c r="AG463" s="15" t="e">
        <f t="shared" ca="1" si="77"/>
        <v>#N/A</v>
      </c>
      <c r="AH463" s="15" t="str">
        <f t="shared" ca="1" si="78"/>
        <v>{0}</v>
      </c>
      <c r="AI463" s="15" t="e">
        <f t="shared" ca="1" si="72"/>
        <v>#N/A</v>
      </c>
      <c r="AJ463" s="26" t="e">
        <f t="shared" ca="1" si="79"/>
        <v>#N/A</v>
      </c>
    </row>
    <row r="464" spans="1:36" x14ac:dyDescent="0.25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3"/>
      <c r="O464" s="32">
        <f t="shared" si="73"/>
        <v>0</v>
      </c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15">
        <f t="shared" si="74"/>
        <v>0</v>
      </c>
      <c r="AA464" s="15">
        <f>SUM(Z$3:Z464)</f>
        <v>257</v>
      </c>
      <c r="AB464" s="37">
        <f t="shared" si="75"/>
        <v>620</v>
      </c>
      <c r="AC464" s="37">
        <f>COUNTIF(AB$3:AB464,AB464)</f>
        <v>205</v>
      </c>
      <c r="AD464" s="15" t="e">
        <f t="shared" ca="1" si="70"/>
        <v>#N/A</v>
      </c>
      <c r="AE464" s="37" t="e">
        <f t="shared" ca="1" si="76"/>
        <v>#VALUE!</v>
      </c>
      <c r="AF464" s="15" t="str">
        <f t="shared" ca="1" si="71"/>
        <v>无</v>
      </c>
      <c r="AG464" s="15" t="e">
        <f t="shared" ca="1" si="77"/>
        <v>#N/A</v>
      </c>
      <c r="AH464" s="15" t="str">
        <f t="shared" ca="1" si="78"/>
        <v>{0}</v>
      </c>
      <c r="AI464" s="15" t="e">
        <f t="shared" ca="1" si="72"/>
        <v>#N/A</v>
      </c>
      <c r="AJ464" s="26" t="e">
        <f t="shared" ca="1" si="79"/>
        <v>#N/A</v>
      </c>
    </row>
    <row r="465" spans="1:36" x14ac:dyDescent="0.25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3"/>
      <c r="O465" s="32">
        <f t="shared" si="73"/>
        <v>0</v>
      </c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15">
        <f t="shared" si="74"/>
        <v>0</v>
      </c>
      <c r="AA465" s="15">
        <f>SUM(Z$3:Z465)</f>
        <v>257</v>
      </c>
      <c r="AB465" s="37">
        <f t="shared" si="75"/>
        <v>620</v>
      </c>
      <c r="AC465" s="37">
        <f>COUNTIF(AB$3:AB465,AB465)</f>
        <v>206</v>
      </c>
      <c r="AD465" s="15" t="e">
        <f t="shared" ca="1" si="70"/>
        <v>#N/A</v>
      </c>
      <c r="AE465" s="37" t="e">
        <f t="shared" ca="1" si="76"/>
        <v>#VALUE!</v>
      </c>
      <c r="AF465" s="15" t="str">
        <f t="shared" ca="1" si="71"/>
        <v>无</v>
      </c>
      <c r="AG465" s="15" t="e">
        <f t="shared" ca="1" si="77"/>
        <v>#N/A</v>
      </c>
      <c r="AH465" s="15" t="str">
        <f t="shared" ca="1" si="78"/>
        <v>{0}</v>
      </c>
      <c r="AI465" s="15" t="e">
        <f t="shared" ca="1" si="72"/>
        <v>#N/A</v>
      </c>
      <c r="AJ465" s="26" t="e">
        <f t="shared" ca="1" si="79"/>
        <v>#N/A</v>
      </c>
    </row>
    <row r="466" spans="1:36" x14ac:dyDescent="0.25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3"/>
      <c r="O466" s="32">
        <f t="shared" si="73"/>
        <v>0</v>
      </c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15">
        <f t="shared" si="74"/>
        <v>0</v>
      </c>
      <c r="AA466" s="15">
        <f>SUM(Z$3:Z466)</f>
        <v>257</v>
      </c>
      <c r="AB466" s="37">
        <f t="shared" si="75"/>
        <v>620</v>
      </c>
      <c r="AC466" s="37">
        <f>COUNTIF(AB$3:AB466,AB466)</f>
        <v>207</v>
      </c>
      <c r="AD466" s="15" t="e">
        <f t="shared" ca="1" si="70"/>
        <v>#N/A</v>
      </c>
      <c r="AE466" s="37" t="e">
        <f t="shared" ca="1" si="76"/>
        <v>#VALUE!</v>
      </c>
      <c r="AF466" s="15" t="str">
        <f t="shared" ca="1" si="71"/>
        <v>无</v>
      </c>
      <c r="AG466" s="15" t="e">
        <f t="shared" ca="1" si="77"/>
        <v>#N/A</v>
      </c>
      <c r="AH466" s="15" t="str">
        <f t="shared" ca="1" si="78"/>
        <v>{0}</v>
      </c>
      <c r="AI466" s="15" t="e">
        <f t="shared" ca="1" si="72"/>
        <v>#N/A</v>
      </c>
      <c r="AJ466" s="26" t="e">
        <f t="shared" ca="1" si="79"/>
        <v>#N/A</v>
      </c>
    </row>
    <row r="467" spans="1:36" x14ac:dyDescent="0.25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3"/>
      <c r="O467" s="32">
        <f t="shared" si="73"/>
        <v>0</v>
      </c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15">
        <f t="shared" si="74"/>
        <v>0</v>
      </c>
      <c r="AA467" s="15">
        <f>SUM(Z$3:Z467)</f>
        <v>257</v>
      </c>
      <c r="AB467" s="37">
        <f t="shared" si="75"/>
        <v>620</v>
      </c>
      <c r="AC467" s="37">
        <f>COUNTIF(AB$3:AB467,AB467)</f>
        <v>208</v>
      </c>
      <c r="AD467" s="15" t="e">
        <f t="shared" ca="1" si="70"/>
        <v>#N/A</v>
      </c>
      <c r="AE467" s="37" t="e">
        <f t="shared" ca="1" si="76"/>
        <v>#VALUE!</v>
      </c>
      <c r="AF467" s="15" t="str">
        <f t="shared" ca="1" si="71"/>
        <v>无</v>
      </c>
      <c r="AG467" s="15" t="e">
        <f t="shared" ca="1" si="77"/>
        <v>#N/A</v>
      </c>
      <c r="AH467" s="15" t="str">
        <f t="shared" ca="1" si="78"/>
        <v>{0}</v>
      </c>
      <c r="AI467" s="15" t="e">
        <f t="shared" ca="1" si="72"/>
        <v>#N/A</v>
      </c>
      <c r="AJ467" s="26" t="e">
        <f t="shared" ca="1" si="79"/>
        <v>#N/A</v>
      </c>
    </row>
    <row r="468" spans="1:36" x14ac:dyDescent="0.25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3"/>
      <c r="O468" s="32">
        <f t="shared" si="73"/>
        <v>0</v>
      </c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15">
        <f t="shared" si="74"/>
        <v>0</v>
      </c>
      <c r="AA468" s="15">
        <f>SUM(Z$3:Z468)</f>
        <v>257</v>
      </c>
      <c r="AB468" s="37">
        <f t="shared" si="75"/>
        <v>620</v>
      </c>
      <c r="AC468" s="37">
        <f>COUNTIF(AB$3:AB468,AB468)</f>
        <v>209</v>
      </c>
      <c r="AD468" s="15" t="e">
        <f t="shared" ca="1" si="70"/>
        <v>#N/A</v>
      </c>
      <c r="AE468" s="37" t="e">
        <f t="shared" ca="1" si="76"/>
        <v>#VALUE!</v>
      </c>
      <c r="AF468" s="15" t="str">
        <f t="shared" ca="1" si="71"/>
        <v>无</v>
      </c>
      <c r="AG468" s="15" t="e">
        <f t="shared" ca="1" si="77"/>
        <v>#N/A</v>
      </c>
      <c r="AH468" s="15" t="str">
        <f t="shared" ca="1" si="78"/>
        <v>{0}</v>
      </c>
      <c r="AI468" s="15" t="e">
        <f t="shared" ca="1" si="72"/>
        <v>#N/A</v>
      </c>
      <c r="AJ468" s="26" t="e">
        <f t="shared" ca="1" si="79"/>
        <v>#N/A</v>
      </c>
    </row>
    <row r="469" spans="1:36" x14ac:dyDescent="0.25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3"/>
      <c r="O469" s="32">
        <f t="shared" si="73"/>
        <v>0</v>
      </c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15">
        <f t="shared" si="74"/>
        <v>0</v>
      </c>
      <c r="AA469" s="15">
        <f>SUM(Z$3:Z469)</f>
        <v>257</v>
      </c>
      <c r="AB469" s="37">
        <f t="shared" si="75"/>
        <v>620</v>
      </c>
      <c r="AC469" s="37">
        <f>COUNTIF(AB$3:AB469,AB469)</f>
        <v>210</v>
      </c>
      <c r="AD469" s="15" t="e">
        <f t="shared" ca="1" si="70"/>
        <v>#N/A</v>
      </c>
      <c r="AE469" s="37" t="e">
        <f t="shared" ca="1" si="76"/>
        <v>#VALUE!</v>
      </c>
      <c r="AF469" s="15" t="str">
        <f t="shared" ca="1" si="71"/>
        <v>无</v>
      </c>
      <c r="AG469" s="15" t="e">
        <f t="shared" ca="1" si="77"/>
        <v>#N/A</v>
      </c>
      <c r="AH469" s="15" t="str">
        <f t="shared" ca="1" si="78"/>
        <v>{0}</v>
      </c>
      <c r="AI469" s="15" t="e">
        <f t="shared" ca="1" si="72"/>
        <v>#N/A</v>
      </c>
      <c r="AJ469" s="26" t="e">
        <f t="shared" ca="1" si="79"/>
        <v>#N/A</v>
      </c>
    </row>
    <row r="470" spans="1:36" x14ac:dyDescent="0.25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3"/>
      <c r="O470" s="32">
        <f t="shared" si="73"/>
        <v>0</v>
      </c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15">
        <f t="shared" si="74"/>
        <v>0</v>
      </c>
      <c r="AA470" s="15">
        <f>SUM(Z$3:Z470)</f>
        <v>257</v>
      </c>
      <c r="AB470" s="37">
        <f t="shared" si="75"/>
        <v>620</v>
      </c>
      <c r="AC470" s="37">
        <f>COUNTIF(AB$3:AB470,AB470)</f>
        <v>211</v>
      </c>
      <c r="AD470" s="15" t="e">
        <f t="shared" ca="1" si="70"/>
        <v>#N/A</v>
      </c>
      <c r="AE470" s="37" t="e">
        <f t="shared" ca="1" si="76"/>
        <v>#VALUE!</v>
      </c>
      <c r="AF470" s="15" t="str">
        <f t="shared" ca="1" si="71"/>
        <v>无</v>
      </c>
      <c r="AG470" s="15" t="e">
        <f t="shared" ca="1" si="77"/>
        <v>#N/A</v>
      </c>
      <c r="AH470" s="15" t="str">
        <f t="shared" ca="1" si="78"/>
        <v>{0}</v>
      </c>
      <c r="AI470" s="15" t="e">
        <f t="shared" ca="1" si="72"/>
        <v>#N/A</v>
      </c>
      <c r="AJ470" s="26" t="e">
        <f t="shared" ca="1" si="79"/>
        <v>#N/A</v>
      </c>
    </row>
    <row r="471" spans="1:36" x14ac:dyDescent="0.25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3"/>
      <c r="O471" s="32">
        <f t="shared" si="73"/>
        <v>0</v>
      </c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15">
        <f t="shared" si="74"/>
        <v>0</v>
      </c>
      <c r="AA471" s="15">
        <f>SUM(Z$3:Z471)</f>
        <v>257</v>
      </c>
      <c r="AB471" s="37">
        <f t="shared" si="75"/>
        <v>620</v>
      </c>
      <c r="AC471" s="37">
        <f>COUNTIF(AB$3:AB471,AB471)</f>
        <v>212</v>
      </c>
      <c r="AD471" s="15" t="e">
        <f t="shared" ca="1" si="70"/>
        <v>#N/A</v>
      </c>
      <c r="AE471" s="37" t="e">
        <f t="shared" ca="1" si="76"/>
        <v>#VALUE!</v>
      </c>
      <c r="AF471" s="15" t="str">
        <f t="shared" ca="1" si="71"/>
        <v>无</v>
      </c>
      <c r="AG471" s="15" t="e">
        <f t="shared" ca="1" si="77"/>
        <v>#N/A</v>
      </c>
      <c r="AH471" s="15" t="str">
        <f t="shared" ca="1" si="78"/>
        <v>{0}</v>
      </c>
      <c r="AI471" s="15" t="e">
        <f t="shared" ca="1" si="72"/>
        <v>#N/A</v>
      </c>
      <c r="AJ471" s="26" t="e">
        <f t="shared" ca="1" si="79"/>
        <v>#N/A</v>
      </c>
    </row>
    <row r="472" spans="1:36" x14ac:dyDescent="0.25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3"/>
      <c r="O472" s="32">
        <f t="shared" si="73"/>
        <v>0</v>
      </c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15">
        <f t="shared" si="74"/>
        <v>0</v>
      </c>
      <c r="AA472" s="15">
        <f>SUM(Z$3:Z472)</f>
        <v>257</v>
      </c>
      <c r="AB472" s="37">
        <f t="shared" si="75"/>
        <v>620</v>
      </c>
      <c r="AC472" s="37">
        <f>COUNTIF(AB$3:AB472,AB472)</f>
        <v>213</v>
      </c>
      <c r="AD472" s="15" t="e">
        <f t="shared" ca="1" si="70"/>
        <v>#N/A</v>
      </c>
      <c r="AE472" s="37" t="e">
        <f t="shared" ca="1" si="76"/>
        <v>#VALUE!</v>
      </c>
      <c r="AF472" s="15" t="str">
        <f t="shared" ca="1" si="71"/>
        <v>无</v>
      </c>
      <c r="AG472" s="15" t="e">
        <f t="shared" ca="1" si="77"/>
        <v>#N/A</v>
      </c>
      <c r="AH472" s="15" t="str">
        <f t="shared" ca="1" si="78"/>
        <v>{0}</v>
      </c>
      <c r="AI472" s="15" t="e">
        <f t="shared" ca="1" si="72"/>
        <v>#N/A</v>
      </c>
      <c r="AJ472" s="26" t="e">
        <f t="shared" ca="1" si="79"/>
        <v>#N/A</v>
      </c>
    </row>
    <row r="473" spans="1:36" x14ac:dyDescent="0.25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3"/>
      <c r="O473" s="32">
        <f t="shared" si="73"/>
        <v>0</v>
      </c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15">
        <f t="shared" si="74"/>
        <v>0</v>
      </c>
      <c r="AA473" s="15">
        <f>SUM(Z$3:Z473)</f>
        <v>257</v>
      </c>
      <c r="AB473" s="37">
        <f t="shared" si="75"/>
        <v>620</v>
      </c>
      <c r="AC473" s="37">
        <f>COUNTIF(AB$3:AB473,AB473)</f>
        <v>214</v>
      </c>
      <c r="AD473" s="15" t="e">
        <f t="shared" ca="1" si="70"/>
        <v>#N/A</v>
      </c>
      <c r="AE473" s="37" t="e">
        <f t="shared" ca="1" si="76"/>
        <v>#VALUE!</v>
      </c>
      <c r="AF473" s="15" t="str">
        <f t="shared" ca="1" si="71"/>
        <v>无</v>
      </c>
      <c r="AG473" s="15" t="e">
        <f t="shared" ca="1" si="77"/>
        <v>#N/A</v>
      </c>
      <c r="AH473" s="15" t="str">
        <f t="shared" ca="1" si="78"/>
        <v>{0}</v>
      </c>
      <c r="AI473" s="15" t="e">
        <f t="shared" ca="1" si="72"/>
        <v>#N/A</v>
      </c>
      <c r="AJ473" s="26" t="e">
        <f t="shared" ca="1" si="79"/>
        <v>#N/A</v>
      </c>
    </row>
    <row r="474" spans="1:36" x14ac:dyDescent="0.25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3"/>
      <c r="O474" s="32">
        <f t="shared" si="73"/>
        <v>0</v>
      </c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15">
        <f t="shared" si="74"/>
        <v>0</v>
      </c>
      <c r="AA474" s="15">
        <f>SUM(Z$3:Z474)</f>
        <v>257</v>
      </c>
      <c r="AB474" s="37">
        <f t="shared" si="75"/>
        <v>620</v>
      </c>
      <c r="AC474" s="37">
        <f>COUNTIF(AB$3:AB474,AB474)</f>
        <v>215</v>
      </c>
      <c r="AD474" s="15" t="e">
        <f t="shared" ca="1" si="70"/>
        <v>#N/A</v>
      </c>
      <c r="AE474" s="37" t="e">
        <f t="shared" ca="1" si="76"/>
        <v>#VALUE!</v>
      </c>
      <c r="AF474" s="15" t="str">
        <f t="shared" ca="1" si="71"/>
        <v>无</v>
      </c>
      <c r="AG474" s="15" t="e">
        <f t="shared" ca="1" si="77"/>
        <v>#N/A</v>
      </c>
      <c r="AH474" s="15" t="str">
        <f t="shared" ca="1" si="78"/>
        <v>{0}</v>
      </c>
      <c r="AI474" s="15" t="e">
        <f t="shared" ca="1" si="72"/>
        <v>#N/A</v>
      </c>
      <c r="AJ474" s="26" t="e">
        <f t="shared" ca="1" si="79"/>
        <v>#N/A</v>
      </c>
    </row>
    <row r="475" spans="1:36" x14ac:dyDescent="0.25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3"/>
      <c r="O475" s="32">
        <f t="shared" si="73"/>
        <v>0</v>
      </c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15">
        <f t="shared" si="74"/>
        <v>0</v>
      </c>
      <c r="AA475" s="15">
        <f>SUM(Z$3:Z475)</f>
        <v>257</v>
      </c>
      <c r="AB475" s="37">
        <f t="shared" si="75"/>
        <v>620</v>
      </c>
      <c r="AC475" s="37">
        <f>COUNTIF(AB$3:AB475,AB475)</f>
        <v>216</v>
      </c>
      <c r="AD475" s="15" t="e">
        <f t="shared" ca="1" si="70"/>
        <v>#N/A</v>
      </c>
      <c r="AE475" s="37" t="e">
        <f t="shared" ca="1" si="76"/>
        <v>#VALUE!</v>
      </c>
      <c r="AF475" s="15" t="str">
        <f t="shared" ca="1" si="71"/>
        <v>无</v>
      </c>
      <c r="AG475" s="15" t="e">
        <f t="shared" ca="1" si="77"/>
        <v>#N/A</v>
      </c>
      <c r="AH475" s="15" t="str">
        <f t="shared" ca="1" si="78"/>
        <v>{0}</v>
      </c>
      <c r="AI475" s="15" t="e">
        <f t="shared" ca="1" si="72"/>
        <v>#N/A</v>
      </c>
      <c r="AJ475" s="26" t="e">
        <f t="shared" ca="1" si="79"/>
        <v>#N/A</v>
      </c>
    </row>
    <row r="476" spans="1:36" x14ac:dyDescent="0.25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3"/>
      <c r="O476" s="32">
        <f t="shared" si="73"/>
        <v>0</v>
      </c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15">
        <f t="shared" si="74"/>
        <v>0</v>
      </c>
      <c r="AA476" s="15">
        <f>SUM(Z$3:Z476)</f>
        <v>257</v>
      </c>
      <c r="AB476" s="37">
        <f t="shared" si="75"/>
        <v>620</v>
      </c>
      <c r="AC476" s="37">
        <f>COUNTIF(AB$3:AB476,AB476)</f>
        <v>217</v>
      </c>
      <c r="AD476" s="15" t="e">
        <f t="shared" ca="1" si="70"/>
        <v>#N/A</v>
      </c>
      <c r="AE476" s="37" t="e">
        <f t="shared" ca="1" si="76"/>
        <v>#VALUE!</v>
      </c>
      <c r="AF476" s="15" t="str">
        <f t="shared" ca="1" si="71"/>
        <v>无</v>
      </c>
      <c r="AG476" s="15" t="e">
        <f t="shared" ca="1" si="77"/>
        <v>#N/A</v>
      </c>
      <c r="AH476" s="15" t="str">
        <f t="shared" ca="1" si="78"/>
        <v>{0}</v>
      </c>
      <c r="AI476" s="15" t="e">
        <f t="shared" ca="1" si="72"/>
        <v>#N/A</v>
      </c>
      <c r="AJ476" s="26" t="e">
        <f t="shared" ca="1" si="79"/>
        <v>#N/A</v>
      </c>
    </row>
    <row r="477" spans="1:36" x14ac:dyDescent="0.25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3"/>
      <c r="O477" s="32">
        <f t="shared" si="73"/>
        <v>0</v>
      </c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15">
        <f t="shared" si="74"/>
        <v>0</v>
      </c>
      <c r="AA477" s="15">
        <f>SUM(Z$3:Z477)</f>
        <v>257</v>
      </c>
      <c r="AB477" s="37">
        <f t="shared" si="75"/>
        <v>620</v>
      </c>
      <c r="AC477" s="37">
        <f>COUNTIF(AB$3:AB477,AB477)</f>
        <v>218</v>
      </c>
      <c r="AD477" s="15" t="e">
        <f t="shared" ca="1" si="70"/>
        <v>#N/A</v>
      </c>
      <c r="AE477" s="37" t="e">
        <f t="shared" ca="1" si="76"/>
        <v>#VALUE!</v>
      </c>
      <c r="AF477" s="15" t="str">
        <f t="shared" ca="1" si="71"/>
        <v>无</v>
      </c>
      <c r="AG477" s="15" t="e">
        <f t="shared" ca="1" si="77"/>
        <v>#N/A</v>
      </c>
      <c r="AH477" s="15" t="str">
        <f t="shared" ca="1" si="78"/>
        <v>{0}</v>
      </c>
      <c r="AI477" s="15" t="e">
        <f t="shared" ca="1" si="72"/>
        <v>#N/A</v>
      </c>
      <c r="AJ477" s="26" t="e">
        <f t="shared" ca="1" si="79"/>
        <v>#N/A</v>
      </c>
    </row>
    <row r="478" spans="1:36" x14ac:dyDescent="0.25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3"/>
      <c r="O478" s="32">
        <f t="shared" si="73"/>
        <v>0</v>
      </c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15">
        <f t="shared" si="74"/>
        <v>0</v>
      </c>
      <c r="AA478" s="15">
        <f>SUM(Z$3:Z478)</f>
        <v>257</v>
      </c>
      <c r="AB478" s="37">
        <f t="shared" si="75"/>
        <v>620</v>
      </c>
      <c r="AC478" s="37">
        <f>COUNTIF(AB$3:AB478,AB478)</f>
        <v>219</v>
      </c>
      <c r="AD478" s="15" t="e">
        <f t="shared" ca="1" si="70"/>
        <v>#N/A</v>
      </c>
      <c r="AE478" s="37" t="e">
        <f t="shared" ca="1" si="76"/>
        <v>#VALUE!</v>
      </c>
      <c r="AF478" s="15" t="str">
        <f t="shared" ca="1" si="71"/>
        <v>无</v>
      </c>
      <c r="AG478" s="15" t="e">
        <f t="shared" ca="1" si="77"/>
        <v>#N/A</v>
      </c>
      <c r="AH478" s="15" t="str">
        <f t="shared" ca="1" si="78"/>
        <v>{0}</v>
      </c>
      <c r="AI478" s="15" t="e">
        <f t="shared" ca="1" si="72"/>
        <v>#N/A</v>
      </c>
      <c r="AJ478" s="26" t="e">
        <f t="shared" ca="1" si="79"/>
        <v>#N/A</v>
      </c>
    </row>
    <row r="479" spans="1:36" x14ac:dyDescent="0.25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3"/>
      <c r="O479" s="32">
        <f t="shared" si="73"/>
        <v>0</v>
      </c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15">
        <f t="shared" si="74"/>
        <v>0</v>
      </c>
      <c r="AA479" s="15">
        <f>SUM(Z$3:Z479)</f>
        <v>257</v>
      </c>
      <c r="AB479" s="37">
        <f t="shared" si="75"/>
        <v>620</v>
      </c>
      <c r="AC479" s="37">
        <f>COUNTIF(AB$3:AB479,AB479)</f>
        <v>220</v>
      </c>
      <c r="AD479" s="15" t="e">
        <f t="shared" ca="1" si="70"/>
        <v>#N/A</v>
      </c>
      <c r="AE479" s="37" t="e">
        <f t="shared" ca="1" si="76"/>
        <v>#VALUE!</v>
      </c>
      <c r="AF479" s="15" t="str">
        <f t="shared" ca="1" si="71"/>
        <v>无</v>
      </c>
      <c r="AG479" s="15" t="e">
        <f t="shared" ca="1" si="77"/>
        <v>#N/A</v>
      </c>
      <c r="AH479" s="15" t="str">
        <f t="shared" ca="1" si="78"/>
        <v>{0}</v>
      </c>
      <c r="AI479" s="15" t="e">
        <f t="shared" ca="1" si="72"/>
        <v>#N/A</v>
      </c>
      <c r="AJ479" s="26" t="e">
        <f t="shared" ca="1" si="79"/>
        <v>#N/A</v>
      </c>
    </row>
    <row r="480" spans="1:36" x14ac:dyDescent="0.25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3"/>
      <c r="O480" s="32">
        <f t="shared" si="73"/>
        <v>0</v>
      </c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15">
        <f t="shared" si="74"/>
        <v>0</v>
      </c>
      <c r="AA480" s="15">
        <f>SUM(Z$3:Z480)</f>
        <v>257</v>
      </c>
      <c r="AB480" s="37">
        <f t="shared" si="75"/>
        <v>620</v>
      </c>
      <c r="AC480" s="37">
        <f>COUNTIF(AB$3:AB480,AB480)</f>
        <v>221</v>
      </c>
      <c r="AD480" s="15" t="e">
        <f t="shared" ca="1" si="70"/>
        <v>#N/A</v>
      </c>
      <c r="AE480" s="37" t="e">
        <f t="shared" ca="1" si="76"/>
        <v>#VALUE!</v>
      </c>
      <c r="AF480" s="15" t="str">
        <f t="shared" ca="1" si="71"/>
        <v>无</v>
      </c>
      <c r="AG480" s="15" t="e">
        <f t="shared" ca="1" si="77"/>
        <v>#N/A</v>
      </c>
      <c r="AH480" s="15" t="str">
        <f t="shared" ca="1" si="78"/>
        <v>{0}</v>
      </c>
      <c r="AI480" s="15" t="e">
        <f t="shared" ca="1" si="72"/>
        <v>#N/A</v>
      </c>
      <c r="AJ480" s="26" t="e">
        <f t="shared" ca="1" si="79"/>
        <v>#N/A</v>
      </c>
    </row>
    <row r="481" spans="1:36" x14ac:dyDescent="0.25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3"/>
      <c r="O481" s="32">
        <f t="shared" si="73"/>
        <v>0</v>
      </c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15">
        <f t="shared" si="74"/>
        <v>0</v>
      </c>
      <c r="AA481" s="15">
        <f>SUM(Z$3:Z481)</f>
        <v>257</v>
      </c>
      <c r="AB481" s="37">
        <f t="shared" si="75"/>
        <v>620</v>
      </c>
      <c r="AC481" s="37">
        <f>COUNTIF(AB$3:AB481,AB481)</f>
        <v>222</v>
      </c>
      <c r="AD481" s="15" t="e">
        <f t="shared" ca="1" si="70"/>
        <v>#N/A</v>
      </c>
      <c r="AE481" s="37" t="e">
        <f t="shared" ca="1" si="76"/>
        <v>#VALUE!</v>
      </c>
      <c r="AF481" s="15" t="str">
        <f t="shared" ca="1" si="71"/>
        <v>无</v>
      </c>
      <c r="AG481" s="15" t="e">
        <f t="shared" ca="1" si="77"/>
        <v>#N/A</v>
      </c>
      <c r="AH481" s="15" t="str">
        <f t="shared" ca="1" si="78"/>
        <v>{0}</v>
      </c>
      <c r="AI481" s="15" t="e">
        <f t="shared" ca="1" si="72"/>
        <v>#N/A</v>
      </c>
      <c r="AJ481" s="26" t="e">
        <f t="shared" ca="1" si="79"/>
        <v>#N/A</v>
      </c>
    </row>
    <row r="482" spans="1:36" x14ac:dyDescent="0.25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3"/>
      <c r="O482" s="32">
        <f t="shared" si="73"/>
        <v>0</v>
      </c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15">
        <f t="shared" si="74"/>
        <v>0</v>
      </c>
      <c r="AA482" s="15">
        <f>SUM(Z$3:Z482)</f>
        <v>257</v>
      </c>
      <c r="AB482" s="37">
        <f t="shared" si="75"/>
        <v>620</v>
      </c>
      <c r="AC482" s="37">
        <f>COUNTIF(AB$3:AB482,AB482)</f>
        <v>223</v>
      </c>
      <c r="AD482" s="15" t="e">
        <f t="shared" ca="1" si="70"/>
        <v>#N/A</v>
      </c>
      <c r="AE482" s="37" t="e">
        <f t="shared" ca="1" si="76"/>
        <v>#VALUE!</v>
      </c>
      <c r="AF482" s="15" t="str">
        <f t="shared" ca="1" si="71"/>
        <v>无</v>
      </c>
      <c r="AG482" s="15" t="e">
        <f t="shared" ca="1" si="77"/>
        <v>#N/A</v>
      </c>
      <c r="AH482" s="15" t="str">
        <f t="shared" ca="1" si="78"/>
        <v>{0}</v>
      </c>
      <c r="AI482" s="15" t="e">
        <f t="shared" ca="1" si="72"/>
        <v>#N/A</v>
      </c>
      <c r="AJ482" s="26" t="e">
        <f t="shared" ca="1" si="79"/>
        <v>#N/A</v>
      </c>
    </row>
    <row r="483" spans="1:36" x14ac:dyDescent="0.25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3"/>
      <c r="O483" s="32">
        <f t="shared" si="73"/>
        <v>0</v>
      </c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15">
        <f t="shared" si="74"/>
        <v>0</v>
      </c>
      <c r="AA483" s="15">
        <f>SUM(Z$3:Z483)</f>
        <v>257</v>
      </c>
      <c r="AB483" s="37">
        <f t="shared" si="75"/>
        <v>620</v>
      </c>
      <c r="AC483" s="37">
        <f>COUNTIF(AB$3:AB483,AB483)</f>
        <v>224</v>
      </c>
      <c r="AD483" s="15" t="e">
        <f t="shared" ca="1" si="70"/>
        <v>#N/A</v>
      </c>
      <c r="AE483" s="37" t="e">
        <f t="shared" ca="1" si="76"/>
        <v>#VALUE!</v>
      </c>
      <c r="AF483" s="15" t="str">
        <f t="shared" ca="1" si="71"/>
        <v>无</v>
      </c>
      <c r="AG483" s="15" t="e">
        <f t="shared" ca="1" si="77"/>
        <v>#N/A</v>
      </c>
      <c r="AH483" s="15" t="str">
        <f t="shared" ca="1" si="78"/>
        <v>{0}</v>
      </c>
      <c r="AI483" s="15" t="e">
        <f t="shared" ca="1" si="72"/>
        <v>#N/A</v>
      </c>
      <c r="AJ483" s="26" t="e">
        <f t="shared" ca="1" si="79"/>
        <v>#N/A</v>
      </c>
    </row>
    <row r="484" spans="1:36" x14ac:dyDescent="0.25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3"/>
      <c r="O484" s="32">
        <f t="shared" si="73"/>
        <v>0</v>
      </c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15">
        <f t="shared" si="74"/>
        <v>0</v>
      </c>
      <c r="AA484" s="15">
        <f>SUM(Z$3:Z484)</f>
        <v>257</v>
      </c>
      <c r="AB484" s="37">
        <f t="shared" si="75"/>
        <v>620</v>
      </c>
      <c r="AC484" s="37">
        <f>COUNTIF(AB$3:AB484,AB484)</f>
        <v>225</v>
      </c>
      <c r="AD484" s="15" t="e">
        <f t="shared" ca="1" si="70"/>
        <v>#N/A</v>
      </c>
      <c r="AE484" s="37" t="e">
        <f t="shared" ca="1" si="76"/>
        <v>#VALUE!</v>
      </c>
      <c r="AF484" s="15" t="str">
        <f t="shared" ca="1" si="71"/>
        <v>无</v>
      </c>
      <c r="AG484" s="15" t="e">
        <f t="shared" ca="1" si="77"/>
        <v>#N/A</v>
      </c>
      <c r="AH484" s="15" t="str">
        <f t="shared" ca="1" si="78"/>
        <v>{0}</v>
      </c>
      <c r="AI484" s="15" t="e">
        <f t="shared" ca="1" si="72"/>
        <v>#N/A</v>
      </c>
      <c r="AJ484" s="26" t="e">
        <f t="shared" ca="1" si="79"/>
        <v>#N/A</v>
      </c>
    </row>
    <row r="485" spans="1:36" x14ac:dyDescent="0.25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3"/>
      <c r="O485" s="32">
        <f t="shared" si="73"/>
        <v>0</v>
      </c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15">
        <f t="shared" si="74"/>
        <v>0</v>
      </c>
      <c r="AA485" s="15">
        <f>SUM(Z$3:Z485)</f>
        <v>257</v>
      </c>
      <c r="AB485" s="37">
        <f t="shared" si="75"/>
        <v>620</v>
      </c>
      <c r="AC485" s="37">
        <f>COUNTIF(AB$3:AB485,AB485)</f>
        <v>226</v>
      </c>
      <c r="AD485" s="15" t="e">
        <f t="shared" ca="1" si="70"/>
        <v>#N/A</v>
      </c>
      <c r="AE485" s="37" t="e">
        <f t="shared" ca="1" si="76"/>
        <v>#VALUE!</v>
      </c>
      <c r="AF485" s="15" t="str">
        <f t="shared" ca="1" si="71"/>
        <v>无</v>
      </c>
      <c r="AG485" s="15" t="e">
        <f t="shared" ca="1" si="77"/>
        <v>#N/A</v>
      </c>
      <c r="AH485" s="15" t="str">
        <f t="shared" ca="1" si="78"/>
        <v>{0}</v>
      </c>
      <c r="AI485" s="15" t="e">
        <f t="shared" ca="1" si="72"/>
        <v>#N/A</v>
      </c>
      <c r="AJ485" s="26" t="e">
        <f t="shared" ca="1" si="79"/>
        <v>#N/A</v>
      </c>
    </row>
    <row r="486" spans="1:36" x14ac:dyDescent="0.25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3"/>
      <c r="O486" s="32">
        <f t="shared" si="73"/>
        <v>0</v>
      </c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15">
        <f t="shared" si="74"/>
        <v>0</v>
      </c>
      <c r="AA486" s="15">
        <f>SUM(Z$3:Z486)</f>
        <v>257</v>
      </c>
      <c r="AB486" s="37">
        <f t="shared" si="75"/>
        <v>620</v>
      </c>
      <c r="AC486" s="37">
        <f>COUNTIF(AB$3:AB486,AB486)</f>
        <v>227</v>
      </c>
      <c r="AD486" s="15" t="e">
        <f t="shared" ca="1" si="70"/>
        <v>#N/A</v>
      </c>
      <c r="AE486" s="37" t="e">
        <f t="shared" ca="1" si="76"/>
        <v>#VALUE!</v>
      </c>
      <c r="AF486" s="15" t="str">
        <f t="shared" ca="1" si="71"/>
        <v>无</v>
      </c>
      <c r="AG486" s="15" t="e">
        <f t="shared" ca="1" si="77"/>
        <v>#N/A</v>
      </c>
      <c r="AH486" s="15" t="str">
        <f t="shared" ca="1" si="78"/>
        <v>{0}</v>
      </c>
      <c r="AI486" s="15" t="e">
        <f t="shared" ca="1" si="72"/>
        <v>#N/A</v>
      </c>
      <c r="AJ486" s="26" t="e">
        <f t="shared" ca="1" si="79"/>
        <v>#N/A</v>
      </c>
    </row>
    <row r="487" spans="1:36" x14ac:dyDescent="0.25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3"/>
      <c r="O487" s="32">
        <f t="shared" si="73"/>
        <v>0</v>
      </c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15">
        <f t="shared" si="74"/>
        <v>0</v>
      </c>
      <c r="AA487" s="15">
        <f>SUM(Z$3:Z487)</f>
        <v>257</v>
      </c>
      <c r="AB487" s="37">
        <f t="shared" si="75"/>
        <v>620</v>
      </c>
      <c r="AC487" s="37">
        <f>COUNTIF(AB$3:AB487,AB487)</f>
        <v>228</v>
      </c>
      <c r="AD487" s="15" t="e">
        <f t="shared" ca="1" si="70"/>
        <v>#N/A</v>
      </c>
      <c r="AE487" s="37" t="e">
        <f t="shared" ca="1" si="76"/>
        <v>#VALUE!</v>
      </c>
      <c r="AF487" s="15" t="str">
        <f t="shared" ca="1" si="71"/>
        <v>无</v>
      </c>
      <c r="AG487" s="15" t="e">
        <f t="shared" ca="1" si="77"/>
        <v>#N/A</v>
      </c>
      <c r="AH487" s="15" t="str">
        <f t="shared" ca="1" si="78"/>
        <v>{0}</v>
      </c>
      <c r="AI487" s="15" t="e">
        <f t="shared" ca="1" si="72"/>
        <v>#N/A</v>
      </c>
      <c r="AJ487" s="26" t="e">
        <f t="shared" ca="1" si="79"/>
        <v>#N/A</v>
      </c>
    </row>
    <row r="488" spans="1:36" x14ac:dyDescent="0.25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3"/>
      <c r="O488" s="32">
        <f t="shared" si="73"/>
        <v>0</v>
      </c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15">
        <f t="shared" si="74"/>
        <v>0</v>
      </c>
      <c r="AA488" s="15">
        <f>SUM(Z$3:Z488)</f>
        <v>257</v>
      </c>
      <c r="AB488" s="37">
        <f t="shared" si="75"/>
        <v>620</v>
      </c>
      <c r="AC488" s="37">
        <f>COUNTIF(AB$3:AB488,AB488)</f>
        <v>229</v>
      </c>
      <c r="AD488" s="15" t="e">
        <f t="shared" ca="1" si="70"/>
        <v>#N/A</v>
      </c>
      <c r="AE488" s="37" t="e">
        <f t="shared" ca="1" si="76"/>
        <v>#VALUE!</v>
      </c>
      <c r="AF488" s="15" t="str">
        <f t="shared" ca="1" si="71"/>
        <v>无</v>
      </c>
      <c r="AG488" s="15" t="e">
        <f t="shared" ca="1" si="77"/>
        <v>#N/A</v>
      </c>
      <c r="AH488" s="15" t="str">
        <f t="shared" ca="1" si="78"/>
        <v>{0}</v>
      </c>
      <c r="AI488" s="15" t="e">
        <f t="shared" ca="1" si="72"/>
        <v>#N/A</v>
      </c>
      <c r="AJ488" s="26" t="e">
        <f t="shared" ca="1" si="79"/>
        <v>#N/A</v>
      </c>
    </row>
    <row r="489" spans="1:36" x14ac:dyDescent="0.25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3"/>
      <c r="O489" s="32">
        <f t="shared" si="73"/>
        <v>0</v>
      </c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15">
        <f t="shared" si="74"/>
        <v>0</v>
      </c>
      <c r="AA489" s="15">
        <f>SUM(Z$3:Z489)</f>
        <v>257</v>
      </c>
      <c r="AB489" s="37">
        <f t="shared" si="75"/>
        <v>620</v>
      </c>
      <c r="AC489" s="37">
        <f>COUNTIF(AB$3:AB489,AB489)</f>
        <v>230</v>
      </c>
      <c r="AD489" s="15" t="e">
        <f t="shared" ca="1" si="70"/>
        <v>#N/A</v>
      </c>
      <c r="AE489" s="37" t="e">
        <f t="shared" ca="1" si="76"/>
        <v>#VALUE!</v>
      </c>
      <c r="AF489" s="15" t="str">
        <f t="shared" ca="1" si="71"/>
        <v>无</v>
      </c>
      <c r="AG489" s="15" t="e">
        <f t="shared" ca="1" si="77"/>
        <v>#N/A</v>
      </c>
      <c r="AH489" s="15" t="str">
        <f t="shared" ca="1" si="78"/>
        <v>{0}</v>
      </c>
      <c r="AI489" s="15" t="e">
        <f t="shared" ca="1" si="72"/>
        <v>#N/A</v>
      </c>
      <c r="AJ489" s="26" t="e">
        <f t="shared" ca="1" si="79"/>
        <v>#N/A</v>
      </c>
    </row>
    <row r="490" spans="1:36" x14ac:dyDescent="0.25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3"/>
      <c r="O490" s="32">
        <f t="shared" si="73"/>
        <v>0</v>
      </c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15">
        <f t="shared" si="74"/>
        <v>0</v>
      </c>
      <c r="AA490" s="15">
        <f>SUM(Z$3:Z490)</f>
        <v>257</v>
      </c>
      <c r="AB490" s="37">
        <f t="shared" si="75"/>
        <v>620</v>
      </c>
      <c r="AC490" s="37">
        <f>COUNTIF(AB$3:AB490,AB490)</f>
        <v>231</v>
      </c>
      <c r="AD490" s="15" t="e">
        <f t="shared" ca="1" si="70"/>
        <v>#N/A</v>
      </c>
      <c r="AE490" s="37" t="e">
        <f t="shared" ca="1" si="76"/>
        <v>#VALUE!</v>
      </c>
      <c r="AF490" s="15" t="str">
        <f t="shared" ca="1" si="71"/>
        <v>无</v>
      </c>
      <c r="AG490" s="15" t="e">
        <f t="shared" ca="1" si="77"/>
        <v>#N/A</v>
      </c>
      <c r="AH490" s="15" t="str">
        <f t="shared" ca="1" si="78"/>
        <v>{0}</v>
      </c>
      <c r="AI490" s="15" t="e">
        <f t="shared" ca="1" si="72"/>
        <v>#N/A</v>
      </c>
      <c r="AJ490" s="26" t="e">
        <f t="shared" ca="1" si="79"/>
        <v>#N/A</v>
      </c>
    </row>
    <row r="491" spans="1:36" x14ac:dyDescent="0.25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3"/>
      <c r="O491" s="32">
        <f t="shared" si="73"/>
        <v>0</v>
      </c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15">
        <f t="shared" si="74"/>
        <v>0</v>
      </c>
      <c r="AA491" s="15">
        <f>SUM(Z$3:Z491)</f>
        <v>257</v>
      </c>
      <c r="AB491" s="37">
        <f t="shared" si="75"/>
        <v>620</v>
      </c>
      <c r="AC491" s="37">
        <f>COUNTIF(AB$3:AB491,AB491)</f>
        <v>232</v>
      </c>
      <c r="AD491" s="15" t="e">
        <f t="shared" ca="1" si="70"/>
        <v>#N/A</v>
      </c>
      <c r="AE491" s="37" t="e">
        <f t="shared" ca="1" si="76"/>
        <v>#VALUE!</v>
      </c>
      <c r="AF491" s="15" t="str">
        <f t="shared" ca="1" si="71"/>
        <v>无</v>
      </c>
      <c r="AG491" s="15" t="e">
        <f t="shared" ca="1" si="77"/>
        <v>#N/A</v>
      </c>
      <c r="AH491" s="15" t="str">
        <f t="shared" ca="1" si="78"/>
        <v>{0}</v>
      </c>
      <c r="AI491" s="15" t="e">
        <f t="shared" ca="1" si="72"/>
        <v>#N/A</v>
      </c>
      <c r="AJ491" s="26" t="e">
        <f t="shared" ca="1" si="79"/>
        <v>#N/A</v>
      </c>
    </row>
    <row r="492" spans="1:36" x14ac:dyDescent="0.25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3"/>
      <c r="O492" s="32">
        <f t="shared" si="73"/>
        <v>0</v>
      </c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15">
        <f t="shared" si="74"/>
        <v>0</v>
      </c>
      <c r="AA492" s="15">
        <f>SUM(Z$3:Z492)</f>
        <v>257</v>
      </c>
      <c r="AB492" s="37">
        <f t="shared" si="75"/>
        <v>620</v>
      </c>
      <c r="AC492" s="37">
        <f>COUNTIF(AB$3:AB492,AB492)</f>
        <v>233</v>
      </c>
      <c r="AD492" s="15" t="e">
        <f t="shared" ca="1" si="70"/>
        <v>#N/A</v>
      </c>
      <c r="AE492" s="37" t="e">
        <f t="shared" ca="1" si="76"/>
        <v>#VALUE!</v>
      </c>
      <c r="AF492" s="15" t="str">
        <f t="shared" ca="1" si="71"/>
        <v>无</v>
      </c>
      <c r="AG492" s="15" t="e">
        <f t="shared" ca="1" si="77"/>
        <v>#N/A</v>
      </c>
      <c r="AH492" s="15" t="str">
        <f t="shared" ca="1" si="78"/>
        <v>{0}</v>
      </c>
      <c r="AI492" s="15" t="e">
        <f t="shared" ca="1" si="72"/>
        <v>#N/A</v>
      </c>
      <c r="AJ492" s="26" t="e">
        <f t="shared" ca="1" si="79"/>
        <v>#N/A</v>
      </c>
    </row>
    <row r="493" spans="1:36" x14ac:dyDescent="0.25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3"/>
      <c r="O493" s="32">
        <f t="shared" si="73"/>
        <v>0</v>
      </c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15">
        <f t="shared" si="74"/>
        <v>0</v>
      </c>
      <c r="AA493" s="15">
        <f>SUM(Z$3:Z493)</f>
        <v>257</v>
      </c>
      <c r="AB493" s="37">
        <f t="shared" si="75"/>
        <v>620</v>
      </c>
      <c r="AC493" s="37">
        <f>COUNTIF(AB$3:AB493,AB493)</f>
        <v>234</v>
      </c>
      <c r="AD493" s="15" t="e">
        <f t="shared" ca="1" si="70"/>
        <v>#N/A</v>
      </c>
      <c r="AE493" s="37" t="e">
        <f t="shared" ca="1" si="76"/>
        <v>#VALUE!</v>
      </c>
      <c r="AF493" s="15" t="str">
        <f t="shared" ca="1" si="71"/>
        <v>无</v>
      </c>
      <c r="AG493" s="15" t="e">
        <f t="shared" ca="1" si="77"/>
        <v>#N/A</v>
      </c>
      <c r="AH493" s="15" t="str">
        <f t="shared" ca="1" si="78"/>
        <v>{0}</v>
      </c>
      <c r="AI493" s="15" t="e">
        <f t="shared" ca="1" si="72"/>
        <v>#N/A</v>
      </c>
      <c r="AJ493" s="26" t="e">
        <f t="shared" ca="1" si="79"/>
        <v>#N/A</v>
      </c>
    </row>
    <row r="494" spans="1:36" x14ac:dyDescent="0.25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3"/>
      <c r="O494" s="32">
        <f t="shared" si="73"/>
        <v>0</v>
      </c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15">
        <f t="shared" si="74"/>
        <v>0</v>
      </c>
      <c r="AA494" s="15">
        <f>SUM(Z$3:Z494)</f>
        <v>257</v>
      </c>
      <c r="AB494" s="37">
        <f t="shared" si="75"/>
        <v>620</v>
      </c>
      <c r="AC494" s="37">
        <f>COUNTIF(AB$3:AB494,AB494)</f>
        <v>235</v>
      </c>
      <c r="AD494" s="15" t="e">
        <f t="shared" ca="1" si="70"/>
        <v>#N/A</v>
      </c>
      <c r="AE494" s="37" t="e">
        <f t="shared" ca="1" si="76"/>
        <v>#VALUE!</v>
      </c>
      <c r="AF494" s="15" t="str">
        <f t="shared" ca="1" si="71"/>
        <v>无</v>
      </c>
      <c r="AG494" s="15" t="e">
        <f t="shared" ca="1" si="77"/>
        <v>#N/A</v>
      </c>
      <c r="AH494" s="15" t="str">
        <f t="shared" ca="1" si="78"/>
        <v>{0}</v>
      </c>
      <c r="AI494" s="15" t="e">
        <f t="shared" ca="1" si="72"/>
        <v>#N/A</v>
      </c>
      <c r="AJ494" s="26" t="e">
        <f t="shared" ca="1" si="79"/>
        <v>#N/A</v>
      </c>
    </row>
    <row r="495" spans="1:36" x14ac:dyDescent="0.25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3"/>
      <c r="O495" s="32">
        <f t="shared" si="73"/>
        <v>0</v>
      </c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15">
        <f t="shared" si="74"/>
        <v>0</v>
      </c>
      <c r="AA495" s="15">
        <f>SUM(Z$3:Z495)</f>
        <v>257</v>
      </c>
      <c r="AB495" s="37">
        <f t="shared" si="75"/>
        <v>620</v>
      </c>
      <c r="AC495" s="37">
        <f>COUNTIF(AB$3:AB495,AB495)</f>
        <v>236</v>
      </c>
      <c r="AD495" s="15" t="e">
        <f t="shared" ca="1" si="70"/>
        <v>#N/A</v>
      </c>
      <c r="AE495" s="37" t="e">
        <f t="shared" ca="1" si="76"/>
        <v>#VALUE!</v>
      </c>
      <c r="AF495" s="15" t="str">
        <f t="shared" ca="1" si="71"/>
        <v>无</v>
      </c>
      <c r="AG495" s="15" t="e">
        <f t="shared" ca="1" si="77"/>
        <v>#N/A</v>
      </c>
      <c r="AH495" s="15" t="str">
        <f t="shared" ca="1" si="78"/>
        <v>{0}</v>
      </c>
      <c r="AI495" s="15" t="e">
        <f t="shared" ca="1" si="72"/>
        <v>#N/A</v>
      </c>
      <c r="AJ495" s="26" t="e">
        <f t="shared" ca="1" si="79"/>
        <v>#N/A</v>
      </c>
    </row>
    <row r="496" spans="1:36" x14ac:dyDescent="0.25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3"/>
      <c r="O496" s="32">
        <f t="shared" si="73"/>
        <v>0</v>
      </c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15">
        <f t="shared" si="74"/>
        <v>0</v>
      </c>
      <c r="AA496" s="15">
        <f>SUM(Z$3:Z496)</f>
        <v>257</v>
      </c>
      <c r="AB496" s="37">
        <f t="shared" si="75"/>
        <v>620</v>
      </c>
      <c r="AC496" s="37">
        <f>COUNTIF(AB$3:AB496,AB496)</f>
        <v>237</v>
      </c>
      <c r="AD496" s="15" t="e">
        <f t="shared" ca="1" si="70"/>
        <v>#N/A</v>
      </c>
      <c r="AE496" s="37" t="e">
        <f t="shared" ca="1" si="76"/>
        <v>#VALUE!</v>
      </c>
      <c r="AF496" s="15" t="str">
        <f t="shared" ca="1" si="71"/>
        <v>无</v>
      </c>
      <c r="AG496" s="15" t="e">
        <f t="shared" ca="1" si="77"/>
        <v>#N/A</v>
      </c>
      <c r="AH496" s="15" t="str">
        <f t="shared" ca="1" si="78"/>
        <v>{0}</v>
      </c>
      <c r="AI496" s="15" t="e">
        <f t="shared" ca="1" si="72"/>
        <v>#N/A</v>
      </c>
      <c r="AJ496" s="26" t="e">
        <f t="shared" ca="1" si="79"/>
        <v>#N/A</v>
      </c>
    </row>
    <row r="497" spans="1:36" x14ac:dyDescent="0.25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3"/>
      <c r="O497" s="32">
        <f t="shared" si="73"/>
        <v>0</v>
      </c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15">
        <f t="shared" si="74"/>
        <v>0</v>
      </c>
      <c r="AA497" s="15">
        <f>SUM(Z$3:Z497)</f>
        <v>257</v>
      </c>
      <c r="AB497" s="37">
        <f t="shared" si="75"/>
        <v>620</v>
      </c>
      <c r="AC497" s="37">
        <f>COUNTIF(AB$3:AB497,AB497)</f>
        <v>238</v>
      </c>
      <c r="AD497" s="15" t="e">
        <f t="shared" ca="1" si="70"/>
        <v>#N/A</v>
      </c>
      <c r="AE497" s="37" t="e">
        <f t="shared" ca="1" si="76"/>
        <v>#VALUE!</v>
      </c>
      <c r="AF497" s="15" t="str">
        <f t="shared" ca="1" si="71"/>
        <v>无</v>
      </c>
      <c r="AG497" s="15" t="e">
        <f t="shared" ca="1" si="77"/>
        <v>#N/A</v>
      </c>
      <c r="AH497" s="15" t="str">
        <f t="shared" ca="1" si="78"/>
        <v>{0}</v>
      </c>
      <c r="AI497" s="15" t="e">
        <f t="shared" ca="1" si="72"/>
        <v>#N/A</v>
      </c>
      <c r="AJ497" s="26" t="e">
        <f t="shared" ca="1" si="79"/>
        <v>#N/A</v>
      </c>
    </row>
    <row r="498" spans="1:36" x14ac:dyDescent="0.25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3"/>
      <c r="O498" s="32">
        <f t="shared" si="73"/>
        <v>0</v>
      </c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15">
        <f t="shared" si="74"/>
        <v>0</v>
      </c>
      <c r="AA498" s="15">
        <f>SUM(Z$3:Z498)</f>
        <v>257</v>
      </c>
      <c r="AB498" s="37">
        <f t="shared" si="75"/>
        <v>620</v>
      </c>
      <c r="AC498" s="37">
        <f>COUNTIF(AB$3:AB498,AB498)</f>
        <v>239</v>
      </c>
      <c r="AD498" s="15" t="e">
        <f t="shared" ca="1" si="70"/>
        <v>#N/A</v>
      </c>
      <c r="AE498" s="37" t="e">
        <f t="shared" ca="1" si="76"/>
        <v>#VALUE!</v>
      </c>
      <c r="AF498" s="15" t="str">
        <f t="shared" ca="1" si="71"/>
        <v>无</v>
      </c>
      <c r="AG498" s="15" t="e">
        <f t="shared" ca="1" si="77"/>
        <v>#N/A</v>
      </c>
      <c r="AH498" s="15" t="str">
        <f t="shared" ca="1" si="78"/>
        <v>{0}</v>
      </c>
      <c r="AI498" s="15" t="e">
        <f t="shared" ca="1" si="72"/>
        <v>#N/A</v>
      </c>
      <c r="AJ498" s="26" t="e">
        <f t="shared" ca="1" si="79"/>
        <v>#N/A</v>
      </c>
    </row>
    <row r="499" spans="1:36" x14ac:dyDescent="0.25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3"/>
      <c r="O499" s="32">
        <f t="shared" si="73"/>
        <v>0</v>
      </c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15">
        <f t="shared" si="74"/>
        <v>0</v>
      </c>
      <c r="AA499" s="15">
        <f>SUM(Z$3:Z499)</f>
        <v>257</v>
      </c>
      <c r="AB499" s="37">
        <f t="shared" si="75"/>
        <v>620</v>
      </c>
      <c r="AC499" s="37">
        <f>COUNTIF(AB$3:AB499,AB499)</f>
        <v>240</v>
      </c>
      <c r="AD499" s="15" t="e">
        <f t="shared" ca="1" si="70"/>
        <v>#N/A</v>
      </c>
      <c r="AE499" s="37" t="e">
        <f t="shared" ca="1" si="76"/>
        <v>#VALUE!</v>
      </c>
      <c r="AF499" s="15" t="str">
        <f t="shared" ca="1" si="71"/>
        <v>无</v>
      </c>
      <c r="AG499" s="15" t="e">
        <f t="shared" ca="1" si="77"/>
        <v>#N/A</v>
      </c>
      <c r="AH499" s="15" t="str">
        <f t="shared" ca="1" si="78"/>
        <v>{0}</v>
      </c>
      <c r="AI499" s="15" t="e">
        <f t="shared" ca="1" si="72"/>
        <v>#N/A</v>
      </c>
      <c r="AJ499" s="26" t="e">
        <f t="shared" ca="1" si="79"/>
        <v>#N/A</v>
      </c>
    </row>
    <row r="500" spans="1:36" x14ac:dyDescent="0.25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3"/>
      <c r="O500" s="32">
        <f t="shared" si="73"/>
        <v>0</v>
      </c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15">
        <f t="shared" si="74"/>
        <v>0</v>
      </c>
      <c r="AA500" s="15">
        <f>SUM(Z$3:Z500)</f>
        <v>257</v>
      </c>
      <c r="AB500" s="37">
        <f t="shared" si="75"/>
        <v>620</v>
      </c>
      <c r="AC500" s="37">
        <f>COUNTIF(AB$3:AB500,AB500)</f>
        <v>241</v>
      </c>
      <c r="AD500" s="15" t="e">
        <f t="shared" ca="1" si="70"/>
        <v>#N/A</v>
      </c>
      <c r="AE500" s="37" t="e">
        <f t="shared" ca="1" si="76"/>
        <v>#VALUE!</v>
      </c>
      <c r="AF500" s="15" t="str">
        <f t="shared" ca="1" si="71"/>
        <v>无</v>
      </c>
      <c r="AG500" s="15" t="e">
        <f t="shared" ca="1" si="77"/>
        <v>#N/A</v>
      </c>
      <c r="AH500" s="15" t="str">
        <f t="shared" ca="1" si="78"/>
        <v>{0}</v>
      </c>
      <c r="AI500" s="15" t="e">
        <f t="shared" ca="1" si="72"/>
        <v>#N/A</v>
      </c>
      <c r="AJ500" s="26" t="e">
        <f t="shared" ca="1" si="79"/>
        <v>#N/A</v>
      </c>
    </row>
    <row r="501" spans="1:36" x14ac:dyDescent="0.25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3"/>
      <c r="O501" s="32">
        <f t="shared" si="73"/>
        <v>0</v>
      </c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15">
        <f t="shared" si="74"/>
        <v>0</v>
      </c>
      <c r="AA501" s="15">
        <f>SUM(Z$3:Z501)</f>
        <v>257</v>
      </c>
      <c r="AB501" s="37">
        <f t="shared" si="75"/>
        <v>620</v>
      </c>
      <c r="AC501" s="37">
        <f>COUNTIF(AB$3:AB501,AB501)</f>
        <v>242</v>
      </c>
      <c r="AD501" s="15" t="e">
        <f t="shared" ca="1" si="70"/>
        <v>#N/A</v>
      </c>
      <c r="AE501" s="37" t="e">
        <f t="shared" ca="1" si="76"/>
        <v>#VALUE!</v>
      </c>
      <c r="AF501" s="15" t="str">
        <f t="shared" ca="1" si="71"/>
        <v>无</v>
      </c>
      <c r="AG501" s="15" t="e">
        <f t="shared" ca="1" si="77"/>
        <v>#N/A</v>
      </c>
      <c r="AH501" s="15" t="str">
        <f t="shared" ca="1" si="78"/>
        <v>{0}</v>
      </c>
      <c r="AI501" s="15" t="e">
        <f t="shared" ca="1" si="72"/>
        <v>#N/A</v>
      </c>
      <c r="AJ501" s="26" t="e">
        <f t="shared" ca="1" si="79"/>
        <v>#N/A</v>
      </c>
    </row>
    <row r="502" spans="1:36" x14ac:dyDescent="0.25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3"/>
      <c r="O502" s="32">
        <f t="shared" si="73"/>
        <v>0</v>
      </c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15">
        <f t="shared" si="74"/>
        <v>0</v>
      </c>
      <c r="AA502" s="15">
        <f>SUM(Z$3:Z502)</f>
        <v>257</v>
      </c>
      <c r="AB502" s="37">
        <f t="shared" si="75"/>
        <v>620</v>
      </c>
      <c r="AC502" s="37">
        <f>COUNTIF(AB$3:AB502,AB502)</f>
        <v>243</v>
      </c>
      <c r="AD502" s="15" t="e">
        <f t="shared" ca="1" si="70"/>
        <v>#N/A</v>
      </c>
      <c r="AE502" s="37" t="e">
        <f t="shared" ca="1" si="76"/>
        <v>#VALUE!</v>
      </c>
      <c r="AF502" s="15" t="str">
        <f t="shared" ca="1" si="71"/>
        <v>无</v>
      </c>
      <c r="AG502" s="15" t="e">
        <f t="shared" ca="1" si="77"/>
        <v>#N/A</v>
      </c>
      <c r="AH502" s="15" t="str">
        <f t="shared" ca="1" si="78"/>
        <v>{0}</v>
      </c>
      <c r="AI502" s="15" t="e">
        <f t="shared" ca="1" si="72"/>
        <v>#N/A</v>
      </c>
      <c r="AJ502" s="26" t="e">
        <f t="shared" ca="1" si="79"/>
        <v>#N/A</v>
      </c>
    </row>
    <row r="503" spans="1:36" x14ac:dyDescent="0.25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3"/>
      <c r="O503" s="32">
        <f t="shared" si="73"/>
        <v>0</v>
      </c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15">
        <f t="shared" si="74"/>
        <v>0</v>
      </c>
      <c r="AA503" s="15">
        <f>SUM(Z$3:Z503)</f>
        <v>257</v>
      </c>
      <c r="AB503" s="37">
        <f t="shared" si="75"/>
        <v>620</v>
      </c>
      <c r="AC503" s="37">
        <f>COUNTIF(AB$3:AB503,AB503)</f>
        <v>244</v>
      </c>
      <c r="AD503" s="15" t="e">
        <f t="shared" ca="1" si="70"/>
        <v>#N/A</v>
      </c>
      <c r="AE503" s="37" t="e">
        <f t="shared" ca="1" si="76"/>
        <v>#VALUE!</v>
      </c>
      <c r="AF503" s="15" t="str">
        <f t="shared" ca="1" si="71"/>
        <v>无</v>
      </c>
      <c r="AG503" s="15" t="e">
        <f t="shared" ca="1" si="77"/>
        <v>#N/A</v>
      </c>
      <c r="AH503" s="15" t="str">
        <f t="shared" ca="1" si="78"/>
        <v>{0}</v>
      </c>
      <c r="AI503" s="15" t="e">
        <f t="shared" ca="1" si="72"/>
        <v>#N/A</v>
      </c>
      <c r="AJ503" s="26" t="e">
        <f t="shared" ca="1" si="79"/>
        <v>#N/A</v>
      </c>
    </row>
    <row r="504" spans="1:36" x14ac:dyDescent="0.25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3"/>
      <c r="O504" s="32">
        <f t="shared" si="73"/>
        <v>0</v>
      </c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15">
        <f t="shared" si="74"/>
        <v>0</v>
      </c>
      <c r="AA504" s="15">
        <f>SUM(Z$3:Z504)</f>
        <v>257</v>
      </c>
      <c r="AB504" s="37">
        <f t="shared" si="75"/>
        <v>620</v>
      </c>
      <c r="AC504" s="37">
        <f>COUNTIF(AB$3:AB504,AB504)</f>
        <v>245</v>
      </c>
      <c r="AD504" s="15" t="e">
        <f t="shared" ca="1" si="70"/>
        <v>#N/A</v>
      </c>
      <c r="AE504" s="37" t="e">
        <f t="shared" ca="1" si="76"/>
        <v>#VALUE!</v>
      </c>
      <c r="AF504" s="15" t="str">
        <f t="shared" ca="1" si="71"/>
        <v>无</v>
      </c>
      <c r="AG504" s="15" t="e">
        <f t="shared" ca="1" si="77"/>
        <v>#N/A</v>
      </c>
      <c r="AH504" s="15" t="str">
        <f t="shared" ca="1" si="78"/>
        <v>{0}</v>
      </c>
      <c r="AI504" s="15" t="e">
        <f t="shared" ca="1" si="72"/>
        <v>#N/A</v>
      </c>
      <c r="AJ504" s="26" t="e">
        <f t="shared" ca="1" si="79"/>
        <v>#N/A</v>
      </c>
    </row>
    <row r="505" spans="1:36" x14ac:dyDescent="0.25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3"/>
      <c r="O505" s="32">
        <f t="shared" si="73"/>
        <v>0</v>
      </c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15">
        <f t="shared" si="74"/>
        <v>0</v>
      </c>
      <c r="AA505" s="15">
        <f>SUM(Z$3:Z505)</f>
        <v>257</v>
      </c>
      <c r="AB505" s="37">
        <f t="shared" si="75"/>
        <v>620</v>
      </c>
      <c r="AC505" s="37">
        <f>COUNTIF(AB$3:AB505,AB505)</f>
        <v>246</v>
      </c>
      <c r="AD505" s="15" t="e">
        <f t="shared" ca="1" si="70"/>
        <v>#N/A</v>
      </c>
      <c r="AE505" s="37" t="e">
        <f t="shared" ca="1" si="76"/>
        <v>#VALUE!</v>
      </c>
      <c r="AF505" s="15" t="str">
        <f t="shared" ca="1" si="71"/>
        <v>无</v>
      </c>
      <c r="AG505" s="15" t="e">
        <f t="shared" ca="1" si="77"/>
        <v>#N/A</v>
      </c>
      <c r="AH505" s="15" t="str">
        <f t="shared" ca="1" si="78"/>
        <v>{0}</v>
      </c>
      <c r="AI505" s="15" t="e">
        <f t="shared" ca="1" si="72"/>
        <v>#N/A</v>
      </c>
      <c r="AJ505" s="26" t="e">
        <f t="shared" ca="1" si="79"/>
        <v>#N/A</v>
      </c>
    </row>
    <row r="506" spans="1:36" x14ac:dyDescent="0.25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3"/>
      <c r="O506" s="32">
        <f t="shared" si="73"/>
        <v>0</v>
      </c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15">
        <f t="shared" si="74"/>
        <v>0</v>
      </c>
      <c r="AA506" s="15">
        <f>SUM(Z$3:Z506)</f>
        <v>257</v>
      </c>
      <c r="AB506" s="37">
        <f t="shared" si="75"/>
        <v>620</v>
      </c>
      <c r="AC506" s="37">
        <f>COUNTIF(AB$3:AB506,AB506)</f>
        <v>247</v>
      </c>
      <c r="AD506" s="15" t="e">
        <f t="shared" ca="1" si="70"/>
        <v>#N/A</v>
      </c>
      <c r="AE506" s="37" t="e">
        <f t="shared" ca="1" si="76"/>
        <v>#VALUE!</v>
      </c>
      <c r="AF506" s="15" t="str">
        <f t="shared" ca="1" si="71"/>
        <v>无</v>
      </c>
      <c r="AG506" s="15" t="e">
        <f t="shared" ca="1" si="77"/>
        <v>#N/A</v>
      </c>
      <c r="AH506" s="15" t="str">
        <f t="shared" ca="1" si="78"/>
        <v>{0}</v>
      </c>
      <c r="AI506" s="15" t="e">
        <f t="shared" ca="1" si="72"/>
        <v>#N/A</v>
      </c>
      <c r="AJ506" s="26" t="e">
        <f t="shared" ca="1" si="79"/>
        <v>#N/A</v>
      </c>
    </row>
    <row r="507" spans="1:36" x14ac:dyDescent="0.25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3"/>
      <c r="O507" s="32">
        <f t="shared" si="73"/>
        <v>0</v>
      </c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15">
        <f t="shared" si="74"/>
        <v>0</v>
      </c>
      <c r="AA507" s="15">
        <f>SUM(Z$3:Z507)</f>
        <v>257</v>
      </c>
      <c r="AB507" s="37">
        <f t="shared" si="75"/>
        <v>620</v>
      </c>
      <c r="AC507" s="37">
        <f>COUNTIF(AB$3:AB507,AB507)</f>
        <v>248</v>
      </c>
      <c r="AD507" s="15" t="e">
        <f t="shared" ca="1" si="70"/>
        <v>#N/A</v>
      </c>
      <c r="AE507" s="37" t="e">
        <f t="shared" ca="1" si="76"/>
        <v>#VALUE!</v>
      </c>
      <c r="AF507" s="15" t="str">
        <f t="shared" ca="1" si="71"/>
        <v>无</v>
      </c>
      <c r="AG507" s="15" t="e">
        <f t="shared" ca="1" si="77"/>
        <v>#N/A</v>
      </c>
      <c r="AH507" s="15" t="str">
        <f t="shared" ca="1" si="78"/>
        <v>{0}</v>
      </c>
      <c r="AI507" s="15" t="e">
        <f t="shared" ca="1" si="72"/>
        <v>#N/A</v>
      </c>
      <c r="AJ507" s="26" t="e">
        <f t="shared" ca="1" si="79"/>
        <v>#N/A</v>
      </c>
    </row>
    <row r="508" spans="1:36" x14ac:dyDescent="0.25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3"/>
      <c r="O508" s="32">
        <f t="shared" si="73"/>
        <v>0</v>
      </c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15">
        <f t="shared" si="74"/>
        <v>0</v>
      </c>
      <c r="AA508" s="15">
        <f>SUM(Z$3:Z508)</f>
        <v>257</v>
      </c>
      <c r="AB508" s="37">
        <f t="shared" si="75"/>
        <v>620</v>
      </c>
      <c r="AC508" s="37">
        <f>COUNTIF(AB$3:AB508,AB508)</f>
        <v>249</v>
      </c>
      <c r="AD508" s="15" t="e">
        <f t="shared" ca="1" si="70"/>
        <v>#N/A</v>
      </c>
      <c r="AE508" s="37" t="e">
        <f t="shared" ca="1" si="76"/>
        <v>#VALUE!</v>
      </c>
      <c r="AF508" s="15" t="str">
        <f t="shared" ca="1" si="71"/>
        <v>无</v>
      </c>
      <c r="AG508" s="15" t="e">
        <f t="shared" ca="1" si="77"/>
        <v>#N/A</v>
      </c>
      <c r="AH508" s="15" t="str">
        <f t="shared" ca="1" si="78"/>
        <v>{0}</v>
      </c>
      <c r="AI508" s="15" t="e">
        <f t="shared" ca="1" si="72"/>
        <v>#N/A</v>
      </c>
      <c r="AJ508" s="26" t="e">
        <f t="shared" ca="1" si="79"/>
        <v>#N/A</v>
      </c>
    </row>
    <row r="509" spans="1:36" x14ac:dyDescent="0.25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3"/>
      <c r="O509" s="32">
        <f t="shared" si="73"/>
        <v>0</v>
      </c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15">
        <f t="shared" si="74"/>
        <v>0</v>
      </c>
      <c r="AA509" s="15">
        <f>SUM(Z$3:Z509)</f>
        <v>257</v>
      </c>
      <c r="AB509" s="37">
        <f t="shared" si="75"/>
        <v>620</v>
      </c>
      <c r="AC509" s="37">
        <f>COUNTIF(AB$3:AB509,AB509)</f>
        <v>250</v>
      </c>
      <c r="AD509" s="15" t="e">
        <f t="shared" ca="1" si="70"/>
        <v>#N/A</v>
      </c>
      <c r="AE509" s="37" t="e">
        <f t="shared" ca="1" si="76"/>
        <v>#VALUE!</v>
      </c>
      <c r="AF509" s="15" t="str">
        <f t="shared" ca="1" si="71"/>
        <v>无</v>
      </c>
      <c r="AG509" s="15" t="e">
        <f t="shared" ca="1" si="77"/>
        <v>#N/A</v>
      </c>
      <c r="AH509" s="15" t="str">
        <f t="shared" ca="1" si="78"/>
        <v>{0}</v>
      </c>
      <c r="AI509" s="15" t="e">
        <f t="shared" ca="1" si="72"/>
        <v>#N/A</v>
      </c>
      <c r="AJ509" s="26" t="e">
        <f t="shared" ca="1" si="79"/>
        <v>#N/A</v>
      </c>
    </row>
    <row r="510" spans="1:36" x14ac:dyDescent="0.25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3"/>
      <c r="O510" s="32">
        <f t="shared" si="73"/>
        <v>0</v>
      </c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15">
        <f t="shared" si="74"/>
        <v>0</v>
      </c>
      <c r="AA510" s="15">
        <f>SUM(Z$3:Z510)</f>
        <v>257</v>
      </c>
      <c r="AB510" s="37">
        <f t="shared" si="75"/>
        <v>620</v>
      </c>
      <c r="AC510" s="37">
        <f>COUNTIF(AB$3:AB510,AB510)</f>
        <v>251</v>
      </c>
      <c r="AD510" s="15" t="e">
        <f t="shared" ca="1" si="70"/>
        <v>#N/A</v>
      </c>
      <c r="AE510" s="37" t="e">
        <f t="shared" ca="1" si="76"/>
        <v>#VALUE!</v>
      </c>
      <c r="AF510" s="15" t="str">
        <f t="shared" ca="1" si="71"/>
        <v>无</v>
      </c>
      <c r="AG510" s="15" t="e">
        <f t="shared" ca="1" si="77"/>
        <v>#N/A</v>
      </c>
      <c r="AH510" s="15" t="str">
        <f t="shared" ca="1" si="78"/>
        <v>{0}</v>
      </c>
      <c r="AI510" s="15" t="e">
        <f t="shared" ca="1" si="72"/>
        <v>#N/A</v>
      </c>
      <c r="AJ510" s="26" t="e">
        <f t="shared" ca="1" si="79"/>
        <v>#N/A</v>
      </c>
    </row>
    <row r="511" spans="1:36" x14ac:dyDescent="0.25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3"/>
      <c r="O511" s="32">
        <f t="shared" si="73"/>
        <v>0</v>
      </c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15">
        <f t="shared" si="74"/>
        <v>0</v>
      </c>
      <c r="AA511" s="15">
        <f>SUM(Z$3:Z511)</f>
        <v>257</v>
      </c>
      <c r="AB511" s="37">
        <f t="shared" si="75"/>
        <v>620</v>
      </c>
      <c r="AC511" s="37">
        <f>COUNTIF(AB$3:AB511,AB511)</f>
        <v>252</v>
      </c>
      <c r="AD511" s="15" t="e">
        <f t="shared" ca="1" si="70"/>
        <v>#N/A</v>
      </c>
      <c r="AE511" s="37" t="e">
        <f t="shared" ca="1" si="76"/>
        <v>#VALUE!</v>
      </c>
      <c r="AF511" s="15" t="str">
        <f t="shared" ca="1" si="71"/>
        <v>无</v>
      </c>
      <c r="AG511" s="15" t="e">
        <f t="shared" ca="1" si="77"/>
        <v>#N/A</v>
      </c>
      <c r="AH511" s="15" t="str">
        <f t="shared" ca="1" si="78"/>
        <v>{0}</v>
      </c>
      <c r="AI511" s="15" t="e">
        <f t="shared" ca="1" si="72"/>
        <v>#N/A</v>
      </c>
      <c r="AJ511" s="26" t="e">
        <f t="shared" ca="1" si="79"/>
        <v>#N/A</v>
      </c>
    </row>
    <row r="512" spans="1:36" x14ac:dyDescent="0.25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3"/>
      <c r="O512" s="32">
        <f t="shared" si="73"/>
        <v>0</v>
      </c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15">
        <f t="shared" si="74"/>
        <v>0</v>
      </c>
      <c r="AA512" s="15">
        <f>SUM(Z$3:Z512)</f>
        <v>257</v>
      </c>
      <c r="AB512" s="37">
        <f t="shared" si="75"/>
        <v>620</v>
      </c>
      <c r="AC512" s="37">
        <f>COUNTIF(AB$3:AB512,AB512)</f>
        <v>253</v>
      </c>
      <c r="AD512" s="15" t="e">
        <f t="shared" ca="1" si="70"/>
        <v>#N/A</v>
      </c>
      <c r="AE512" s="37" t="e">
        <f t="shared" ca="1" si="76"/>
        <v>#VALUE!</v>
      </c>
      <c r="AF512" s="15" t="str">
        <f t="shared" ca="1" si="71"/>
        <v>无</v>
      </c>
      <c r="AG512" s="15" t="e">
        <f t="shared" ca="1" si="77"/>
        <v>#N/A</v>
      </c>
      <c r="AH512" s="15" t="str">
        <f t="shared" ca="1" si="78"/>
        <v>{0}</v>
      </c>
      <c r="AI512" s="15" t="e">
        <f t="shared" ca="1" si="72"/>
        <v>#N/A</v>
      </c>
      <c r="AJ512" s="26" t="e">
        <f t="shared" ca="1" si="79"/>
        <v>#N/A</v>
      </c>
    </row>
    <row r="513" spans="1:36" x14ac:dyDescent="0.25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3"/>
      <c r="O513" s="32">
        <f t="shared" si="73"/>
        <v>0</v>
      </c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15">
        <f t="shared" si="74"/>
        <v>0</v>
      </c>
      <c r="AA513" s="15">
        <f>SUM(Z$3:Z513)</f>
        <v>257</v>
      </c>
      <c r="AB513" s="37">
        <f t="shared" si="75"/>
        <v>620</v>
      </c>
      <c r="AC513" s="37">
        <f>COUNTIF(AB$3:AB513,AB513)</f>
        <v>254</v>
      </c>
      <c r="AD513" s="15" t="e">
        <f t="shared" ca="1" si="70"/>
        <v>#N/A</v>
      </c>
      <c r="AE513" s="37" t="e">
        <f t="shared" ca="1" si="76"/>
        <v>#VALUE!</v>
      </c>
      <c r="AF513" s="15" t="str">
        <f t="shared" ca="1" si="71"/>
        <v>无</v>
      </c>
      <c r="AG513" s="15" t="e">
        <f t="shared" ca="1" si="77"/>
        <v>#N/A</v>
      </c>
      <c r="AH513" s="15" t="str">
        <f t="shared" ca="1" si="78"/>
        <v>{0}</v>
      </c>
      <c r="AI513" s="15" t="e">
        <f t="shared" ca="1" si="72"/>
        <v>#N/A</v>
      </c>
      <c r="AJ513" s="26" t="e">
        <f t="shared" ca="1" si="79"/>
        <v>#N/A</v>
      </c>
    </row>
    <row r="514" spans="1:36" x14ac:dyDescent="0.25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3"/>
      <c r="O514" s="32">
        <f t="shared" si="73"/>
        <v>0</v>
      </c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15">
        <f t="shared" si="74"/>
        <v>0</v>
      </c>
      <c r="AA514" s="15">
        <f>SUM(Z$3:Z514)</f>
        <v>257</v>
      </c>
      <c r="AB514" s="37">
        <f t="shared" si="75"/>
        <v>620</v>
      </c>
      <c r="AC514" s="37">
        <f>COUNTIF(AB$3:AB514,AB514)</f>
        <v>255</v>
      </c>
      <c r="AD514" s="15" t="e">
        <f t="shared" ca="1" si="70"/>
        <v>#N/A</v>
      </c>
      <c r="AE514" s="37" t="e">
        <f t="shared" ca="1" si="76"/>
        <v>#VALUE!</v>
      </c>
      <c r="AF514" s="15" t="str">
        <f t="shared" ca="1" si="71"/>
        <v>无</v>
      </c>
      <c r="AG514" s="15" t="e">
        <f t="shared" ca="1" si="77"/>
        <v>#N/A</v>
      </c>
      <c r="AH514" s="15" t="str">
        <f t="shared" ca="1" si="78"/>
        <v>{0}</v>
      </c>
      <c r="AI514" s="15" t="e">
        <f t="shared" ca="1" si="72"/>
        <v>#N/A</v>
      </c>
      <c r="AJ514" s="26" t="e">
        <f t="shared" ca="1" si="79"/>
        <v>#N/A</v>
      </c>
    </row>
    <row r="515" spans="1:36" x14ac:dyDescent="0.25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3"/>
      <c r="O515" s="32">
        <f t="shared" si="73"/>
        <v>0</v>
      </c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15">
        <f t="shared" si="74"/>
        <v>0</v>
      </c>
      <c r="AA515" s="15">
        <f>SUM(Z$3:Z515)</f>
        <v>257</v>
      </c>
      <c r="AB515" s="37">
        <f t="shared" si="75"/>
        <v>620</v>
      </c>
      <c r="AC515" s="37">
        <f>COUNTIF(AB$3:AB515,AB515)</f>
        <v>256</v>
      </c>
      <c r="AD515" s="15" t="e">
        <f t="shared" ref="AD515:AD578" ca="1" si="80">OFFSET($C$2,MATCH(AF515,$A:$A,0)-2,$AC515)</f>
        <v>#N/A</v>
      </c>
      <c r="AE515" s="37" t="e">
        <f t="shared" ca="1" si="76"/>
        <v>#VALUE!</v>
      </c>
      <c r="AF515" s="15" t="str">
        <f t="shared" ref="AF515:AF578" ca="1" si="81">IF(OFFSET(A$1,AB515,)="","无",OFFSET(A$1,AB515,))</f>
        <v>无</v>
      </c>
      <c r="AG515" s="15" t="e">
        <f t="shared" ca="1" si="77"/>
        <v>#N/A</v>
      </c>
      <c r="AH515" s="15" t="str">
        <f t="shared" ca="1" si="78"/>
        <v>{0}</v>
      </c>
      <c r="AI515" s="15" t="e">
        <f t="shared" ref="AI515:AI578" ca="1" si="82">IF(OFFSET($C$2,MATCH($AF515,A:A,0)-2,)="是",INT($AI$1/OFFSET($Z$2,MATCH(AF515,A:A,0)-2,)),OFFSET($O$2,MATCH($AF515,A:A,0)-2,$AC515)*$AI$1)</f>
        <v>#N/A</v>
      </c>
      <c r="AJ515" s="26" t="e">
        <f t="shared" ca="1" si="79"/>
        <v>#N/A</v>
      </c>
    </row>
    <row r="516" spans="1:36" x14ac:dyDescent="0.25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3"/>
      <c r="O516" s="32">
        <f t="shared" ref="O516:O579" si="83">SUM(P516:Y516)</f>
        <v>0</v>
      </c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15">
        <f t="shared" ref="Z516:Z579" si="84">COUNTA(D516:M516)</f>
        <v>0</v>
      </c>
      <c r="AA516" s="15">
        <f>SUM(Z$3:Z516)</f>
        <v>257</v>
      </c>
      <c r="AB516" s="37">
        <f t="shared" ref="AB516:AB579" si="85">MATCH(ROW(AB514)-0.1,AA:AA,1)</f>
        <v>620</v>
      </c>
      <c r="AC516" s="37">
        <f>COUNTIF(AB$3:AB516,AB516)</f>
        <v>257</v>
      </c>
      <c r="AD516" s="15" t="e">
        <f t="shared" ca="1" si="80"/>
        <v>#N/A</v>
      </c>
      <c r="AE516" s="37" t="e">
        <f t="shared" ref="AE516:AE579" ca="1" si="86">AF516*100+AC516</f>
        <v>#VALUE!</v>
      </c>
      <c r="AF516" s="15" t="str">
        <f t="shared" ca="1" si="81"/>
        <v>无</v>
      </c>
      <c r="AG516" s="15" t="e">
        <f t="shared" ref="AG516:AG579" ca="1" si="87">VALUE(MID(AD516,1,FIND("+",AD516,1)-1))</f>
        <v>#N/A</v>
      </c>
      <c r="AH516" s="15" t="str">
        <f t="shared" ref="AH516:AH579" ca="1" si="88">"{" &amp; IFERROR(MID($AD516,FIND("+",$AD516,1)+1,IFERROR(FIND("/",$AD516),LEN($AD516)+1)-FIND("+",$AD516)-1),0) &amp; "}"</f>
        <v>{0}</v>
      </c>
      <c r="AI516" s="15" t="e">
        <f t="shared" ca="1" si="82"/>
        <v>#N/A</v>
      </c>
      <c r="AJ516" s="26" t="e">
        <f t="shared" ref="AJ516:AJ579" ca="1" si="89">OFFSET($B$2,MATCH($AF516,A:A,0)-2,) &amp; "-" &amp; $AD516 &amp; "|" &amp; AI516/$AI$1*100 &amp; "%"</f>
        <v>#N/A</v>
      </c>
    </row>
    <row r="517" spans="1:36" x14ac:dyDescent="0.25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3"/>
      <c r="O517" s="32">
        <f t="shared" si="83"/>
        <v>0</v>
      </c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15">
        <f t="shared" si="84"/>
        <v>0</v>
      </c>
      <c r="AA517" s="15">
        <f>SUM(Z$3:Z517)</f>
        <v>257</v>
      </c>
      <c r="AB517" s="37">
        <f t="shared" si="85"/>
        <v>620</v>
      </c>
      <c r="AC517" s="37">
        <f>COUNTIF(AB$3:AB517,AB517)</f>
        <v>258</v>
      </c>
      <c r="AD517" s="15" t="e">
        <f t="shared" ca="1" si="80"/>
        <v>#N/A</v>
      </c>
      <c r="AE517" s="37" t="e">
        <f t="shared" ca="1" si="86"/>
        <v>#VALUE!</v>
      </c>
      <c r="AF517" s="15" t="str">
        <f t="shared" ca="1" si="81"/>
        <v>无</v>
      </c>
      <c r="AG517" s="15" t="e">
        <f t="shared" ca="1" si="87"/>
        <v>#N/A</v>
      </c>
      <c r="AH517" s="15" t="str">
        <f t="shared" ca="1" si="88"/>
        <v>{0}</v>
      </c>
      <c r="AI517" s="15" t="e">
        <f t="shared" ca="1" si="82"/>
        <v>#N/A</v>
      </c>
      <c r="AJ517" s="26" t="e">
        <f t="shared" ca="1" si="89"/>
        <v>#N/A</v>
      </c>
    </row>
    <row r="518" spans="1:36" x14ac:dyDescent="0.25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3"/>
      <c r="O518" s="32">
        <f t="shared" si="83"/>
        <v>0</v>
      </c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15">
        <f t="shared" si="84"/>
        <v>0</v>
      </c>
      <c r="AA518" s="15">
        <f>SUM(Z$3:Z518)</f>
        <v>257</v>
      </c>
      <c r="AB518" s="37">
        <f t="shared" si="85"/>
        <v>620</v>
      </c>
      <c r="AC518" s="37">
        <f>COUNTIF(AB$3:AB518,AB518)</f>
        <v>259</v>
      </c>
      <c r="AD518" s="15" t="e">
        <f t="shared" ca="1" si="80"/>
        <v>#N/A</v>
      </c>
      <c r="AE518" s="37" t="e">
        <f t="shared" ca="1" si="86"/>
        <v>#VALUE!</v>
      </c>
      <c r="AF518" s="15" t="str">
        <f t="shared" ca="1" si="81"/>
        <v>无</v>
      </c>
      <c r="AG518" s="15" t="e">
        <f t="shared" ca="1" si="87"/>
        <v>#N/A</v>
      </c>
      <c r="AH518" s="15" t="str">
        <f t="shared" ca="1" si="88"/>
        <v>{0}</v>
      </c>
      <c r="AI518" s="15" t="e">
        <f t="shared" ca="1" si="82"/>
        <v>#N/A</v>
      </c>
      <c r="AJ518" s="26" t="e">
        <f t="shared" ca="1" si="89"/>
        <v>#N/A</v>
      </c>
    </row>
    <row r="519" spans="1:36" x14ac:dyDescent="0.25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3"/>
      <c r="O519" s="32">
        <f t="shared" si="83"/>
        <v>0</v>
      </c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15">
        <f t="shared" si="84"/>
        <v>0</v>
      </c>
      <c r="AA519" s="15">
        <f>SUM(Z$3:Z519)</f>
        <v>257</v>
      </c>
      <c r="AB519" s="37">
        <f t="shared" si="85"/>
        <v>620</v>
      </c>
      <c r="AC519" s="37">
        <f>COUNTIF(AB$3:AB519,AB519)</f>
        <v>260</v>
      </c>
      <c r="AD519" s="15" t="e">
        <f t="shared" ca="1" si="80"/>
        <v>#N/A</v>
      </c>
      <c r="AE519" s="37" t="e">
        <f t="shared" ca="1" si="86"/>
        <v>#VALUE!</v>
      </c>
      <c r="AF519" s="15" t="str">
        <f t="shared" ca="1" si="81"/>
        <v>无</v>
      </c>
      <c r="AG519" s="15" t="e">
        <f t="shared" ca="1" si="87"/>
        <v>#N/A</v>
      </c>
      <c r="AH519" s="15" t="str">
        <f t="shared" ca="1" si="88"/>
        <v>{0}</v>
      </c>
      <c r="AI519" s="15" t="e">
        <f t="shared" ca="1" si="82"/>
        <v>#N/A</v>
      </c>
      <c r="AJ519" s="26" t="e">
        <f t="shared" ca="1" si="89"/>
        <v>#N/A</v>
      </c>
    </row>
    <row r="520" spans="1:36" x14ac:dyDescent="0.25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3"/>
      <c r="O520" s="32">
        <f t="shared" si="83"/>
        <v>0</v>
      </c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15">
        <f t="shared" si="84"/>
        <v>0</v>
      </c>
      <c r="AA520" s="15">
        <f>SUM(Z$3:Z520)</f>
        <v>257</v>
      </c>
      <c r="AB520" s="37">
        <f t="shared" si="85"/>
        <v>620</v>
      </c>
      <c r="AC520" s="37">
        <f>COUNTIF(AB$3:AB520,AB520)</f>
        <v>261</v>
      </c>
      <c r="AD520" s="15" t="e">
        <f t="shared" ca="1" si="80"/>
        <v>#N/A</v>
      </c>
      <c r="AE520" s="37" t="e">
        <f t="shared" ca="1" si="86"/>
        <v>#VALUE!</v>
      </c>
      <c r="AF520" s="15" t="str">
        <f t="shared" ca="1" si="81"/>
        <v>无</v>
      </c>
      <c r="AG520" s="15" t="e">
        <f t="shared" ca="1" si="87"/>
        <v>#N/A</v>
      </c>
      <c r="AH520" s="15" t="str">
        <f t="shared" ca="1" si="88"/>
        <v>{0}</v>
      </c>
      <c r="AI520" s="15" t="e">
        <f t="shared" ca="1" si="82"/>
        <v>#N/A</v>
      </c>
      <c r="AJ520" s="26" t="e">
        <f t="shared" ca="1" si="89"/>
        <v>#N/A</v>
      </c>
    </row>
    <row r="521" spans="1:36" x14ac:dyDescent="0.25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3"/>
      <c r="O521" s="32">
        <f t="shared" si="83"/>
        <v>0</v>
      </c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15">
        <f t="shared" si="84"/>
        <v>0</v>
      </c>
      <c r="AA521" s="15">
        <f>SUM(Z$3:Z521)</f>
        <v>257</v>
      </c>
      <c r="AB521" s="37">
        <f t="shared" si="85"/>
        <v>620</v>
      </c>
      <c r="AC521" s="37">
        <f>COUNTIF(AB$3:AB521,AB521)</f>
        <v>262</v>
      </c>
      <c r="AD521" s="15" t="e">
        <f t="shared" ca="1" si="80"/>
        <v>#N/A</v>
      </c>
      <c r="AE521" s="37" t="e">
        <f t="shared" ca="1" si="86"/>
        <v>#VALUE!</v>
      </c>
      <c r="AF521" s="15" t="str">
        <f t="shared" ca="1" si="81"/>
        <v>无</v>
      </c>
      <c r="AG521" s="15" t="e">
        <f t="shared" ca="1" si="87"/>
        <v>#N/A</v>
      </c>
      <c r="AH521" s="15" t="str">
        <f t="shared" ca="1" si="88"/>
        <v>{0}</v>
      </c>
      <c r="AI521" s="15" t="e">
        <f t="shared" ca="1" si="82"/>
        <v>#N/A</v>
      </c>
      <c r="AJ521" s="26" t="e">
        <f t="shared" ca="1" si="89"/>
        <v>#N/A</v>
      </c>
    </row>
    <row r="522" spans="1:36" x14ac:dyDescent="0.25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3"/>
      <c r="O522" s="32">
        <f t="shared" si="83"/>
        <v>0</v>
      </c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15">
        <f t="shared" si="84"/>
        <v>0</v>
      </c>
      <c r="AA522" s="15">
        <f>SUM(Z$3:Z522)</f>
        <v>257</v>
      </c>
      <c r="AB522" s="37">
        <f t="shared" si="85"/>
        <v>620</v>
      </c>
      <c r="AC522" s="37">
        <f>COUNTIF(AB$3:AB522,AB522)</f>
        <v>263</v>
      </c>
      <c r="AD522" s="15" t="e">
        <f t="shared" ca="1" si="80"/>
        <v>#N/A</v>
      </c>
      <c r="AE522" s="37" t="e">
        <f t="shared" ca="1" si="86"/>
        <v>#VALUE!</v>
      </c>
      <c r="AF522" s="15" t="str">
        <f t="shared" ca="1" si="81"/>
        <v>无</v>
      </c>
      <c r="AG522" s="15" t="e">
        <f t="shared" ca="1" si="87"/>
        <v>#N/A</v>
      </c>
      <c r="AH522" s="15" t="str">
        <f t="shared" ca="1" si="88"/>
        <v>{0}</v>
      </c>
      <c r="AI522" s="15" t="e">
        <f t="shared" ca="1" si="82"/>
        <v>#N/A</v>
      </c>
      <c r="AJ522" s="26" t="e">
        <f t="shared" ca="1" si="89"/>
        <v>#N/A</v>
      </c>
    </row>
    <row r="523" spans="1:36" x14ac:dyDescent="0.25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3"/>
      <c r="O523" s="32">
        <f t="shared" si="83"/>
        <v>0</v>
      </c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15">
        <f t="shared" si="84"/>
        <v>0</v>
      </c>
      <c r="AA523" s="15">
        <f>SUM(Z$3:Z523)</f>
        <v>257</v>
      </c>
      <c r="AB523" s="37">
        <f t="shared" si="85"/>
        <v>620</v>
      </c>
      <c r="AC523" s="37">
        <f>COUNTIF(AB$3:AB523,AB523)</f>
        <v>264</v>
      </c>
      <c r="AD523" s="15" t="e">
        <f t="shared" ca="1" si="80"/>
        <v>#N/A</v>
      </c>
      <c r="AE523" s="37" t="e">
        <f t="shared" ca="1" si="86"/>
        <v>#VALUE!</v>
      </c>
      <c r="AF523" s="15" t="str">
        <f t="shared" ca="1" si="81"/>
        <v>无</v>
      </c>
      <c r="AG523" s="15" t="e">
        <f t="shared" ca="1" si="87"/>
        <v>#N/A</v>
      </c>
      <c r="AH523" s="15" t="str">
        <f t="shared" ca="1" si="88"/>
        <v>{0}</v>
      </c>
      <c r="AI523" s="15" t="e">
        <f t="shared" ca="1" si="82"/>
        <v>#N/A</v>
      </c>
      <c r="AJ523" s="26" t="e">
        <f t="shared" ca="1" si="89"/>
        <v>#N/A</v>
      </c>
    </row>
    <row r="524" spans="1:36" x14ac:dyDescent="0.25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3"/>
      <c r="O524" s="32">
        <f t="shared" si="83"/>
        <v>0</v>
      </c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15">
        <f t="shared" si="84"/>
        <v>0</v>
      </c>
      <c r="AA524" s="15">
        <f>SUM(Z$3:Z524)</f>
        <v>257</v>
      </c>
      <c r="AB524" s="37">
        <f t="shared" si="85"/>
        <v>620</v>
      </c>
      <c r="AC524" s="37">
        <f>COUNTIF(AB$3:AB524,AB524)</f>
        <v>265</v>
      </c>
      <c r="AD524" s="15" t="e">
        <f t="shared" ca="1" si="80"/>
        <v>#N/A</v>
      </c>
      <c r="AE524" s="37" t="e">
        <f t="shared" ca="1" si="86"/>
        <v>#VALUE!</v>
      </c>
      <c r="AF524" s="15" t="str">
        <f t="shared" ca="1" si="81"/>
        <v>无</v>
      </c>
      <c r="AG524" s="15" t="e">
        <f t="shared" ca="1" si="87"/>
        <v>#N/A</v>
      </c>
      <c r="AH524" s="15" t="str">
        <f t="shared" ca="1" si="88"/>
        <v>{0}</v>
      </c>
      <c r="AI524" s="15" t="e">
        <f t="shared" ca="1" si="82"/>
        <v>#N/A</v>
      </c>
      <c r="AJ524" s="26" t="e">
        <f t="shared" ca="1" si="89"/>
        <v>#N/A</v>
      </c>
    </row>
    <row r="525" spans="1:36" x14ac:dyDescent="0.25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3"/>
      <c r="O525" s="32">
        <f t="shared" si="83"/>
        <v>0</v>
      </c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15">
        <f t="shared" si="84"/>
        <v>0</v>
      </c>
      <c r="AA525" s="15">
        <f>SUM(Z$3:Z525)</f>
        <v>257</v>
      </c>
      <c r="AB525" s="37">
        <f t="shared" si="85"/>
        <v>620</v>
      </c>
      <c r="AC525" s="37">
        <f>COUNTIF(AB$3:AB525,AB525)</f>
        <v>266</v>
      </c>
      <c r="AD525" s="15" t="e">
        <f t="shared" ca="1" si="80"/>
        <v>#N/A</v>
      </c>
      <c r="AE525" s="37" t="e">
        <f t="shared" ca="1" si="86"/>
        <v>#VALUE!</v>
      </c>
      <c r="AF525" s="15" t="str">
        <f t="shared" ca="1" si="81"/>
        <v>无</v>
      </c>
      <c r="AG525" s="15" t="e">
        <f t="shared" ca="1" si="87"/>
        <v>#N/A</v>
      </c>
      <c r="AH525" s="15" t="str">
        <f t="shared" ca="1" si="88"/>
        <v>{0}</v>
      </c>
      <c r="AI525" s="15" t="e">
        <f t="shared" ca="1" si="82"/>
        <v>#N/A</v>
      </c>
      <c r="AJ525" s="26" t="e">
        <f t="shared" ca="1" si="89"/>
        <v>#N/A</v>
      </c>
    </row>
    <row r="526" spans="1:36" x14ac:dyDescent="0.25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3"/>
      <c r="O526" s="32">
        <f t="shared" si="83"/>
        <v>0</v>
      </c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15">
        <f t="shared" si="84"/>
        <v>0</v>
      </c>
      <c r="AA526" s="15">
        <f>SUM(Z$3:Z526)</f>
        <v>257</v>
      </c>
      <c r="AB526" s="37">
        <f t="shared" si="85"/>
        <v>620</v>
      </c>
      <c r="AC526" s="37">
        <f>COUNTIF(AB$3:AB526,AB526)</f>
        <v>267</v>
      </c>
      <c r="AD526" s="15" t="e">
        <f t="shared" ca="1" si="80"/>
        <v>#N/A</v>
      </c>
      <c r="AE526" s="37" t="e">
        <f t="shared" ca="1" si="86"/>
        <v>#VALUE!</v>
      </c>
      <c r="AF526" s="15" t="str">
        <f t="shared" ca="1" si="81"/>
        <v>无</v>
      </c>
      <c r="AG526" s="15" t="e">
        <f t="shared" ca="1" si="87"/>
        <v>#N/A</v>
      </c>
      <c r="AH526" s="15" t="str">
        <f t="shared" ca="1" si="88"/>
        <v>{0}</v>
      </c>
      <c r="AI526" s="15" t="e">
        <f t="shared" ca="1" si="82"/>
        <v>#N/A</v>
      </c>
      <c r="AJ526" s="26" t="e">
        <f t="shared" ca="1" si="89"/>
        <v>#N/A</v>
      </c>
    </row>
    <row r="527" spans="1:36" x14ac:dyDescent="0.25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3"/>
      <c r="O527" s="32">
        <f t="shared" si="83"/>
        <v>0</v>
      </c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15">
        <f t="shared" si="84"/>
        <v>0</v>
      </c>
      <c r="AA527" s="15">
        <f>SUM(Z$3:Z527)</f>
        <v>257</v>
      </c>
      <c r="AB527" s="37">
        <f t="shared" si="85"/>
        <v>620</v>
      </c>
      <c r="AC527" s="37">
        <f>COUNTIF(AB$3:AB527,AB527)</f>
        <v>268</v>
      </c>
      <c r="AD527" s="15" t="e">
        <f t="shared" ca="1" si="80"/>
        <v>#N/A</v>
      </c>
      <c r="AE527" s="37" t="e">
        <f t="shared" ca="1" si="86"/>
        <v>#VALUE!</v>
      </c>
      <c r="AF527" s="15" t="str">
        <f t="shared" ca="1" si="81"/>
        <v>无</v>
      </c>
      <c r="AG527" s="15" t="e">
        <f t="shared" ca="1" si="87"/>
        <v>#N/A</v>
      </c>
      <c r="AH527" s="15" t="str">
        <f t="shared" ca="1" si="88"/>
        <v>{0}</v>
      </c>
      <c r="AI527" s="15" t="e">
        <f t="shared" ca="1" si="82"/>
        <v>#N/A</v>
      </c>
      <c r="AJ527" s="26" t="e">
        <f t="shared" ca="1" si="89"/>
        <v>#N/A</v>
      </c>
    </row>
    <row r="528" spans="1:36" x14ac:dyDescent="0.25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3"/>
      <c r="O528" s="32">
        <f t="shared" si="83"/>
        <v>0</v>
      </c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15">
        <f t="shared" si="84"/>
        <v>0</v>
      </c>
      <c r="AA528" s="15">
        <f>SUM(Z$3:Z528)</f>
        <v>257</v>
      </c>
      <c r="AB528" s="37">
        <f t="shared" si="85"/>
        <v>620</v>
      </c>
      <c r="AC528" s="37">
        <f>COUNTIF(AB$3:AB528,AB528)</f>
        <v>269</v>
      </c>
      <c r="AD528" s="15" t="e">
        <f t="shared" ca="1" si="80"/>
        <v>#N/A</v>
      </c>
      <c r="AE528" s="37" t="e">
        <f t="shared" ca="1" si="86"/>
        <v>#VALUE!</v>
      </c>
      <c r="AF528" s="15" t="str">
        <f t="shared" ca="1" si="81"/>
        <v>无</v>
      </c>
      <c r="AG528" s="15" t="e">
        <f t="shared" ca="1" si="87"/>
        <v>#N/A</v>
      </c>
      <c r="AH528" s="15" t="str">
        <f t="shared" ca="1" si="88"/>
        <v>{0}</v>
      </c>
      <c r="AI528" s="15" t="e">
        <f t="shared" ca="1" si="82"/>
        <v>#N/A</v>
      </c>
      <c r="AJ528" s="26" t="e">
        <f t="shared" ca="1" si="89"/>
        <v>#N/A</v>
      </c>
    </row>
    <row r="529" spans="1:36" x14ac:dyDescent="0.25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3"/>
      <c r="O529" s="32">
        <f t="shared" si="83"/>
        <v>0</v>
      </c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15">
        <f t="shared" si="84"/>
        <v>0</v>
      </c>
      <c r="AA529" s="15">
        <f>SUM(Z$3:Z529)</f>
        <v>257</v>
      </c>
      <c r="AB529" s="37">
        <f t="shared" si="85"/>
        <v>620</v>
      </c>
      <c r="AC529" s="37">
        <f>COUNTIF(AB$3:AB529,AB529)</f>
        <v>270</v>
      </c>
      <c r="AD529" s="15" t="e">
        <f t="shared" ca="1" si="80"/>
        <v>#N/A</v>
      </c>
      <c r="AE529" s="37" t="e">
        <f t="shared" ca="1" si="86"/>
        <v>#VALUE!</v>
      </c>
      <c r="AF529" s="15" t="str">
        <f t="shared" ca="1" si="81"/>
        <v>无</v>
      </c>
      <c r="AG529" s="15" t="e">
        <f t="shared" ca="1" si="87"/>
        <v>#N/A</v>
      </c>
      <c r="AH529" s="15" t="str">
        <f t="shared" ca="1" si="88"/>
        <v>{0}</v>
      </c>
      <c r="AI529" s="15" t="e">
        <f t="shared" ca="1" si="82"/>
        <v>#N/A</v>
      </c>
      <c r="AJ529" s="26" t="e">
        <f t="shared" ca="1" si="89"/>
        <v>#N/A</v>
      </c>
    </row>
    <row r="530" spans="1:36" x14ac:dyDescent="0.25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3"/>
      <c r="O530" s="32">
        <f t="shared" si="83"/>
        <v>0</v>
      </c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15">
        <f t="shared" si="84"/>
        <v>0</v>
      </c>
      <c r="AA530" s="15">
        <f>SUM(Z$3:Z530)</f>
        <v>257</v>
      </c>
      <c r="AB530" s="37">
        <f t="shared" si="85"/>
        <v>620</v>
      </c>
      <c r="AC530" s="37">
        <f>COUNTIF(AB$3:AB530,AB530)</f>
        <v>271</v>
      </c>
      <c r="AD530" s="15" t="e">
        <f t="shared" ca="1" si="80"/>
        <v>#N/A</v>
      </c>
      <c r="AE530" s="37" t="e">
        <f t="shared" ca="1" si="86"/>
        <v>#VALUE!</v>
      </c>
      <c r="AF530" s="15" t="str">
        <f t="shared" ca="1" si="81"/>
        <v>无</v>
      </c>
      <c r="AG530" s="15" t="e">
        <f t="shared" ca="1" si="87"/>
        <v>#N/A</v>
      </c>
      <c r="AH530" s="15" t="str">
        <f t="shared" ca="1" si="88"/>
        <v>{0}</v>
      </c>
      <c r="AI530" s="15" t="e">
        <f t="shared" ca="1" si="82"/>
        <v>#N/A</v>
      </c>
      <c r="AJ530" s="26" t="e">
        <f t="shared" ca="1" si="89"/>
        <v>#N/A</v>
      </c>
    </row>
    <row r="531" spans="1:36" x14ac:dyDescent="0.25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3"/>
      <c r="O531" s="32">
        <f t="shared" si="83"/>
        <v>0</v>
      </c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15">
        <f t="shared" si="84"/>
        <v>0</v>
      </c>
      <c r="AA531" s="15">
        <f>SUM(Z$3:Z531)</f>
        <v>257</v>
      </c>
      <c r="AB531" s="37">
        <f t="shared" si="85"/>
        <v>620</v>
      </c>
      <c r="AC531" s="37">
        <f>COUNTIF(AB$3:AB531,AB531)</f>
        <v>272</v>
      </c>
      <c r="AD531" s="15" t="e">
        <f t="shared" ca="1" si="80"/>
        <v>#N/A</v>
      </c>
      <c r="AE531" s="37" t="e">
        <f t="shared" ca="1" si="86"/>
        <v>#VALUE!</v>
      </c>
      <c r="AF531" s="15" t="str">
        <f t="shared" ca="1" si="81"/>
        <v>无</v>
      </c>
      <c r="AG531" s="15" t="e">
        <f t="shared" ca="1" si="87"/>
        <v>#N/A</v>
      </c>
      <c r="AH531" s="15" t="str">
        <f t="shared" ca="1" si="88"/>
        <v>{0}</v>
      </c>
      <c r="AI531" s="15" t="e">
        <f t="shared" ca="1" si="82"/>
        <v>#N/A</v>
      </c>
      <c r="AJ531" s="26" t="e">
        <f t="shared" ca="1" si="89"/>
        <v>#N/A</v>
      </c>
    </row>
    <row r="532" spans="1:36" x14ac:dyDescent="0.25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3"/>
      <c r="O532" s="32">
        <f t="shared" si="83"/>
        <v>0</v>
      </c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15">
        <f t="shared" si="84"/>
        <v>0</v>
      </c>
      <c r="AA532" s="15">
        <f>SUM(Z$3:Z532)</f>
        <v>257</v>
      </c>
      <c r="AB532" s="37">
        <f t="shared" si="85"/>
        <v>620</v>
      </c>
      <c r="AC532" s="37">
        <f>COUNTIF(AB$3:AB532,AB532)</f>
        <v>273</v>
      </c>
      <c r="AD532" s="15" t="e">
        <f t="shared" ca="1" si="80"/>
        <v>#N/A</v>
      </c>
      <c r="AE532" s="37" t="e">
        <f t="shared" ca="1" si="86"/>
        <v>#VALUE!</v>
      </c>
      <c r="AF532" s="15" t="str">
        <f t="shared" ca="1" si="81"/>
        <v>无</v>
      </c>
      <c r="AG532" s="15" t="e">
        <f t="shared" ca="1" si="87"/>
        <v>#N/A</v>
      </c>
      <c r="AH532" s="15" t="str">
        <f t="shared" ca="1" si="88"/>
        <v>{0}</v>
      </c>
      <c r="AI532" s="15" t="e">
        <f t="shared" ca="1" si="82"/>
        <v>#N/A</v>
      </c>
      <c r="AJ532" s="26" t="e">
        <f t="shared" ca="1" si="89"/>
        <v>#N/A</v>
      </c>
    </row>
    <row r="533" spans="1:36" x14ac:dyDescent="0.25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3"/>
      <c r="O533" s="32">
        <f t="shared" si="83"/>
        <v>0</v>
      </c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15">
        <f t="shared" si="84"/>
        <v>0</v>
      </c>
      <c r="AA533" s="15">
        <f>SUM(Z$3:Z533)</f>
        <v>257</v>
      </c>
      <c r="AB533" s="37">
        <f t="shared" si="85"/>
        <v>620</v>
      </c>
      <c r="AC533" s="37">
        <f>COUNTIF(AB$3:AB533,AB533)</f>
        <v>274</v>
      </c>
      <c r="AD533" s="15" t="e">
        <f t="shared" ca="1" si="80"/>
        <v>#N/A</v>
      </c>
      <c r="AE533" s="37" t="e">
        <f t="shared" ca="1" si="86"/>
        <v>#VALUE!</v>
      </c>
      <c r="AF533" s="15" t="str">
        <f t="shared" ca="1" si="81"/>
        <v>无</v>
      </c>
      <c r="AG533" s="15" t="e">
        <f t="shared" ca="1" si="87"/>
        <v>#N/A</v>
      </c>
      <c r="AH533" s="15" t="str">
        <f t="shared" ca="1" si="88"/>
        <v>{0}</v>
      </c>
      <c r="AI533" s="15" t="e">
        <f t="shared" ca="1" si="82"/>
        <v>#N/A</v>
      </c>
      <c r="AJ533" s="26" t="e">
        <f t="shared" ca="1" si="89"/>
        <v>#N/A</v>
      </c>
    </row>
    <row r="534" spans="1:36" x14ac:dyDescent="0.25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3"/>
      <c r="O534" s="32">
        <f t="shared" si="83"/>
        <v>0</v>
      </c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15">
        <f t="shared" si="84"/>
        <v>0</v>
      </c>
      <c r="AA534" s="15">
        <f>SUM(Z$3:Z534)</f>
        <v>257</v>
      </c>
      <c r="AB534" s="37">
        <f t="shared" si="85"/>
        <v>620</v>
      </c>
      <c r="AC534" s="37">
        <f>COUNTIF(AB$3:AB534,AB534)</f>
        <v>275</v>
      </c>
      <c r="AD534" s="15" t="e">
        <f t="shared" ca="1" si="80"/>
        <v>#N/A</v>
      </c>
      <c r="AE534" s="37" t="e">
        <f t="shared" ca="1" si="86"/>
        <v>#VALUE!</v>
      </c>
      <c r="AF534" s="15" t="str">
        <f t="shared" ca="1" si="81"/>
        <v>无</v>
      </c>
      <c r="AG534" s="15" t="e">
        <f t="shared" ca="1" si="87"/>
        <v>#N/A</v>
      </c>
      <c r="AH534" s="15" t="str">
        <f t="shared" ca="1" si="88"/>
        <v>{0}</v>
      </c>
      <c r="AI534" s="15" t="e">
        <f t="shared" ca="1" si="82"/>
        <v>#N/A</v>
      </c>
      <c r="AJ534" s="26" t="e">
        <f t="shared" ca="1" si="89"/>
        <v>#N/A</v>
      </c>
    </row>
    <row r="535" spans="1:36" x14ac:dyDescent="0.25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3"/>
      <c r="O535" s="32">
        <f t="shared" si="83"/>
        <v>0</v>
      </c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15">
        <f t="shared" si="84"/>
        <v>0</v>
      </c>
      <c r="AA535" s="15">
        <f>SUM(Z$3:Z535)</f>
        <v>257</v>
      </c>
      <c r="AB535" s="37">
        <f t="shared" si="85"/>
        <v>620</v>
      </c>
      <c r="AC535" s="37">
        <f>COUNTIF(AB$3:AB535,AB535)</f>
        <v>276</v>
      </c>
      <c r="AD535" s="15" t="e">
        <f t="shared" ca="1" si="80"/>
        <v>#N/A</v>
      </c>
      <c r="AE535" s="37" t="e">
        <f t="shared" ca="1" si="86"/>
        <v>#VALUE!</v>
      </c>
      <c r="AF535" s="15" t="str">
        <f t="shared" ca="1" si="81"/>
        <v>无</v>
      </c>
      <c r="AG535" s="15" t="e">
        <f t="shared" ca="1" si="87"/>
        <v>#N/A</v>
      </c>
      <c r="AH535" s="15" t="str">
        <f t="shared" ca="1" si="88"/>
        <v>{0}</v>
      </c>
      <c r="AI535" s="15" t="e">
        <f t="shared" ca="1" si="82"/>
        <v>#N/A</v>
      </c>
      <c r="AJ535" s="26" t="e">
        <f t="shared" ca="1" si="89"/>
        <v>#N/A</v>
      </c>
    </row>
    <row r="536" spans="1:36" x14ac:dyDescent="0.25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3"/>
      <c r="O536" s="32">
        <f t="shared" si="83"/>
        <v>0</v>
      </c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15">
        <f t="shared" si="84"/>
        <v>0</v>
      </c>
      <c r="AA536" s="15">
        <f>SUM(Z$3:Z536)</f>
        <v>257</v>
      </c>
      <c r="AB536" s="37">
        <f t="shared" si="85"/>
        <v>620</v>
      </c>
      <c r="AC536" s="37">
        <f>COUNTIF(AB$3:AB536,AB536)</f>
        <v>277</v>
      </c>
      <c r="AD536" s="15" t="e">
        <f t="shared" ca="1" si="80"/>
        <v>#N/A</v>
      </c>
      <c r="AE536" s="37" t="e">
        <f t="shared" ca="1" si="86"/>
        <v>#VALUE!</v>
      </c>
      <c r="AF536" s="15" t="str">
        <f t="shared" ca="1" si="81"/>
        <v>无</v>
      </c>
      <c r="AG536" s="15" t="e">
        <f t="shared" ca="1" si="87"/>
        <v>#N/A</v>
      </c>
      <c r="AH536" s="15" t="str">
        <f t="shared" ca="1" si="88"/>
        <v>{0}</v>
      </c>
      <c r="AI536" s="15" t="e">
        <f t="shared" ca="1" si="82"/>
        <v>#N/A</v>
      </c>
      <c r="AJ536" s="26" t="e">
        <f t="shared" ca="1" si="89"/>
        <v>#N/A</v>
      </c>
    </row>
    <row r="537" spans="1:36" x14ac:dyDescent="0.25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3"/>
      <c r="O537" s="32">
        <f t="shared" si="83"/>
        <v>0</v>
      </c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15">
        <f t="shared" si="84"/>
        <v>0</v>
      </c>
      <c r="AA537" s="15">
        <f>SUM(Z$3:Z537)</f>
        <v>257</v>
      </c>
      <c r="AB537" s="37">
        <f t="shared" si="85"/>
        <v>620</v>
      </c>
      <c r="AC537" s="37">
        <f>COUNTIF(AB$3:AB537,AB537)</f>
        <v>278</v>
      </c>
      <c r="AD537" s="15" t="e">
        <f t="shared" ca="1" si="80"/>
        <v>#N/A</v>
      </c>
      <c r="AE537" s="37" t="e">
        <f t="shared" ca="1" si="86"/>
        <v>#VALUE!</v>
      </c>
      <c r="AF537" s="15" t="str">
        <f t="shared" ca="1" si="81"/>
        <v>无</v>
      </c>
      <c r="AG537" s="15" t="e">
        <f t="shared" ca="1" si="87"/>
        <v>#N/A</v>
      </c>
      <c r="AH537" s="15" t="str">
        <f t="shared" ca="1" si="88"/>
        <v>{0}</v>
      </c>
      <c r="AI537" s="15" t="e">
        <f t="shared" ca="1" si="82"/>
        <v>#N/A</v>
      </c>
      <c r="AJ537" s="26" t="e">
        <f t="shared" ca="1" si="89"/>
        <v>#N/A</v>
      </c>
    </row>
    <row r="538" spans="1:36" x14ac:dyDescent="0.25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3"/>
      <c r="O538" s="32">
        <f t="shared" si="83"/>
        <v>0</v>
      </c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15">
        <f t="shared" si="84"/>
        <v>0</v>
      </c>
      <c r="AA538" s="15">
        <f>SUM(Z$3:Z538)</f>
        <v>257</v>
      </c>
      <c r="AB538" s="37">
        <f t="shared" si="85"/>
        <v>620</v>
      </c>
      <c r="AC538" s="37">
        <f>COUNTIF(AB$3:AB538,AB538)</f>
        <v>279</v>
      </c>
      <c r="AD538" s="15" t="e">
        <f t="shared" ca="1" si="80"/>
        <v>#N/A</v>
      </c>
      <c r="AE538" s="37" t="e">
        <f t="shared" ca="1" si="86"/>
        <v>#VALUE!</v>
      </c>
      <c r="AF538" s="15" t="str">
        <f t="shared" ca="1" si="81"/>
        <v>无</v>
      </c>
      <c r="AG538" s="15" t="e">
        <f t="shared" ca="1" si="87"/>
        <v>#N/A</v>
      </c>
      <c r="AH538" s="15" t="str">
        <f t="shared" ca="1" si="88"/>
        <v>{0}</v>
      </c>
      <c r="AI538" s="15" t="e">
        <f t="shared" ca="1" si="82"/>
        <v>#N/A</v>
      </c>
      <c r="AJ538" s="26" t="e">
        <f t="shared" ca="1" si="89"/>
        <v>#N/A</v>
      </c>
    </row>
    <row r="539" spans="1:36" x14ac:dyDescent="0.25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3"/>
      <c r="O539" s="32">
        <f t="shared" si="83"/>
        <v>0</v>
      </c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15">
        <f t="shared" si="84"/>
        <v>0</v>
      </c>
      <c r="AA539" s="15">
        <f>SUM(Z$3:Z539)</f>
        <v>257</v>
      </c>
      <c r="AB539" s="37">
        <f t="shared" si="85"/>
        <v>620</v>
      </c>
      <c r="AC539" s="37">
        <f>COUNTIF(AB$3:AB539,AB539)</f>
        <v>280</v>
      </c>
      <c r="AD539" s="15" t="e">
        <f t="shared" ca="1" si="80"/>
        <v>#N/A</v>
      </c>
      <c r="AE539" s="37" t="e">
        <f t="shared" ca="1" si="86"/>
        <v>#VALUE!</v>
      </c>
      <c r="AF539" s="15" t="str">
        <f t="shared" ca="1" si="81"/>
        <v>无</v>
      </c>
      <c r="AG539" s="15" t="e">
        <f t="shared" ca="1" si="87"/>
        <v>#N/A</v>
      </c>
      <c r="AH539" s="15" t="str">
        <f t="shared" ca="1" si="88"/>
        <v>{0}</v>
      </c>
      <c r="AI539" s="15" t="e">
        <f t="shared" ca="1" si="82"/>
        <v>#N/A</v>
      </c>
      <c r="AJ539" s="26" t="e">
        <f t="shared" ca="1" si="89"/>
        <v>#N/A</v>
      </c>
    </row>
    <row r="540" spans="1:36" x14ac:dyDescent="0.25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3"/>
      <c r="O540" s="32">
        <f t="shared" si="83"/>
        <v>0</v>
      </c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15">
        <f t="shared" si="84"/>
        <v>0</v>
      </c>
      <c r="AA540" s="15">
        <f>SUM(Z$3:Z540)</f>
        <v>257</v>
      </c>
      <c r="AB540" s="37">
        <f t="shared" si="85"/>
        <v>620</v>
      </c>
      <c r="AC540" s="37">
        <f>COUNTIF(AB$3:AB540,AB540)</f>
        <v>281</v>
      </c>
      <c r="AD540" s="15" t="e">
        <f t="shared" ca="1" si="80"/>
        <v>#N/A</v>
      </c>
      <c r="AE540" s="37" t="e">
        <f t="shared" ca="1" si="86"/>
        <v>#VALUE!</v>
      </c>
      <c r="AF540" s="15" t="str">
        <f t="shared" ca="1" si="81"/>
        <v>无</v>
      </c>
      <c r="AG540" s="15" t="e">
        <f t="shared" ca="1" si="87"/>
        <v>#N/A</v>
      </c>
      <c r="AH540" s="15" t="str">
        <f t="shared" ca="1" si="88"/>
        <v>{0}</v>
      </c>
      <c r="AI540" s="15" t="e">
        <f t="shared" ca="1" si="82"/>
        <v>#N/A</v>
      </c>
      <c r="AJ540" s="26" t="e">
        <f t="shared" ca="1" si="89"/>
        <v>#N/A</v>
      </c>
    </row>
    <row r="541" spans="1:36" x14ac:dyDescent="0.25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3"/>
      <c r="O541" s="32">
        <f t="shared" si="83"/>
        <v>0</v>
      </c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15">
        <f t="shared" si="84"/>
        <v>0</v>
      </c>
      <c r="AA541" s="15">
        <f>SUM(Z$3:Z541)</f>
        <v>257</v>
      </c>
      <c r="AB541" s="37">
        <f t="shared" si="85"/>
        <v>620</v>
      </c>
      <c r="AC541" s="37">
        <f>COUNTIF(AB$3:AB541,AB541)</f>
        <v>282</v>
      </c>
      <c r="AD541" s="15" t="e">
        <f t="shared" ca="1" si="80"/>
        <v>#N/A</v>
      </c>
      <c r="AE541" s="37" t="e">
        <f t="shared" ca="1" si="86"/>
        <v>#VALUE!</v>
      </c>
      <c r="AF541" s="15" t="str">
        <f t="shared" ca="1" si="81"/>
        <v>无</v>
      </c>
      <c r="AG541" s="15" t="e">
        <f t="shared" ca="1" si="87"/>
        <v>#N/A</v>
      </c>
      <c r="AH541" s="15" t="str">
        <f t="shared" ca="1" si="88"/>
        <v>{0}</v>
      </c>
      <c r="AI541" s="15" t="e">
        <f t="shared" ca="1" si="82"/>
        <v>#N/A</v>
      </c>
      <c r="AJ541" s="26" t="e">
        <f t="shared" ca="1" si="89"/>
        <v>#N/A</v>
      </c>
    </row>
    <row r="542" spans="1:36" x14ac:dyDescent="0.25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3"/>
      <c r="O542" s="32">
        <f t="shared" si="83"/>
        <v>0</v>
      </c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15">
        <f t="shared" si="84"/>
        <v>0</v>
      </c>
      <c r="AA542" s="15">
        <f>SUM(Z$3:Z542)</f>
        <v>257</v>
      </c>
      <c r="AB542" s="37">
        <f t="shared" si="85"/>
        <v>620</v>
      </c>
      <c r="AC542" s="37">
        <f>COUNTIF(AB$3:AB542,AB542)</f>
        <v>283</v>
      </c>
      <c r="AD542" s="15" t="e">
        <f t="shared" ca="1" si="80"/>
        <v>#N/A</v>
      </c>
      <c r="AE542" s="37" t="e">
        <f t="shared" ca="1" si="86"/>
        <v>#VALUE!</v>
      </c>
      <c r="AF542" s="15" t="str">
        <f t="shared" ca="1" si="81"/>
        <v>无</v>
      </c>
      <c r="AG542" s="15" t="e">
        <f t="shared" ca="1" si="87"/>
        <v>#N/A</v>
      </c>
      <c r="AH542" s="15" t="str">
        <f t="shared" ca="1" si="88"/>
        <v>{0}</v>
      </c>
      <c r="AI542" s="15" t="e">
        <f t="shared" ca="1" si="82"/>
        <v>#N/A</v>
      </c>
      <c r="AJ542" s="26" t="e">
        <f t="shared" ca="1" si="89"/>
        <v>#N/A</v>
      </c>
    </row>
    <row r="543" spans="1:36" x14ac:dyDescent="0.25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3"/>
      <c r="O543" s="32">
        <f t="shared" si="83"/>
        <v>0</v>
      </c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15">
        <f t="shared" si="84"/>
        <v>0</v>
      </c>
      <c r="AA543" s="15">
        <f>SUM(Z$3:Z543)</f>
        <v>257</v>
      </c>
      <c r="AB543" s="37">
        <f t="shared" si="85"/>
        <v>620</v>
      </c>
      <c r="AC543" s="37">
        <f>COUNTIF(AB$3:AB543,AB543)</f>
        <v>284</v>
      </c>
      <c r="AD543" s="15" t="e">
        <f t="shared" ca="1" si="80"/>
        <v>#N/A</v>
      </c>
      <c r="AE543" s="37" t="e">
        <f t="shared" ca="1" si="86"/>
        <v>#VALUE!</v>
      </c>
      <c r="AF543" s="15" t="str">
        <f t="shared" ca="1" si="81"/>
        <v>无</v>
      </c>
      <c r="AG543" s="15" t="e">
        <f t="shared" ca="1" si="87"/>
        <v>#N/A</v>
      </c>
      <c r="AH543" s="15" t="str">
        <f t="shared" ca="1" si="88"/>
        <v>{0}</v>
      </c>
      <c r="AI543" s="15" t="e">
        <f t="shared" ca="1" si="82"/>
        <v>#N/A</v>
      </c>
      <c r="AJ543" s="26" t="e">
        <f t="shared" ca="1" si="89"/>
        <v>#N/A</v>
      </c>
    </row>
    <row r="544" spans="1:36" x14ac:dyDescent="0.25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3"/>
      <c r="O544" s="32">
        <f t="shared" si="83"/>
        <v>0</v>
      </c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15">
        <f t="shared" si="84"/>
        <v>0</v>
      </c>
      <c r="AA544" s="15">
        <f>SUM(Z$3:Z544)</f>
        <v>257</v>
      </c>
      <c r="AB544" s="37">
        <f t="shared" si="85"/>
        <v>620</v>
      </c>
      <c r="AC544" s="37">
        <f>COUNTIF(AB$3:AB544,AB544)</f>
        <v>285</v>
      </c>
      <c r="AD544" s="15" t="e">
        <f t="shared" ca="1" si="80"/>
        <v>#N/A</v>
      </c>
      <c r="AE544" s="37" t="e">
        <f t="shared" ca="1" si="86"/>
        <v>#VALUE!</v>
      </c>
      <c r="AF544" s="15" t="str">
        <f t="shared" ca="1" si="81"/>
        <v>无</v>
      </c>
      <c r="AG544" s="15" t="e">
        <f t="shared" ca="1" si="87"/>
        <v>#N/A</v>
      </c>
      <c r="AH544" s="15" t="str">
        <f t="shared" ca="1" si="88"/>
        <v>{0}</v>
      </c>
      <c r="AI544" s="15" t="e">
        <f t="shared" ca="1" si="82"/>
        <v>#N/A</v>
      </c>
      <c r="AJ544" s="26" t="e">
        <f t="shared" ca="1" si="89"/>
        <v>#N/A</v>
      </c>
    </row>
    <row r="545" spans="1:36" x14ac:dyDescent="0.25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3"/>
      <c r="O545" s="32">
        <f t="shared" si="83"/>
        <v>0</v>
      </c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15">
        <f t="shared" si="84"/>
        <v>0</v>
      </c>
      <c r="AA545" s="15">
        <f>SUM(Z$3:Z545)</f>
        <v>257</v>
      </c>
      <c r="AB545" s="37">
        <f t="shared" si="85"/>
        <v>620</v>
      </c>
      <c r="AC545" s="37">
        <f>COUNTIF(AB$3:AB545,AB545)</f>
        <v>286</v>
      </c>
      <c r="AD545" s="15" t="e">
        <f t="shared" ca="1" si="80"/>
        <v>#N/A</v>
      </c>
      <c r="AE545" s="37" t="e">
        <f t="shared" ca="1" si="86"/>
        <v>#VALUE!</v>
      </c>
      <c r="AF545" s="15" t="str">
        <f t="shared" ca="1" si="81"/>
        <v>无</v>
      </c>
      <c r="AG545" s="15" t="e">
        <f t="shared" ca="1" si="87"/>
        <v>#N/A</v>
      </c>
      <c r="AH545" s="15" t="str">
        <f t="shared" ca="1" si="88"/>
        <v>{0}</v>
      </c>
      <c r="AI545" s="15" t="e">
        <f t="shared" ca="1" si="82"/>
        <v>#N/A</v>
      </c>
      <c r="AJ545" s="26" t="e">
        <f t="shared" ca="1" si="89"/>
        <v>#N/A</v>
      </c>
    </row>
    <row r="546" spans="1:36" x14ac:dyDescent="0.25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3"/>
      <c r="O546" s="32">
        <f t="shared" si="83"/>
        <v>0</v>
      </c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15">
        <f t="shared" si="84"/>
        <v>0</v>
      </c>
      <c r="AA546" s="15">
        <f>SUM(Z$3:Z546)</f>
        <v>257</v>
      </c>
      <c r="AB546" s="37">
        <f t="shared" si="85"/>
        <v>620</v>
      </c>
      <c r="AC546" s="37">
        <f>COUNTIF(AB$3:AB546,AB546)</f>
        <v>287</v>
      </c>
      <c r="AD546" s="15" t="e">
        <f t="shared" ca="1" si="80"/>
        <v>#N/A</v>
      </c>
      <c r="AE546" s="37" t="e">
        <f t="shared" ca="1" si="86"/>
        <v>#VALUE!</v>
      </c>
      <c r="AF546" s="15" t="str">
        <f t="shared" ca="1" si="81"/>
        <v>无</v>
      </c>
      <c r="AG546" s="15" t="e">
        <f t="shared" ca="1" si="87"/>
        <v>#N/A</v>
      </c>
      <c r="AH546" s="15" t="str">
        <f t="shared" ca="1" si="88"/>
        <v>{0}</v>
      </c>
      <c r="AI546" s="15" t="e">
        <f t="shared" ca="1" si="82"/>
        <v>#N/A</v>
      </c>
      <c r="AJ546" s="26" t="e">
        <f t="shared" ca="1" si="89"/>
        <v>#N/A</v>
      </c>
    </row>
    <row r="547" spans="1:36" x14ac:dyDescent="0.25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3"/>
      <c r="O547" s="32">
        <f t="shared" si="83"/>
        <v>0</v>
      </c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15">
        <f t="shared" si="84"/>
        <v>0</v>
      </c>
      <c r="AA547" s="15">
        <f>SUM(Z$3:Z547)</f>
        <v>257</v>
      </c>
      <c r="AB547" s="37">
        <f t="shared" si="85"/>
        <v>620</v>
      </c>
      <c r="AC547" s="37">
        <f>COUNTIF(AB$3:AB547,AB547)</f>
        <v>288</v>
      </c>
      <c r="AD547" s="15" t="e">
        <f t="shared" ca="1" si="80"/>
        <v>#N/A</v>
      </c>
      <c r="AE547" s="37" t="e">
        <f t="shared" ca="1" si="86"/>
        <v>#VALUE!</v>
      </c>
      <c r="AF547" s="15" t="str">
        <f t="shared" ca="1" si="81"/>
        <v>无</v>
      </c>
      <c r="AG547" s="15" t="e">
        <f t="shared" ca="1" si="87"/>
        <v>#N/A</v>
      </c>
      <c r="AH547" s="15" t="str">
        <f t="shared" ca="1" si="88"/>
        <v>{0}</v>
      </c>
      <c r="AI547" s="15" t="e">
        <f t="shared" ca="1" si="82"/>
        <v>#N/A</v>
      </c>
      <c r="AJ547" s="26" t="e">
        <f t="shared" ca="1" si="89"/>
        <v>#N/A</v>
      </c>
    </row>
    <row r="548" spans="1:36" x14ac:dyDescent="0.25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3"/>
      <c r="O548" s="32">
        <f t="shared" si="83"/>
        <v>0</v>
      </c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15">
        <f t="shared" si="84"/>
        <v>0</v>
      </c>
      <c r="AA548" s="15">
        <f>SUM(Z$3:Z548)</f>
        <v>257</v>
      </c>
      <c r="AB548" s="37">
        <f t="shared" si="85"/>
        <v>620</v>
      </c>
      <c r="AC548" s="37">
        <f>COUNTIF(AB$3:AB548,AB548)</f>
        <v>289</v>
      </c>
      <c r="AD548" s="15" t="e">
        <f t="shared" ca="1" si="80"/>
        <v>#N/A</v>
      </c>
      <c r="AE548" s="37" t="e">
        <f t="shared" ca="1" si="86"/>
        <v>#VALUE!</v>
      </c>
      <c r="AF548" s="15" t="str">
        <f t="shared" ca="1" si="81"/>
        <v>无</v>
      </c>
      <c r="AG548" s="15" t="e">
        <f t="shared" ca="1" si="87"/>
        <v>#N/A</v>
      </c>
      <c r="AH548" s="15" t="str">
        <f t="shared" ca="1" si="88"/>
        <v>{0}</v>
      </c>
      <c r="AI548" s="15" t="e">
        <f t="shared" ca="1" si="82"/>
        <v>#N/A</v>
      </c>
      <c r="AJ548" s="26" t="e">
        <f t="shared" ca="1" si="89"/>
        <v>#N/A</v>
      </c>
    </row>
    <row r="549" spans="1:36" x14ac:dyDescent="0.25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3"/>
      <c r="O549" s="32">
        <f t="shared" si="83"/>
        <v>0</v>
      </c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15">
        <f t="shared" si="84"/>
        <v>0</v>
      </c>
      <c r="AA549" s="15">
        <f>SUM(Z$3:Z549)</f>
        <v>257</v>
      </c>
      <c r="AB549" s="37">
        <f t="shared" si="85"/>
        <v>620</v>
      </c>
      <c r="AC549" s="37">
        <f>COUNTIF(AB$3:AB549,AB549)</f>
        <v>290</v>
      </c>
      <c r="AD549" s="15" t="e">
        <f t="shared" ca="1" si="80"/>
        <v>#N/A</v>
      </c>
      <c r="AE549" s="37" t="e">
        <f t="shared" ca="1" si="86"/>
        <v>#VALUE!</v>
      </c>
      <c r="AF549" s="15" t="str">
        <f t="shared" ca="1" si="81"/>
        <v>无</v>
      </c>
      <c r="AG549" s="15" t="e">
        <f t="shared" ca="1" si="87"/>
        <v>#N/A</v>
      </c>
      <c r="AH549" s="15" t="str">
        <f t="shared" ca="1" si="88"/>
        <v>{0}</v>
      </c>
      <c r="AI549" s="15" t="e">
        <f t="shared" ca="1" si="82"/>
        <v>#N/A</v>
      </c>
      <c r="AJ549" s="26" t="e">
        <f t="shared" ca="1" si="89"/>
        <v>#N/A</v>
      </c>
    </row>
    <row r="550" spans="1:36" x14ac:dyDescent="0.25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3"/>
      <c r="O550" s="32">
        <f t="shared" si="83"/>
        <v>0</v>
      </c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15">
        <f t="shared" si="84"/>
        <v>0</v>
      </c>
      <c r="AA550" s="15">
        <f>SUM(Z$3:Z550)</f>
        <v>257</v>
      </c>
      <c r="AB550" s="37">
        <f t="shared" si="85"/>
        <v>620</v>
      </c>
      <c r="AC550" s="37">
        <f>COUNTIF(AB$3:AB550,AB550)</f>
        <v>291</v>
      </c>
      <c r="AD550" s="15" t="e">
        <f t="shared" ca="1" si="80"/>
        <v>#N/A</v>
      </c>
      <c r="AE550" s="37" t="e">
        <f t="shared" ca="1" si="86"/>
        <v>#VALUE!</v>
      </c>
      <c r="AF550" s="15" t="str">
        <f t="shared" ca="1" si="81"/>
        <v>无</v>
      </c>
      <c r="AG550" s="15" t="e">
        <f t="shared" ca="1" si="87"/>
        <v>#N/A</v>
      </c>
      <c r="AH550" s="15" t="str">
        <f t="shared" ca="1" si="88"/>
        <v>{0}</v>
      </c>
      <c r="AI550" s="15" t="e">
        <f t="shared" ca="1" si="82"/>
        <v>#N/A</v>
      </c>
      <c r="AJ550" s="26" t="e">
        <f t="shared" ca="1" si="89"/>
        <v>#N/A</v>
      </c>
    </row>
    <row r="551" spans="1:36" x14ac:dyDescent="0.25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3"/>
      <c r="O551" s="32">
        <f t="shared" si="83"/>
        <v>0</v>
      </c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15">
        <f t="shared" si="84"/>
        <v>0</v>
      </c>
      <c r="AA551" s="15">
        <f>SUM(Z$3:Z551)</f>
        <v>257</v>
      </c>
      <c r="AB551" s="37">
        <f t="shared" si="85"/>
        <v>620</v>
      </c>
      <c r="AC551" s="37">
        <f>COUNTIF(AB$3:AB551,AB551)</f>
        <v>292</v>
      </c>
      <c r="AD551" s="15" t="e">
        <f t="shared" ca="1" si="80"/>
        <v>#N/A</v>
      </c>
      <c r="AE551" s="37" t="e">
        <f t="shared" ca="1" si="86"/>
        <v>#VALUE!</v>
      </c>
      <c r="AF551" s="15" t="str">
        <f t="shared" ca="1" si="81"/>
        <v>无</v>
      </c>
      <c r="AG551" s="15" t="e">
        <f t="shared" ca="1" si="87"/>
        <v>#N/A</v>
      </c>
      <c r="AH551" s="15" t="str">
        <f t="shared" ca="1" si="88"/>
        <v>{0}</v>
      </c>
      <c r="AI551" s="15" t="e">
        <f t="shared" ca="1" si="82"/>
        <v>#N/A</v>
      </c>
      <c r="AJ551" s="26" t="e">
        <f t="shared" ca="1" si="89"/>
        <v>#N/A</v>
      </c>
    </row>
    <row r="552" spans="1:36" x14ac:dyDescent="0.25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3"/>
      <c r="O552" s="32">
        <f t="shared" si="83"/>
        <v>0</v>
      </c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15">
        <f t="shared" si="84"/>
        <v>0</v>
      </c>
      <c r="AA552" s="15">
        <f>SUM(Z$3:Z552)</f>
        <v>257</v>
      </c>
      <c r="AB552" s="37">
        <f t="shared" si="85"/>
        <v>620</v>
      </c>
      <c r="AC552" s="37">
        <f>COUNTIF(AB$3:AB552,AB552)</f>
        <v>293</v>
      </c>
      <c r="AD552" s="15" t="e">
        <f t="shared" ca="1" si="80"/>
        <v>#N/A</v>
      </c>
      <c r="AE552" s="37" t="e">
        <f t="shared" ca="1" si="86"/>
        <v>#VALUE!</v>
      </c>
      <c r="AF552" s="15" t="str">
        <f t="shared" ca="1" si="81"/>
        <v>无</v>
      </c>
      <c r="AG552" s="15" t="e">
        <f t="shared" ca="1" si="87"/>
        <v>#N/A</v>
      </c>
      <c r="AH552" s="15" t="str">
        <f t="shared" ca="1" si="88"/>
        <v>{0}</v>
      </c>
      <c r="AI552" s="15" t="e">
        <f t="shared" ca="1" si="82"/>
        <v>#N/A</v>
      </c>
      <c r="AJ552" s="26" t="e">
        <f t="shared" ca="1" si="89"/>
        <v>#N/A</v>
      </c>
    </row>
    <row r="553" spans="1:36" x14ac:dyDescent="0.25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3"/>
      <c r="O553" s="32">
        <f t="shared" si="83"/>
        <v>0</v>
      </c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15">
        <f t="shared" si="84"/>
        <v>0</v>
      </c>
      <c r="AA553" s="15">
        <f>SUM(Z$3:Z553)</f>
        <v>257</v>
      </c>
      <c r="AB553" s="37">
        <f t="shared" si="85"/>
        <v>620</v>
      </c>
      <c r="AC553" s="37">
        <f>COUNTIF(AB$3:AB553,AB553)</f>
        <v>294</v>
      </c>
      <c r="AD553" s="15" t="e">
        <f t="shared" ca="1" si="80"/>
        <v>#N/A</v>
      </c>
      <c r="AE553" s="37" t="e">
        <f t="shared" ca="1" si="86"/>
        <v>#VALUE!</v>
      </c>
      <c r="AF553" s="15" t="str">
        <f t="shared" ca="1" si="81"/>
        <v>无</v>
      </c>
      <c r="AG553" s="15" t="e">
        <f t="shared" ca="1" si="87"/>
        <v>#N/A</v>
      </c>
      <c r="AH553" s="15" t="str">
        <f t="shared" ca="1" si="88"/>
        <v>{0}</v>
      </c>
      <c r="AI553" s="15" t="e">
        <f t="shared" ca="1" si="82"/>
        <v>#N/A</v>
      </c>
      <c r="AJ553" s="26" t="e">
        <f t="shared" ca="1" si="89"/>
        <v>#N/A</v>
      </c>
    </row>
    <row r="554" spans="1:36" x14ac:dyDescent="0.25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3"/>
      <c r="O554" s="32">
        <f t="shared" si="83"/>
        <v>0</v>
      </c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15">
        <f t="shared" si="84"/>
        <v>0</v>
      </c>
      <c r="AA554" s="15">
        <f>SUM(Z$3:Z554)</f>
        <v>257</v>
      </c>
      <c r="AB554" s="37">
        <f t="shared" si="85"/>
        <v>620</v>
      </c>
      <c r="AC554" s="37">
        <f>COUNTIF(AB$3:AB554,AB554)</f>
        <v>295</v>
      </c>
      <c r="AD554" s="15" t="e">
        <f t="shared" ca="1" si="80"/>
        <v>#N/A</v>
      </c>
      <c r="AE554" s="37" t="e">
        <f t="shared" ca="1" si="86"/>
        <v>#VALUE!</v>
      </c>
      <c r="AF554" s="15" t="str">
        <f t="shared" ca="1" si="81"/>
        <v>无</v>
      </c>
      <c r="AG554" s="15" t="e">
        <f t="shared" ca="1" si="87"/>
        <v>#N/A</v>
      </c>
      <c r="AH554" s="15" t="str">
        <f t="shared" ca="1" si="88"/>
        <v>{0}</v>
      </c>
      <c r="AI554" s="15" t="e">
        <f t="shared" ca="1" si="82"/>
        <v>#N/A</v>
      </c>
      <c r="AJ554" s="26" t="e">
        <f t="shared" ca="1" si="89"/>
        <v>#N/A</v>
      </c>
    </row>
    <row r="555" spans="1:36" x14ac:dyDescent="0.25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3"/>
      <c r="O555" s="32">
        <f t="shared" si="83"/>
        <v>0</v>
      </c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15">
        <f t="shared" si="84"/>
        <v>0</v>
      </c>
      <c r="AA555" s="15">
        <f>SUM(Z$3:Z555)</f>
        <v>257</v>
      </c>
      <c r="AB555" s="37">
        <f t="shared" si="85"/>
        <v>620</v>
      </c>
      <c r="AC555" s="37">
        <f>COUNTIF(AB$3:AB555,AB555)</f>
        <v>296</v>
      </c>
      <c r="AD555" s="15" t="e">
        <f t="shared" ca="1" si="80"/>
        <v>#N/A</v>
      </c>
      <c r="AE555" s="37" t="e">
        <f t="shared" ca="1" si="86"/>
        <v>#VALUE!</v>
      </c>
      <c r="AF555" s="15" t="str">
        <f t="shared" ca="1" si="81"/>
        <v>无</v>
      </c>
      <c r="AG555" s="15" t="e">
        <f t="shared" ca="1" si="87"/>
        <v>#N/A</v>
      </c>
      <c r="AH555" s="15" t="str">
        <f t="shared" ca="1" si="88"/>
        <v>{0}</v>
      </c>
      <c r="AI555" s="15" t="e">
        <f t="shared" ca="1" si="82"/>
        <v>#N/A</v>
      </c>
      <c r="AJ555" s="26" t="e">
        <f t="shared" ca="1" si="89"/>
        <v>#N/A</v>
      </c>
    </row>
    <row r="556" spans="1:36" x14ac:dyDescent="0.25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3"/>
      <c r="O556" s="32">
        <f t="shared" si="83"/>
        <v>0</v>
      </c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15">
        <f t="shared" si="84"/>
        <v>0</v>
      </c>
      <c r="AA556" s="15">
        <f>SUM(Z$3:Z556)</f>
        <v>257</v>
      </c>
      <c r="AB556" s="37">
        <f t="shared" si="85"/>
        <v>620</v>
      </c>
      <c r="AC556" s="37">
        <f>COUNTIF(AB$3:AB556,AB556)</f>
        <v>297</v>
      </c>
      <c r="AD556" s="15" t="e">
        <f t="shared" ca="1" si="80"/>
        <v>#N/A</v>
      </c>
      <c r="AE556" s="37" t="e">
        <f t="shared" ca="1" si="86"/>
        <v>#VALUE!</v>
      </c>
      <c r="AF556" s="15" t="str">
        <f t="shared" ca="1" si="81"/>
        <v>无</v>
      </c>
      <c r="AG556" s="15" t="e">
        <f t="shared" ca="1" si="87"/>
        <v>#N/A</v>
      </c>
      <c r="AH556" s="15" t="str">
        <f t="shared" ca="1" si="88"/>
        <v>{0}</v>
      </c>
      <c r="AI556" s="15" t="e">
        <f t="shared" ca="1" si="82"/>
        <v>#N/A</v>
      </c>
      <c r="AJ556" s="26" t="e">
        <f t="shared" ca="1" si="89"/>
        <v>#N/A</v>
      </c>
    </row>
    <row r="557" spans="1:36" x14ac:dyDescent="0.25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3"/>
      <c r="O557" s="32">
        <f t="shared" si="83"/>
        <v>0</v>
      </c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15">
        <f t="shared" si="84"/>
        <v>0</v>
      </c>
      <c r="AA557" s="15">
        <f>SUM(Z$3:Z557)</f>
        <v>257</v>
      </c>
      <c r="AB557" s="37">
        <f t="shared" si="85"/>
        <v>620</v>
      </c>
      <c r="AC557" s="37">
        <f>COUNTIF(AB$3:AB557,AB557)</f>
        <v>298</v>
      </c>
      <c r="AD557" s="15" t="e">
        <f t="shared" ca="1" si="80"/>
        <v>#N/A</v>
      </c>
      <c r="AE557" s="37" t="e">
        <f t="shared" ca="1" si="86"/>
        <v>#VALUE!</v>
      </c>
      <c r="AF557" s="15" t="str">
        <f t="shared" ca="1" si="81"/>
        <v>无</v>
      </c>
      <c r="AG557" s="15" t="e">
        <f t="shared" ca="1" si="87"/>
        <v>#N/A</v>
      </c>
      <c r="AH557" s="15" t="str">
        <f t="shared" ca="1" si="88"/>
        <v>{0}</v>
      </c>
      <c r="AI557" s="15" t="e">
        <f t="shared" ca="1" si="82"/>
        <v>#N/A</v>
      </c>
      <c r="AJ557" s="26" t="e">
        <f t="shared" ca="1" si="89"/>
        <v>#N/A</v>
      </c>
    </row>
    <row r="558" spans="1:36" x14ac:dyDescent="0.25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3"/>
      <c r="O558" s="32">
        <f t="shared" si="83"/>
        <v>0</v>
      </c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15">
        <f t="shared" si="84"/>
        <v>0</v>
      </c>
      <c r="AA558" s="15">
        <f>SUM(Z$3:Z558)</f>
        <v>257</v>
      </c>
      <c r="AB558" s="37">
        <f t="shared" si="85"/>
        <v>620</v>
      </c>
      <c r="AC558" s="37">
        <f>COUNTIF(AB$3:AB558,AB558)</f>
        <v>299</v>
      </c>
      <c r="AD558" s="15" t="e">
        <f t="shared" ca="1" si="80"/>
        <v>#N/A</v>
      </c>
      <c r="AE558" s="37" t="e">
        <f t="shared" ca="1" si="86"/>
        <v>#VALUE!</v>
      </c>
      <c r="AF558" s="15" t="str">
        <f t="shared" ca="1" si="81"/>
        <v>无</v>
      </c>
      <c r="AG558" s="15" t="e">
        <f t="shared" ca="1" si="87"/>
        <v>#N/A</v>
      </c>
      <c r="AH558" s="15" t="str">
        <f t="shared" ca="1" si="88"/>
        <v>{0}</v>
      </c>
      <c r="AI558" s="15" t="e">
        <f t="shared" ca="1" si="82"/>
        <v>#N/A</v>
      </c>
      <c r="AJ558" s="26" t="e">
        <f t="shared" ca="1" si="89"/>
        <v>#N/A</v>
      </c>
    </row>
    <row r="559" spans="1:36" x14ac:dyDescent="0.25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3"/>
      <c r="O559" s="32">
        <f t="shared" si="83"/>
        <v>0</v>
      </c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15">
        <f t="shared" si="84"/>
        <v>0</v>
      </c>
      <c r="AA559" s="15">
        <f>SUM(Z$3:Z559)</f>
        <v>257</v>
      </c>
      <c r="AB559" s="37">
        <f t="shared" si="85"/>
        <v>620</v>
      </c>
      <c r="AC559" s="37">
        <f>COUNTIF(AB$3:AB559,AB559)</f>
        <v>300</v>
      </c>
      <c r="AD559" s="15" t="e">
        <f t="shared" ca="1" si="80"/>
        <v>#N/A</v>
      </c>
      <c r="AE559" s="37" t="e">
        <f t="shared" ca="1" si="86"/>
        <v>#VALUE!</v>
      </c>
      <c r="AF559" s="15" t="str">
        <f t="shared" ca="1" si="81"/>
        <v>无</v>
      </c>
      <c r="AG559" s="15" t="e">
        <f t="shared" ca="1" si="87"/>
        <v>#N/A</v>
      </c>
      <c r="AH559" s="15" t="str">
        <f t="shared" ca="1" si="88"/>
        <v>{0}</v>
      </c>
      <c r="AI559" s="15" t="e">
        <f t="shared" ca="1" si="82"/>
        <v>#N/A</v>
      </c>
      <c r="AJ559" s="26" t="e">
        <f t="shared" ca="1" si="89"/>
        <v>#N/A</v>
      </c>
    </row>
    <row r="560" spans="1:36" x14ac:dyDescent="0.25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3"/>
      <c r="O560" s="32">
        <f t="shared" si="83"/>
        <v>0</v>
      </c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15">
        <f t="shared" si="84"/>
        <v>0</v>
      </c>
      <c r="AA560" s="15">
        <f>SUM(Z$3:Z560)</f>
        <v>257</v>
      </c>
      <c r="AB560" s="37">
        <f t="shared" si="85"/>
        <v>620</v>
      </c>
      <c r="AC560" s="37">
        <f>COUNTIF(AB$3:AB560,AB560)</f>
        <v>301</v>
      </c>
      <c r="AD560" s="15" t="e">
        <f t="shared" ca="1" si="80"/>
        <v>#N/A</v>
      </c>
      <c r="AE560" s="37" t="e">
        <f t="shared" ca="1" si="86"/>
        <v>#VALUE!</v>
      </c>
      <c r="AF560" s="15" t="str">
        <f t="shared" ca="1" si="81"/>
        <v>无</v>
      </c>
      <c r="AG560" s="15" t="e">
        <f t="shared" ca="1" si="87"/>
        <v>#N/A</v>
      </c>
      <c r="AH560" s="15" t="str">
        <f t="shared" ca="1" si="88"/>
        <v>{0}</v>
      </c>
      <c r="AI560" s="15" t="e">
        <f t="shared" ca="1" si="82"/>
        <v>#N/A</v>
      </c>
      <c r="AJ560" s="26" t="e">
        <f t="shared" ca="1" si="89"/>
        <v>#N/A</v>
      </c>
    </row>
    <row r="561" spans="1:36" x14ac:dyDescent="0.25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3"/>
      <c r="O561" s="32">
        <f t="shared" si="83"/>
        <v>0</v>
      </c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15">
        <f t="shared" si="84"/>
        <v>0</v>
      </c>
      <c r="AA561" s="15">
        <f>SUM(Z$3:Z561)</f>
        <v>257</v>
      </c>
      <c r="AB561" s="37">
        <f t="shared" si="85"/>
        <v>620</v>
      </c>
      <c r="AC561" s="37">
        <f>COUNTIF(AB$3:AB561,AB561)</f>
        <v>302</v>
      </c>
      <c r="AD561" s="15" t="e">
        <f t="shared" ca="1" si="80"/>
        <v>#N/A</v>
      </c>
      <c r="AE561" s="37" t="e">
        <f t="shared" ca="1" si="86"/>
        <v>#VALUE!</v>
      </c>
      <c r="AF561" s="15" t="str">
        <f t="shared" ca="1" si="81"/>
        <v>无</v>
      </c>
      <c r="AG561" s="15" t="e">
        <f t="shared" ca="1" si="87"/>
        <v>#N/A</v>
      </c>
      <c r="AH561" s="15" t="str">
        <f t="shared" ca="1" si="88"/>
        <v>{0}</v>
      </c>
      <c r="AI561" s="15" t="e">
        <f t="shared" ca="1" si="82"/>
        <v>#N/A</v>
      </c>
      <c r="AJ561" s="26" t="e">
        <f t="shared" ca="1" si="89"/>
        <v>#N/A</v>
      </c>
    </row>
    <row r="562" spans="1:36" x14ac:dyDescent="0.25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3"/>
      <c r="O562" s="32">
        <f t="shared" si="83"/>
        <v>0</v>
      </c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15">
        <f t="shared" si="84"/>
        <v>0</v>
      </c>
      <c r="AA562" s="15">
        <f>SUM(Z$3:Z562)</f>
        <v>257</v>
      </c>
      <c r="AB562" s="37">
        <f t="shared" si="85"/>
        <v>620</v>
      </c>
      <c r="AC562" s="37">
        <f>COUNTIF(AB$3:AB562,AB562)</f>
        <v>303</v>
      </c>
      <c r="AD562" s="15" t="e">
        <f t="shared" ca="1" si="80"/>
        <v>#N/A</v>
      </c>
      <c r="AE562" s="37" t="e">
        <f t="shared" ca="1" si="86"/>
        <v>#VALUE!</v>
      </c>
      <c r="AF562" s="15" t="str">
        <f t="shared" ca="1" si="81"/>
        <v>无</v>
      </c>
      <c r="AG562" s="15" t="e">
        <f t="shared" ca="1" si="87"/>
        <v>#N/A</v>
      </c>
      <c r="AH562" s="15" t="str">
        <f t="shared" ca="1" si="88"/>
        <v>{0}</v>
      </c>
      <c r="AI562" s="15" t="e">
        <f t="shared" ca="1" si="82"/>
        <v>#N/A</v>
      </c>
      <c r="AJ562" s="26" t="e">
        <f t="shared" ca="1" si="89"/>
        <v>#N/A</v>
      </c>
    </row>
    <row r="563" spans="1:36" x14ac:dyDescent="0.25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3"/>
      <c r="O563" s="32">
        <f t="shared" si="83"/>
        <v>0</v>
      </c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15">
        <f t="shared" si="84"/>
        <v>0</v>
      </c>
      <c r="AA563" s="15">
        <f>SUM(Z$3:Z563)</f>
        <v>257</v>
      </c>
      <c r="AB563" s="37">
        <f t="shared" si="85"/>
        <v>620</v>
      </c>
      <c r="AC563" s="37">
        <f>COUNTIF(AB$3:AB563,AB563)</f>
        <v>304</v>
      </c>
      <c r="AD563" s="15" t="e">
        <f t="shared" ca="1" si="80"/>
        <v>#N/A</v>
      </c>
      <c r="AE563" s="37" t="e">
        <f t="shared" ca="1" si="86"/>
        <v>#VALUE!</v>
      </c>
      <c r="AF563" s="15" t="str">
        <f t="shared" ca="1" si="81"/>
        <v>无</v>
      </c>
      <c r="AG563" s="15" t="e">
        <f t="shared" ca="1" si="87"/>
        <v>#N/A</v>
      </c>
      <c r="AH563" s="15" t="str">
        <f t="shared" ca="1" si="88"/>
        <v>{0}</v>
      </c>
      <c r="AI563" s="15" t="e">
        <f t="shared" ca="1" si="82"/>
        <v>#N/A</v>
      </c>
      <c r="AJ563" s="26" t="e">
        <f t="shared" ca="1" si="89"/>
        <v>#N/A</v>
      </c>
    </row>
    <row r="564" spans="1:36" x14ac:dyDescent="0.25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3"/>
      <c r="O564" s="32">
        <f t="shared" si="83"/>
        <v>0</v>
      </c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15">
        <f t="shared" si="84"/>
        <v>0</v>
      </c>
      <c r="AA564" s="15">
        <f>SUM(Z$3:Z564)</f>
        <v>257</v>
      </c>
      <c r="AB564" s="37">
        <f t="shared" si="85"/>
        <v>620</v>
      </c>
      <c r="AC564" s="37">
        <f>COUNTIF(AB$3:AB564,AB564)</f>
        <v>305</v>
      </c>
      <c r="AD564" s="15" t="e">
        <f t="shared" ca="1" si="80"/>
        <v>#N/A</v>
      </c>
      <c r="AE564" s="37" t="e">
        <f t="shared" ca="1" si="86"/>
        <v>#VALUE!</v>
      </c>
      <c r="AF564" s="15" t="str">
        <f t="shared" ca="1" si="81"/>
        <v>无</v>
      </c>
      <c r="AG564" s="15" t="e">
        <f t="shared" ca="1" si="87"/>
        <v>#N/A</v>
      </c>
      <c r="AH564" s="15" t="str">
        <f t="shared" ca="1" si="88"/>
        <v>{0}</v>
      </c>
      <c r="AI564" s="15" t="e">
        <f t="shared" ca="1" si="82"/>
        <v>#N/A</v>
      </c>
      <c r="AJ564" s="26" t="e">
        <f t="shared" ca="1" si="89"/>
        <v>#N/A</v>
      </c>
    </row>
    <row r="565" spans="1:36" x14ac:dyDescent="0.25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3"/>
      <c r="O565" s="32">
        <f t="shared" si="83"/>
        <v>0</v>
      </c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15">
        <f t="shared" si="84"/>
        <v>0</v>
      </c>
      <c r="AA565" s="15">
        <f>SUM(Z$3:Z565)</f>
        <v>257</v>
      </c>
      <c r="AB565" s="37">
        <f t="shared" si="85"/>
        <v>620</v>
      </c>
      <c r="AC565" s="37">
        <f>COUNTIF(AB$3:AB565,AB565)</f>
        <v>306</v>
      </c>
      <c r="AD565" s="15" t="e">
        <f t="shared" ca="1" si="80"/>
        <v>#N/A</v>
      </c>
      <c r="AE565" s="37" t="e">
        <f t="shared" ca="1" si="86"/>
        <v>#VALUE!</v>
      </c>
      <c r="AF565" s="15" t="str">
        <f t="shared" ca="1" si="81"/>
        <v>无</v>
      </c>
      <c r="AG565" s="15" t="e">
        <f t="shared" ca="1" si="87"/>
        <v>#N/A</v>
      </c>
      <c r="AH565" s="15" t="str">
        <f t="shared" ca="1" si="88"/>
        <v>{0}</v>
      </c>
      <c r="AI565" s="15" t="e">
        <f t="shared" ca="1" si="82"/>
        <v>#N/A</v>
      </c>
      <c r="AJ565" s="26" t="e">
        <f t="shared" ca="1" si="89"/>
        <v>#N/A</v>
      </c>
    </row>
    <row r="566" spans="1:36" x14ac:dyDescent="0.25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3"/>
      <c r="O566" s="32">
        <f t="shared" si="83"/>
        <v>0</v>
      </c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15">
        <f t="shared" si="84"/>
        <v>0</v>
      </c>
      <c r="AA566" s="15">
        <f>SUM(Z$3:Z566)</f>
        <v>257</v>
      </c>
      <c r="AB566" s="37">
        <f t="shared" si="85"/>
        <v>620</v>
      </c>
      <c r="AC566" s="37">
        <f>COUNTIF(AB$3:AB566,AB566)</f>
        <v>307</v>
      </c>
      <c r="AD566" s="15" t="e">
        <f t="shared" ca="1" si="80"/>
        <v>#N/A</v>
      </c>
      <c r="AE566" s="37" t="e">
        <f t="shared" ca="1" si="86"/>
        <v>#VALUE!</v>
      </c>
      <c r="AF566" s="15" t="str">
        <f t="shared" ca="1" si="81"/>
        <v>无</v>
      </c>
      <c r="AG566" s="15" t="e">
        <f t="shared" ca="1" si="87"/>
        <v>#N/A</v>
      </c>
      <c r="AH566" s="15" t="str">
        <f t="shared" ca="1" si="88"/>
        <v>{0}</v>
      </c>
      <c r="AI566" s="15" t="e">
        <f t="shared" ca="1" si="82"/>
        <v>#N/A</v>
      </c>
      <c r="AJ566" s="26" t="e">
        <f t="shared" ca="1" si="89"/>
        <v>#N/A</v>
      </c>
    </row>
    <row r="567" spans="1:36" x14ac:dyDescent="0.25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3"/>
      <c r="O567" s="32">
        <f t="shared" si="83"/>
        <v>0</v>
      </c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15">
        <f t="shared" si="84"/>
        <v>0</v>
      </c>
      <c r="AA567" s="15">
        <f>SUM(Z$3:Z567)</f>
        <v>257</v>
      </c>
      <c r="AB567" s="37">
        <f t="shared" si="85"/>
        <v>620</v>
      </c>
      <c r="AC567" s="37">
        <f>COUNTIF(AB$3:AB567,AB567)</f>
        <v>308</v>
      </c>
      <c r="AD567" s="15" t="e">
        <f t="shared" ca="1" si="80"/>
        <v>#N/A</v>
      </c>
      <c r="AE567" s="37" t="e">
        <f t="shared" ca="1" si="86"/>
        <v>#VALUE!</v>
      </c>
      <c r="AF567" s="15" t="str">
        <f t="shared" ca="1" si="81"/>
        <v>无</v>
      </c>
      <c r="AG567" s="15" t="e">
        <f t="shared" ca="1" si="87"/>
        <v>#N/A</v>
      </c>
      <c r="AH567" s="15" t="str">
        <f t="shared" ca="1" si="88"/>
        <v>{0}</v>
      </c>
      <c r="AI567" s="15" t="e">
        <f t="shared" ca="1" si="82"/>
        <v>#N/A</v>
      </c>
      <c r="AJ567" s="26" t="e">
        <f t="shared" ca="1" si="89"/>
        <v>#N/A</v>
      </c>
    </row>
    <row r="568" spans="1:36" x14ac:dyDescent="0.25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3"/>
      <c r="O568" s="32">
        <f t="shared" si="83"/>
        <v>0</v>
      </c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15">
        <f t="shared" si="84"/>
        <v>0</v>
      </c>
      <c r="AA568" s="15">
        <f>SUM(Z$3:Z568)</f>
        <v>257</v>
      </c>
      <c r="AB568" s="37">
        <f t="shared" si="85"/>
        <v>620</v>
      </c>
      <c r="AC568" s="37">
        <f>COUNTIF(AB$3:AB568,AB568)</f>
        <v>309</v>
      </c>
      <c r="AD568" s="15" t="e">
        <f t="shared" ca="1" si="80"/>
        <v>#N/A</v>
      </c>
      <c r="AE568" s="37" t="e">
        <f t="shared" ca="1" si="86"/>
        <v>#VALUE!</v>
      </c>
      <c r="AF568" s="15" t="str">
        <f t="shared" ca="1" si="81"/>
        <v>无</v>
      </c>
      <c r="AG568" s="15" t="e">
        <f t="shared" ca="1" si="87"/>
        <v>#N/A</v>
      </c>
      <c r="AH568" s="15" t="str">
        <f t="shared" ca="1" si="88"/>
        <v>{0}</v>
      </c>
      <c r="AI568" s="15" t="e">
        <f t="shared" ca="1" si="82"/>
        <v>#N/A</v>
      </c>
      <c r="AJ568" s="26" t="e">
        <f t="shared" ca="1" si="89"/>
        <v>#N/A</v>
      </c>
    </row>
    <row r="569" spans="1:36" x14ac:dyDescent="0.25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3"/>
      <c r="O569" s="32">
        <f t="shared" si="83"/>
        <v>0</v>
      </c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15">
        <f t="shared" si="84"/>
        <v>0</v>
      </c>
      <c r="AA569" s="15">
        <f>SUM(Z$3:Z569)</f>
        <v>257</v>
      </c>
      <c r="AB569" s="37">
        <f t="shared" si="85"/>
        <v>620</v>
      </c>
      <c r="AC569" s="37">
        <f>COUNTIF(AB$3:AB569,AB569)</f>
        <v>310</v>
      </c>
      <c r="AD569" s="15" t="e">
        <f t="shared" ca="1" si="80"/>
        <v>#N/A</v>
      </c>
      <c r="AE569" s="37" t="e">
        <f t="shared" ca="1" si="86"/>
        <v>#VALUE!</v>
      </c>
      <c r="AF569" s="15" t="str">
        <f t="shared" ca="1" si="81"/>
        <v>无</v>
      </c>
      <c r="AG569" s="15" t="e">
        <f t="shared" ca="1" si="87"/>
        <v>#N/A</v>
      </c>
      <c r="AH569" s="15" t="str">
        <f t="shared" ca="1" si="88"/>
        <v>{0}</v>
      </c>
      <c r="AI569" s="15" t="e">
        <f t="shared" ca="1" si="82"/>
        <v>#N/A</v>
      </c>
      <c r="AJ569" s="26" t="e">
        <f t="shared" ca="1" si="89"/>
        <v>#N/A</v>
      </c>
    </row>
    <row r="570" spans="1:36" x14ac:dyDescent="0.25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3"/>
      <c r="O570" s="32">
        <f t="shared" si="83"/>
        <v>0</v>
      </c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15">
        <f t="shared" si="84"/>
        <v>0</v>
      </c>
      <c r="AA570" s="15">
        <f>SUM(Z$3:Z570)</f>
        <v>257</v>
      </c>
      <c r="AB570" s="37">
        <f t="shared" si="85"/>
        <v>620</v>
      </c>
      <c r="AC570" s="37">
        <f>COUNTIF(AB$3:AB570,AB570)</f>
        <v>311</v>
      </c>
      <c r="AD570" s="15" t="e">
        <f t="shared" ca="1" si="80"/>
        <v>#N/A</v>
      </c>
      <c r="AE570" s="37" t="e">
        <f t="shared" ca="1" si="86"/>
        <v>#VALUE!</v>
      </c>
      <c r="AF570" s="15" t="str">
        <f t="shared" ca="1" si="81"/>
        <v>无</v>
      </c>
      <c r="AG570" s="15" t="e">
        <f t="shared" ca="1" si="87"/>
        <v>#N/A</v>
      </c>
      <c r="AH570" s="15" t="str">
        <f t="shared" ca="1" si="88"/>
        <v>{0}</v>
      </c>
      <c r="AI570" s="15" t="e">
        <f t="shared" ca="1" si="82"/>
        <v>#N/A</v>
      </c>
      <c r="AJ570" s="26" t="e">
        <f t="shared" ca="1" si="89"/>
        <v>#N/A</v>
      </c>
    </row>
    <row r="571" spans="1:36" x14ac:dyDescent="0.25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3"/>
      <c r="O571" s="32">
        <f t="shared" si="83"/>
        <v>0</v>
      </c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15">
        <f t="shared" si="84"/>
        <v>0</v>
      </c>
      <c r="AA571" s="15">
        <f>SUM(Z$3:Z571)</f>
        <v>257</v>
      </c>
      <c r="AB571" s="37">
        <f t="shared" si="85"/>
        <v>620</v>
      </c>
      <c r="AC571" s="37">
        <f>COUNTIF(AB$3:AB571,AB571)</f>
        <v>312</v>
      </c>
      <c r="AD571" s="15" t="e">
        <f t="shared" ca="1" si="80"/>
        <v>#N/A</v>
      </c>
      <c r="AE571" s="37" t="e">
        <f t="shared" ca="1" si="86"/>
        <v>#VALUE!</v>
      </c>
      <c r="AF571" s="15" t="str">
        <f t="shared" ca="1" si="81"/>
        <v>无</v>
      </c>
      <c r="AG571" s="15" t="e">
        <f t="shared" ca="1" si="87"/>
        <v>#N/A</v>
      </c>
      <c r="AH571" s="15" t="str">
        <f t="shared" ca="1" si="88"/>
        <v>{0}</v>
      </c>
      <c r="AI571" s="15" t="e">
        <f t="shared" ca="1" si="82"/>
        <v>#N/A</v>
      </c>
      <c r="AJ571" s="26" t="e">
        <f t="shared" ca="1" si="89"/>
        <v>#N/A</v>
      </c>
    </row>
    <row r="572" spans="1:36" x14ac:dyDescent="0.25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3"/>
      <c r="O572" s="32">
        <f t="shared" si="83"/>
        <v>0</v>
      </c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15">
        <f t="shared" si="84"/>
        <v>0</v>
      </c>
      <c r="AA572" s="15">
        <f>SUM(Z$3:Z572)</f>
        <v>257</v>
      </c>
      <c r="AB572" s="37">
        <f t="shared" si="85"/>
        <v>620</v>
      </c>
      <c r="AC572" s="37">
        <f>COUNTIF(AB$3:AB572,AB572)</f>
        <v>313</v>
      </c>
      <c r="AD572" s="15" t="e">
        <f t="shared" ca="1" si="80"/>
        <v>#N/A</v>
      </c>
      <c r="AE572" s="37" t="e">
        <f t="shared" ca="1" si="86"/>
        <v>#VALUE!</v>
      </c>
      <c r="AF572" s="15" t="str">
        <f t="shared" ca="1" si="81"/>
        <v>无</v>
      </c>
      <c r="AG572" s="15" t="e">
        <f t="shared" ca="1" si="87"/>
        <v>#N/A</v>
      </c>
      <c r="AH572" s="15" t="str">
        <f t="shared" ca="1" si="88"/>
        <v>{0}</v>
      </c>
      <c r="AI572" s="15" t="e">
        <f t="shared" ca="1" si="82"/>
        <v>#N/A</v>
      </c>
      <c r="AJ572" s="26" t="e">
        <f t="shared" ca="1" si="89"/>
        <v>#N/A</v>
      </c>
    </row>
    <row r="573" spans="1:36" x14ac:dyDescent="0.25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3"/>
      <c r="O573" s="32">
        <f t="shared" si="83"/>
        <v>0</v>
      </c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15">
        <f t="shared" si="84"/>
        <v>0</v>
      </c>
      <c r="AA573" s="15">
        <f>SUM(Z$3:Z573)</f>
        <v>257</v>
      </c>
      <c r="AB573" s="37">
        <f t="shared" si="85"/>
        <v>620</v>
      </c>
      <c r="AC573" s="37">
        <f>COUNTIF(AB$3:AB573,AB573)</f>
        <v>314</v>
      </c>
      <c r="AD573" s="15" t="e">
        <f t="shared" ca="1" si="80"/>
        <v>#N/A</v>
      </c>
      <c r="AE573" s="37" t="e">
        <f t="shared" ca="1" si="86"/>
        <v>#VALUE!</v>
      </c>
      <c r="AF573" s="15" t="str">
        <f t="shared" ca="1" si="81"/>
        <v>无</v>
      </c>
      <c r="AG573" s="15" t="e">
        <f t="shared" ca="1" si="87"/>
        <v>#N/A</v>
      </c>
      <c r="AH573" s="15" t="str">
        <f t="shared" ca="1" si="88"/>
        <v>{0}</v>
      </c>
      <c r="AI573" s="15" t="e">
        <f t="shared" ca="1" si="82"/>
        <v>#N/A</v>
      </c>
      <c r="AJ573" s="26" t="e">
        <f t="shared" ca="1" si="89"/>
        <v>#N/A</v>
      </c>
    </row>
    <row r="574" spans="1:36" x14ac:dyDescent="0.25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3"/>
      <c r="O574" s="32">
        <f t="shared" si="83"/>
        <v>0</v>
      </c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15">
        <f t="shared" si="84"/>
        <v>0</v>
      </c>
      <c r="AA574" s="15">
        <f>SUM(Z$3:Z574)</f>
        <v>257</v>
      </c>
      <c r="AB574" s="37">
        <f t="shared" si="85"/>
        <v>620</v>
      </c>
      <c r="AC574" s="37">
        <f>COUNTIF(AB$3:AB574,AB574)</f>
        <v>315</v>
      </c>
      <c r="AD574" s="15" t="e">
        <f t="shared" ca="1" si="80"/>
        <v>#N/A</v>
      </c>
      <c r="AE574" s="37" t="e">
        <f t="shared" ca="1" si="86"/>
        <v>#VALUE!</v>
      </c>
      <c r="AF574" s="15" t="str">
        <f t="shared" ca="1" si="81"/>
        <v>无</v>
      </c>
      <c r="AG574" s="15" t="e">
        <f t="shared" ca="1" si="87"/>
        <v>#N/A</v>
      </c>
      <c r="AH574" s="15" t="str">
        <f t="shared" ca="1" si="88"/>
        <v>{0}</v>
      </c>
      <c r="AI574" s="15" t="e">
        <f t="shared" ca="1" si="82"/>
        <v>#N/A</v>
      </c>
      <c r="AJ574" s="26" t="e">
        <f t="shared" ca="1" si="89"/>
        <v>#N/A</v>
      </c>
    </row>
    <row r="575" spans="1:36" x14ac:dyDescent="0.25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3"/>
      <c r="O575" s="32">
        <f t="shared" si="83"/>
        <v>0</v>
      </c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15">
        <f t="shared" si="84"/>
        <v>0</v>
      </c>
      <c r="AA575" s="15">
        <f>SUM(Z$3:Z575)</f>
        <v>257</v>
      </c>
      <c r="AB575" s="37">
        <f t="shared" si="85"/>
        <v>620</v>
      </c>
      <c r="AC575" s="37">
        <f>COUNTIF(AB$3:AB575,AB575)</f>
        <v>316</v>
      </c>
      <c r="AD575" s="15" t="e">
        <f t="shared" ca="1" si="80"/>
        <v>#N/A</v>
      </c>
      <c r="AE575" s="37" t="e">
        <f t="shared" ca="1" si="86"/>
        <v>#VALUE!</v>
      </c>
      <c r="AF575" s="15" t="str">
        <f t="shared" ca="1" si="81"/>
        <v>无</v>
      </c>
      <c r="AG575" s="15" t="e">
        <f t="shared" ca="1" si="87"/>
        <v>#N/A</v>
      </c>
      <c r="AH575" s="15" t="str">
        <f t="shared" ca="1" si="88"/>
        <v>{0}</v>
      </c>
      <c r="AI575" s="15" t="e">
        <f t="shared" ca="1" si="82"/>
        <v>#N/A</v>
      </c>
      <c r="AJ575" s="26" t="e">
        <f t="shared" ca="1" si="89"/>
        <v>#N/A</v>
      </c>
    </row>
    <row r="576" spans="1:36" x14ac:dyDescent="0.25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3"/>
      <c r="O576" s="32">
        <f t="shared" si="83"/>
        <v>0</v>
      </c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15">
        <f t="shared" si="84"/>
        <v>0</v>
      </c>
      <c r="AA576" s="15">
        <f>SUM(Z$3:Z576)</f>
        <v>257</v>
      </c>
      <c r="AB576" s="37">
        <f t="shared" si="85"/>
        <v>620</v>
      </c>
      <c r="AC576" s="37">
        <f>COUNTIF(AB$3:AB576,AB576)</f>
        <v>317</v>
      </c>
      <c r="AD576" s="15" t="e">
        <f t="shared" ca="1" si="80"/>
        <v>#N/A</v>
      </c>
      <c r="AE576" s="37" t="e">
        <f t="shared" ca="1" si="86"/>
        <v>#VALUE!</v>
      </c>
      <c r="AF576" s="15" t="str">
        <f t="shared" ca="1" si="81"/>
        <v>无</v>
      </c>
      <c r="AG576" s="15" t="e">
        <f t="shared" ca="1" si="87"/>
        <v>#N/A</v>
      </c>
      <c r="AH576" s="15" t="str">
        <f t="shared" ca="1" si="88"/>
        <v>{0}</v>
      </c>
      <c r="AI576" s="15" t="e">
        <f t="shared" ca="1" si="82"/>
        <v>#N/A</v>
      </c>
      <c r="AJ576" s="26" t="e">
        <f t="shared" ca="1" si="89"/>
        <v>#N/A</v>
      </c>
    </row>
    <row r="577" spans="1:36" x14ac:dyDescent="0.25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3"/>
      <c r="O577" s="32">
        <f t="shared" si="83"/>
        <v>0</v>
      </c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15">
        <f t="shared" si="84"/>
        <v>0</v>
      </c>
      <c r="AA577" s="15">
        <f>SUM(Z$3:Z577)</f>
        <v>257</v>
      </c>
      <c r="AB577" s="37">
        <f t="shared" si="85"/>
        <v>620</v>
      </c>
      <c r="AC577" s="37">
        <f>COUNTIF(AB$3:AB577,AB577)</f>
        <v>318</v>
      </c>
      <c r="AD577" s="15" t="e">
        <f t="shared" ca="1" si="80"/>
        <v>#N/A</v>
      </c>
      <c r="AE577" s="37" t="e">
        <f t="shared" ca="1" si="86"/>
        <v>#VALUE!</v>
      </c>
      <c r="AF577" s="15" t="str">
        <f t="shared" ca="1" si="81"/>
        <v>无</v>
      </c>
      <c r="AG577" s="15" t="e">
        <f t="shared" ca="1" si="87"/>
        <v>#N/A</v>
      </c>
      <c r="AH577" s="15" t="str">
        <f t="shared" ca="1" si="88"/>
        <v>{0}</v>
      </c>
      <c r="AI577" s="15" t="e">
        <f t="shared" ca="1" si="82"/>
        <v>#N/A</v>
      </c>
      <c r="AJ577" s="26" t="e">
        <f t="shared" ca="1" si="89"/>
        <v>#N/A</v>
      </c>
    </row>
    <row r="578" spans="1:36" x14ac:dyDescent="0.25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3"/>
      <c r="O578" s="32">
        <f t="shared" si="83"/>
        <v>0</v>
      </c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15">
        <f t="shared" si="84"/>
        <v>0</v>
      </c>
      <c r="AA578" s="15">
        <f>SUM(Z$3:Z578)</f>
        <v>257</v>
      </c>
      <c r="AB578" s="37">
        <f t="shared" si="85"/>
        <v>620</v>
      </c>
      <c r="AC578" s="37">
        <f>COUNTIF(AB$3:AB578,AB578)</f>
        <v>319</v>
      </c>
      <c r="AD578" s="15" t="e">
        <f t="shared" ca="1" si="80"/>
        <v>#N/A</v>
      </c>
      <c r="AE578" s="37" t="e">
        <f t="shared" ca="1" si="86"/>
        <v>#VALUE!</v>
      </c>
      <c r="AF578" s="15" t="str">
        <f t="shared" ca="1" si="81"/>
        <v>无</v>
      </c>
      <c r="AG578" s="15" t="e">
        <f t="shared" ca="1" si="87"/>
        <v>#N/A</v>
      </c>
      <c r="AH578" s="15" t="str">
        <f t="shared" ca="1" si="88"/>
        <v>{0}</v>
      </c>
      <c r="AI578" s="15" t="e">
        <f t="shared" ca="1" si="82"/>
        <v>#N/A</v>
      </c>
      <c r="AJ578" s="26" t="e">
        <f t="shared" ca="1" si="89"/>
        <v>#N/A</v>
      </c>
    </row>
    <row r="579" spans="1:36" x14ac:dyDescent="0.25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3"/>
      <c r="O579" s="32">
        <f t="shared" si="83"/>
        <v>0</v>
      </c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15">
        <f t="shared" si="84"/>
        <v>0</v>
      </c>
      <c r="AA579" s="15">
        <f>SUM(Z$3:Z579)</f>
        <v>257</v>
      </c>
      <c r="AB579" s="37">
        <f t="shared" si="85"/>
        <v>620</v>
      </c>
      <c r="AC579" s="37">
        <f>COUNTIF(AB$3:AB579,AB579)</f>
        <v>320</v>
      </c>
      <c r="AD579" s="15" t="e">
        <f t="shared" ref="AD579:AD620" ca="1" si="90">OFFSET($C$2,MATCH(AF579,$A:$A,0)-2,$AC579)</f>
        <v>#N/A</v>
      </c>
      <c r="AE579" s="37" t="e">
        <f t="shared" ca="1" si="86"/>
        <v>#VALUE!</v>
      </c>
      <c r="AF579" s="15" t="str">
        <f t="shared" ref="AF579:AF620" ca="1" si="91">IF(OFFSET(A$1,AB579,)="","无",OFFSET(A$1,AB579,))</f>
        <v>无</v>
      </c>
      <c r="AG579" s="15" t="e">
        <f t="shared" ca="1" si="87"/>
        <v>#N/A</v>
      </c>
      <c r="AH579" s="15" t="str">
        <f t="shared" ca="1" si="88"/>
        <v>{0}</v>
      </c>
      <c r="AI579" s="15" t="e">
        <f t="shared" ref="AI579:AI620" ca="1" si="92">IF(OFFSET($C$2,MATCH($AF579,A:A,0)-2,)="是",INT($AI$1/OFFSET($Z$2,MATCH(AF579,A:A,0)-2,)),OFFSET($O$2,MATCH($AF579,A:A,0)-2,$AC579)*$AI$1)</f>
        <v>#N/A</v>
      </c>
      <c r="AJ579" s="26" t="e">
        <f t="shared" ca="1" si="89"/>
        <v>#N/A</v>
      </c>
    </row>
    <row r="580" spans="1:36" x14ac:dyDescent="0.25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3"/>
      <c r="O580" s="32">
        <f t="shared" ref="O580:O620" si="93">SUM(P580:Y580)</f>
        <v>0</v>
      </c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15">
        <f t="shared" ref="Z580:Z620" si="94">COUNTA(D580:M580)</f>
        <v>0</v>
      </c>
      <c r="AA580" s="15">
        <f>SUM(Z$3:Z580)</f>
        <v>257</v>
      </c>
      <c r="AB580" s="37">
        <f t="shared" ref="AB580:AB620" si="95">MATCH(ROW(AB578)-0.1,AA:AA,1)</f>
        <v>620</v>
      </c>
      <c r="AC580" s="37">
        <f>COUNTIF(AB$3:AB580,AB580)</f>
        <v>321</v>
      </c>
      <c r="AD580" s="15" t="e">
        <f t="shared" ca="1" si="90"/>
        <v>#N/A</v>
      </c>
      <c r="AE580" s="37" t="e">
        <f t="shared" ref="AE580:AE620" ca="1" si="96">AF580*100+AC580</f>
        <v>#VALUE!</v>
      </c>
      <c r="AF580" s="15" t="str">
        <f t="shared" ca="1" si="91"/>
        <v>无</v>
      </c>
      <c r="AG580" s="15" t="e">
        <f t="shared" ref="AG580:AG620" ca="1" si="97">VALUE(MID(AD580,1,FIND("+",AD580,1)-1))</f>
        <v>#N/A</v>
      </c>
      <c r="AH580" s="15" t="str">
        <f t="shared" ref="AH580:AH620" ca="1" si="98">"{" &amp; IFERROR(MID($AD580,FIND("+",$AD580,1)+1,IFERROR(FIND("/",$AD580),LEN($AD580)+1)-FIND("+",$AD580)-1),0) &amp; "}"</f>
        <v>{0}</v>
      </c>
      <c r="AI580" s="15" t="e">
        <f t="shared" ca="1" si="92"/>
        <v>#N/A</v>
      </c>
      <c r="AJ580" s="26" t="e">
        <f t="shared" ref="AJ580:AJ620" ca="1" si="99">OFFSET($B$2,MATCH($AF580,A:A,0)-2,) &amp; "-" &amp; $AD580 &amp; "|" &amp; AI580/$AI$1*100 &amp; "%"</f>
        <v>#N/A</v>
      </c>
    </row>
    <row r="581" spans="1:36" x14ac:dyDescent="0.25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3"/>
      <c r="O581" s="32">
        <f t="shared" si="93"/>
        <v>0</v>
      </c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15">
        <f t="shared" si="94"/>
        <v>0</v>
      </c>
      <c r="AA581" s="15">
        <f>SUM(Z$3:Z581)</f>
        <v>257</v>
      </c>
      <c r="AB581" s="37">
        <f t="shared" si="95"/>
        <v>620</v>
      </c>
      <c r="AC581" s="37">
        <f>COUNTIF(AB$3:AB581,AB581)</f>
        <v>322</v>
      </c>
      <c r="AD581" s="15" t="e">
        <f t="shared" ca="1" si="90"/>
        <v>#N/A</v>
      </c>
      <c r="AE581" s="37" t="e">
        <f t="shared" ca="1" si="96"/>
        <v>#VALUE!</v>
      </c>
      <c r="AF581" s="15" t="str">
        <f t="shared" ca="1" si="91"/>
        <v>无</v>
      </c>
      <c r="AG581" s="15" t="e">
        <f t="shared" ca="1" si="97"/>
        <v>#N/A</v>
      </c>
      <c r="AH581" s="15" t="str">
        <f t="shared" ca="1" si="98"/>
        <v>{0}</v>
      </c>
      <c r="AI581" s="15" t="e">
        <f t="shared" ca="1" si="92"/>
        <v>#N/A</v>
      </c>
      <c r="AJ581" s="26" t="e">
        <f t="shared" ca="1" si="99"/>
        <v>#N/A</v>
      </c>
    </row>
    <row r="582" spans="1:36" x14ac:dyDescent="0.25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3"/>
      <c r="O582" s="32">
        <f t="shared" si="93"/>
        <v>0</v>
      </c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15">
        <f t="shared" si="94"/>
        <v>0</v>
      </c>
      <c r="AA582" s="15">
        <f>SUM(Z$3:Z582)</f>
        <v>257</v>
      </c>
      <c r="AB582" s="37">
        <f t="shared" si="95"/>
        <v>620</v>
      </c>
      <c r="AC582" s="37">
        <f>COUNTIF(AB$3:AB582,AB582)</f>
        <v>323</v>
      </c>
      <c r="AD582" s="15" t="e">
        <f t="shared" ca="1" si="90"/>
        <v>#N/A</v>
      </c>
      <c r="AE582" s="37" t="e">
        <f t="shared" ca="1" si="96"/>
        <v>#VALUE!</v>
      </c>
      <c r="AF582" s="15" t="str">
        <f t="shared" ca="1" si="91"/>
        <v>无</v>
      </c>
      <c r="AG582" s="15" t="e">
        <f t="shared" ca="1" si="97"/>
        <v>#N/A</v>
      </c>
      <c r="AH582" s="15" t="str">
        <f t="shared" ca="1" si="98"/>
        <v>{0}</v>
      </c>
      <c r="AI582" s="15" t="e">
        <f t="shared" ca="1" si="92"/>
        <v>#N/A</v>
      </c>
      <c r="AJ582" s="26" t="e">
        <f t="shared" ca="1" si="99"/>
        <v>#N/A</v>
      </c>
    </row>
    <row r="583" spans="1:36" x14ac:dyDescent="0.25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3"/>
      <c r="O583" s="32">
        <f t="shared" si="93"/>
        <v>0</v>
      </c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15">
        <f t="shared" si="94"/>
        <v>0</v>
      </c>
      <c r="AA583" s="15">
        <f>SUM(Z$3:Z583)</f>
        <v>257</v>
      </c>
      <c r="AB583" s="37">
        <f t="shared" si="95"/>
        <v>620</v>
      </c>
      <c r="AC583" s="37">
        <f>COUNTIF(AB$3:AB583,AB583)</f>
        <v>324</v>
      </c>
      <c r="AD583" s="15" t="e">
        <f t="shared" ca="1" si="90"/>
        <v>#N/A</v>
      </c>
      <c r="AE583" s="37" t="e">
        <f t="shared" ca="1" si="96"/>
        <v>#VALUE!</v>
      </c>
      <c r="AF583" s="15" t="str">
        <f t="shared" ca="1" si="91"/>
        <v>无</v>
      </c>
      <c r="AG583" s="15" t="e">
        <f t="shared" ca="1" si="97"/>
        <v>#N/A</v>
      </c>
      <c r="AH583" s="15" t="str">
        <f t="shared" ca="1" si="98"/>
        <v>{0}</v>
      </c>
      <c r="AI583" s="15" t="e">
        <f t="shared" ca="1" si="92"/>
        <v>#N/A</v>
      </c>
      <c r="AJ583" s="26" t="e">
        <f t="shared" ca="1" si="99"/>
        <v>#N/A</v>
      </c>
    </row>
    <row r="584" spans="1:36" x14ac:dyDescent="0.25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3"/>
      <c r="O584" s="32">
        <f t="shared" si="93"/>
        <v>0</v>
      </c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15">
        <f t="shared" si="94"/>
        <v>0</v>
      </c>
      <c r="AA584" s="15">
        <f>SUM(Z$3:Z584)</f>
        <v>257</v>
      </c>
      <c r="AB584" s="37">
        <f t="shared" si="95"/>
        <v>620</v>
      </c>
      <c r="AC584" s="37">
        <f>COUNTIF(AB$3:AB584,AB584)</f>
        <v>325</v>
      </c>
      <c r="AD584" s="15" t="e">
        <f t="shared" ca="1" si="90"/>
        <v>#N/A</v>
      </c>
      <c r="AE584" s="37" t="e">
        <f t="shared" ca="1" si="96"/>
        <v>#VALUE!</v>
      </c>
      <c r="AF584" s="15" t="str">
        <f t="shared" ca="1" si="91"/>
        <v>无</v>
      </c>
      <c r="AG584" s="15" t="e">
        <f t="shared" ca="1" si="97"/>
        <v>#N/A</v>
      </c>
      <c r="AH584" s="15" t="str">
        <f t="shared" ca="1" si="98"/>
        <v>{0}</v>
      </c>
      <c r="AI584" s="15" t="e">
        <f t="shared" ca="1" si="92"/>
        <v>#N/A</v>
      </c>
      <c r="AJ584" s="26" t="e">
        <f t="shared" ca="1" si="99"/>
        <v>#N/A</v>
      </c>
    </row>
    <row r="585" spans="1:36" x14ac:dyDescent="0.25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3"/>
      <c r="O585" s="32">
        <f t="shared" si="93"/>
        <v>0</v>
      </c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15">
        <f t="shared" si="94"/>
        <v>0</v>
      </c>
      <c r="AA585" s="15">
        <f>SUM(Z$3:Z585)</f>
        <v>257</v>
      </c>
      <c r="AB585" s="37">
        <f t="shared" si="95"/>
        <v>620</v>
      </c>
      <c r="AC585" s="37">
        <f>COUNTIF(AB$3:AB585,AB585)</f>
        <v>326</v>
      </c>
      <c r="AD585" s="15" t="e">
        <f t="shared" ca="1" si="90"/>
        <v>#N/A</v>
      </c>
      <c r="AE585" s="37" t="e">
        <f t="shared" ca="1" si="96"/>
        <v>#VALUE!</v>
      </c>
      <c r="AF585" s="15" t="str">
        <f t="shared" ca="1" si="91"/>
        <v>无</v>
      </c>
      <c r="AG585" s="15" t="e">
        <f t="shared" ca="1" si="97"/>
        <v>#N/A</v>
      </c>
      <c r="AH585" s="15" t="str">
        <f t="shared" ca="1" si="98"/>
        <v>{0}</v>
      </c>
      <c r="AI585" s="15" t="e">
        <f t="shared" ca="1" si="92"/>
        <v>#N/A</v>
      </c>
      <c r="AJ585" s="26" t="e">
        <f t="shared" ca="1" si="99"/>
        <v>#N/A</v>
      </c>
    </row>
    <row r="586" spans="1:36" x14ac:dyDescent="0.25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3"/>
      <c r="O586" s="32">
        <f t="shared" si="93"/>
        <v>0</v>
      </c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15">
        <f t="shared" si="94"/>
        <v>0</v>
      </c>
      <c r="AA586" s="15">
        <f>SUM(Z$3:Z586)</f>
        <v>257</v>
      </c>
      <c r="AB586" s="37">
        <f t="shared" si="95"/>
        <v>620</v>
      </c>
      <c r="AC586" s="37">
        <f>COUNTIF(AB$3:AB586,AB586)</f>
        <v>327</v>
      </c>
      <c r="AD586" s="15" t="e">
        <f t="shared" ca="1" si="90"/>
        <v>#N/A</v>
      </c>
      <c r="AE586" s="37" t="e">
        <f t="shared" ca="1" si="96"/>
        <v>#VALUE!</v>
      </c>
      <c r="AF586" s="15" t="str">
        <f t="shared" ca="1" si="91"/>
        <v>无</v>
      </c>
      <c r="AG586" s="15" t="e">
        <f t="shared" ca="1" si="97"/>
        <v>#N/A</v>
      </c>
      <c r="AH586" s="15" t="str">
        <f t="shared" ca="1" si="98"/>
        <v>{0}</v>
      </c>
      <c r="AI586" s="15" t="e">
        <f t="shared" ca="1" si="92"/>
        <v>#N/A</v>
      </c>
      <c r="AJ586" s="26" t="e">
        <f t="shared" ca="1" si="99"/>
        <v>#N/A</v>
      </c>
    </row>
    <row r="587" spans="1:36" x14ac:dyDescent="0.25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3"/>
      <c r="O587" s="32">
        <f t="shared" si="93"/>
        <v>0</v>
      </c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15">
        <f t="shared" si="94"/>
        <v>0</v>
      </c>
      <c r="AA587" s="15">
        <f>SUM(Z$3:Z587)</f>
        <v>257</v>
      </c>
      <c r="AB587" s="37">
        <f t="shared" si="95"/>
        <v>620</v>
      </c>
      <c r="AC587" s="37">
        <f>COUNTIF(AB$3:AB587,AB587)</f>
        <v>328</v>
      </c>
      <c r="AD587" s="15" t="e">
        <f t="shared" ca="1" si="90"/>
        <v>#N/A</v>
      </c>
      <c r="AE587" s="37" t="e">
        <f t="shared" ca="1" si="96"/>
        <v>#VALUE!</v>
      </c>
      <c r="AF587" s="15" t="str">
        <f t="shared" ca="1" si="91"/>
        <v>无</v>
      </c>
      <c r="AG587" s="15" t="e">
        <f t="shared" ca="1" si="97"/>
        <v>#N/A</v>
      </c>
      <c r="AH587" s="15" t="str">
        <f t="shared" ca="1" si="98"/>
        <v>{0}</v>
      </c>
      <c r="AI587" s="15" t="e">
        <f t="shared" ca="1" si="92"/>
        <v>#N/A</v>
      </c>
      <c r="AJ587" s="26" t="e">
        <f t="shared" ca="1" si="99"/>
        <v>#N/A</v>
      </c>
    </row>
    <row r="588" spans="1:36" x14ac:dyDescent="0.25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3"/>
      <c r="O588" s="32">
        <f t="shared" si="93"/>
        <v>0</v>
      </c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15">
        <f t="shared" si="94"/>
        <v>0</v>
      </c>
      <c r="AA588" s="15">
        <f>SUM(Z$3:Z588)</f>
        <v>257</v>
      </c>
      <c r="AB588" s="37">
        <f t="shared" si="95"/>
        <v>620</v>
      </c>
      <c r="AC588" s="37">
        <f>COUNTIF(AB$3:AB588,AB588)</f>
        <v>329</v>
      </c>
      <c r="AD588" s="15" t="e">
        <f t="shared" ca="1" si="90"/>
        <v>#N/A</v>
      </c>
      <c r="AE588" s="37" t="e">
        <f t="shared" ca="1" si="96"/>
        <v>#VALUE!</v>
      </c>
      <c r="AF588" s="15" t="str">
        <f t="shared" ca="1" si="91"/>
        <v>无</v>
      </c>
      <c r="AG588" s="15" t="e">
        <f t="shared" ca="1" si="97"/>
        <v>#N/A</v>
      </c>
      <c r="AH588" s="15" t="str">
        <f t="shared" ca="1" si="98"/>
        <v>{0}</v>
      </c>
      <c r="AI588" s="15" t="e">
        <f t="shared" ca="1" si="92"/>
        <v>#N/A</v>
      </c>
      <c r="AJ588" s="26" t="e">
        <f t="shared" ca="1" si="99"/>
        <v>#N/A</v>
      </c>
    </row>
    <row r="589" spans="1:36" x14ac:dyDescent="0.25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3"/>
      <c r="O589" s="32">
        <f t="shared" si="93"/>
        <v>0</v>
      </c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15">
        <f t="shared" si="94"/>
        <v>0</v>
      </c>
      <c r="AA589" s="15">
        <f>SUM(Z$3:Z589)</f>
        <v>257</v>
      </c>
      <c r="AB589" s="37">
        <f t="shared" si="95"/>
        <v>620</v>
      </c>
      <c r="AC589" s="37">
        <f>COUNTIF(AB$3:AB589,AB589)</f>
        <v>330</v>
      </c>
      <c r="AD589" s="15" t="e">
        <f t="shared" ca="1" si="90"/>
        <v>#N/A</v>
      </c>
      <c r="AE589" s="37" t="e">
        <f t="shared" ca="1" si="96"/>
        <v>#VALUE!</v>
      </c>
      <c r="AF589" s="15" t="str">
        <f t="shared" ca="1" si="91"/>
        <v>无</v>
      </c>
      <c r="AG589" s="15" t="e">
        <f t="shared" ca="1" si="97"/>
        <v>#N/A</v>
      </c>
      <c r="AH589" s="15" t="str">
        <f t="shared" ca="1" si="98"/>
        <v>{0}</v>
      </c>
      <c r="AI589" s="15" t="e">
        <f t="shared" ca="1" si="92"/>
        <v>#N/A</v>
      </c>
      <c r="AJ589" s="26" t="e">
        <f t="shared" ca="1" si="99"/>
        <v>#N/A</v>
      </c>
    </row>
    <row r="590" spans="1:36" x14ac:dyDescent="0.25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3"/>
      <c r="O590" s="32">
        <f t="shared" si="93"/>
        <v>0</v>
      </c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15">
        <f t="shared" si="94"/>
        <v>0</v>
      </c>
      <c r="AA590" s="15">
        <f>SUM(Z$3:Z590)</f>
        <v>257</v>
      </c>
      <c r="AB590" s="37">
        <f t="shared" si="95"/>
        <v>620</v>
      </c>
      <c r="AC590" s="37">
        <f>COUNTIF(AB$3:AB590,AB590)</f>
        <v>331</v>
      </c>
      <c r="AD590" s="15" t="e">
        <f t="shared" ca="1" si="90"/>
        <v>#N/A</v>
      </c>
      <c r="AE590" s="37" t="e">
        <f t="shared" ca="1" si="96"/>
        <v>#VALUE!</v>
      </c>
      <c r="AF590" s="15" t="str">
        <f t="shared" ca="1" si="91"/>
        <v>无</v>
      </c>
      <c r="AG590" s="15" t="e">
        <f t="shared" ca="1" si="97"/>
        <v>#N/A</v>
      </c>
      <c r="AH590" s="15" t="str">
        <f t="shared" ca="1" si="98"/>
        <v>{0}</v>
      </c>
      <c r="AI590" s="15" t="e">
        <f t="shared" ca="1" si="92"/>
        <v>#N/A</v>
      </c>
      <c r="AJ590" s="26" t="e">
        <f t="shared" ca="1" si="99"/>
        <v>#N/A</v>
      </c>
    </row>
    <row r="591" spans="1:36" x14ac:dyDescent="0.25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3"/>
      <c r="O591" s="32">
        <f t="shared" si="93"/>
        <v>0</v>
      </c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15">
        <f t="shared" si="94"/>
        <v>0</v>
      </c>
      <c r="AA591" s="15">
        <f>SUM(Z$3:Z591)</f>
        <v>257</v>
      </c>
      <c r="AB591" s="37">
        <f t="shared" si="95"/>
        <v>620</v>
      </c>
      <c r="AC591" s="37">
        <f>COUNTIF(AB$3:AB591,AB591)</f>
        <v>332</v>
      </c>
      <c r="AD591" s="15" t="e">
        <f t="shared" ca="1" si="90"/>
        <v>#N/A</v>
      </c>
      <c r="AE591" s="37" t="e">
        <f t="shared" ca="1" si="96"/>
        <v>#VALUE!</v>
      </c>
      <c r="AF591" s="15" t="str">
        <f t="shared" ca="1" si="91"/>
        <v>无</v>
      </c>
      <c r="AG591" s="15" t="e">
        <f t="shared" ca="1" si="97"/>
        <v>#N/A</v>
      </c>
      <c r="AH591" s="15" t="str">
        <f t="shared" ca="1" si="98"/>
        <v>{0}</v>
      </c>
      <c r="AI591" s="15" t="e">
        <f t="shared" ca="1" si="92"/>
        <v>#N/A</v>
      </c>
      <c r="AJ591" s="26" t="e">
        <f t="shared" ca="1" si="99"/>
        <v>#N/A</v>
      </c>
    </row>
    <row r="592" spans="1:36" x14ac:dyDescent="0.25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3"/>
      <c r="O592" s="32">
        <f t="shared" si="93"/>
        <v>0</v>
      </c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15">
        <f t="shared" si="94"/>
        <v>0</v>
      </c>
      <c r="AA592" s="15">
        <f>SUM(Z$3:Z592)</f>
        <v>257</v>
      </c>
      <c r="AB592" s="37">
        <f t="shared" si="95"/>
        <v>620</v>
      </c>
      <c r="AC592" s="37">
        <f>COUNTIF(AB$3:AB592,AB592)</f>
        <v>333</v>
      </c>
      <c r="AD592" s="15" t="e">
        <f t="shared" ca="1" si="90"/>
        <v>#N/A</v>
      </c>
      <c r="AE592" s="37" t="e">
        <f t="shared" ca="1" si="96"/>
        <v>#VALUE!</v>
      </c>
      <c r="AF592" s="15" t="str">
        <f t="shared" ca="1" si="91"/>
        <v>无</v>
      </c>
      <c r="AG592" s="15" t="e">
        <f t="shared" ca="1" si="97"/>
        <v>#N/A</v>
      </c>
      <c r="AH592" s="15" t="str">
        <f t="shared" ca="1" si="98"/>
        <v>{0}</v>
      </c>
      <c r="AI592" s="15" t="e">
        <f t="shared" ca="1" si="92"/>
        <v>#N/A</v>
      </c>
      <c r="AJ592" s="26" t="e">
        <f t="shared" ca="1" si="99"/>
        <v>#N/A</v>
      </c>
    </row>
    <row r="593" spans="1:36" x14ac:dyDescent="0.25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3"/>
      <c r="O593" s="32">
        <f t="shared" si="93"/>
        <v>0</v>
      </c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15">
        <f t="shared" si="94"/>
        <v>0</v>
      </c>
      <c r="AA593" s="15">
        <f>SUM(Z$3:Z593)</f>
        <v>257</v>
      </c>
      <c r="AB593" s="37">
        <f t="shared" si="95"/>
        <v>620</v>
      </c>
      <c r="AC593" s="37">
        <f>COUNTIF(AB$3:AB593,AB593)</f>
        <v>334</v>
      </c>
      <c r="AD593" s="15" t="e">
        <f t="shared" ca="1" si="90"/>
        <v>#N/A</v>
      </c>
      <c r="AE593" s="37" t="e">
        <f t="shared" ca="1" si="96"/>
        <v>#VALUE!</v>
      </c>
      <c r="AF593" s="15" t="str">
        <f t="shared" ca="1" si="91"/>
        <v>无</v>
      </c>
      <c r="AG593" s="15" t="e">
        <f t="shared" ca="1" si="97"/>
        <v>#N/A</v>
      </c>
      <c r="AH593" s="15" t="str">
        <f t="shared" ca="1" si="98"/>
        <v>{0}</v>
      </c>
      <c r="AI593" s="15" t="e">
        <f t="shared" ca="1" si="92"/>
        <v>#N/A</v>
      </c>
      <c r="AJ593" s="26" t="e">
        <f t="shared" ca="1" si="99"/>
        <v>#N/A</v>
      </c>
    </row>
    <row r="594" spans="1:36" x14ac:dyDescent="0.25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3"/>
      <c r="O594" s="32">
        <f t="shared" si="93"/>
        <v>0</v>
      </c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15">
        <f t="shared" si="94"/>
        <v>0</v>
      </c>
      <c r="AA594" s="15">
        <f>SUM(Z$3:Z594)</f>
        <v>257</v>
      </c>
      <c r="AB594" s="37">
        <f t="shared" si="95"/>
        <v>620</v>
      </c>
      <c r="AC594" s="37">
        <f>COUNTIF(AB$3:AB594,AB594)</f>
        <v>335</v>
      </c>
      <c r="AD594" s="15" t="e">
        <f t="shared" ca="1" si="90"/>
        <v>#N/A</v>
      </c>
      <c r="AE594" s="37" t="e">
        <f t="shared" ca="1" si="96"/>
        <v>#VALUE!</v>
      </c>
      <c r="AF594" s="15" t="str">
        <f t="shared" ca="1" si="91"/>
        <v>无</v>
      </c>
      <c r="AG594" s="15" t="e">
        <f t="shared" ca="1" si="97"/>
        <v>#N/A</v>
      </c>
      <c r="AH594" s="15" t="str">
        <f t="shared" ca="1" si="98"/>
        <v>{0}</v>
      </c>
      <c r="AI594" s="15" t="e">
        <f t="shared" ca="1" si="92"/>
        <v>#N/A</v>
      </c>
      <c r="AJ594" s="26" t="e">
        <f t="shared" ca="1" si="99"/>
        <v>#N/A</v>
      </c>
    </row>
    <row r="595" spans="1:36" x14ac:dyDescent="0.25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3"/>
      <c r="O595" s="32">
        <f t="shared" si="93"/>
        <v>0</v>
      </c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15">
        <f t="shared" si="94"/>
        <v>0</v>
      </c>
      <c r="AA595" s="15">
        <f>SUM(Z$3:Z595)</f>
        <v>257</v>
      </c>
      <c r="AB595" s="37">
        <f t="shared" si="95"/>
        <v>620</v>
      </c>
      <c r="AC595" s="37">
        <f>COUNTIF(AB$3:AB595,AB595)</f>
        <v>336</v>
      </c>
      <c r="AD595" s="15" t="e">
        <f t="shared" ca="1" si="90"/>
        <v>#N/A</v>
      </c>
      <c r="AE595" s="37" t="e">
        <f t="shared" ca="1" si="96"/>
        <v>#VALUE!</v>
      </c>
      <c r="AF595" s="15" t="str">
        <f t="shared" ca="1" si="91"/>
        <v>无</v>
      </c>
      <c r="AG595" s="15" t="e">
        <f t="shared" ca="1" si="97"/>
        <v>#N/A</v>
      </c>
      <c r="AH595" s="15" t="str">
        <f t="shared" ca="1" si="98"/>
        <v>{0}</v>
      </c>
      <c r="AI595" s="15" t="e">
        <f t="shared" ca="1" si="92"/>
        <v>#N/A</v>
      </c>
      <c r="AJ595" s="26" t="e">
        <f t="shared" ca="1" si="99"/>
        <v>#N/A</v>
      </c>
    </row>
    <row r="596" spans="1:36" x14ac:dyDescent="0.25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3"/>
      <c r="O596" s="32">
        <f t="shared" si="93"/>
        <v>0</v>
      </c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15">
        <f t="shared" si="94"/>
        <v>0</v>
      </c>
      <c r="AA596" s="15">
        <f>SUM(Z$3:Z596)</f>
        <v>257</v>
      </c>
      <c r="AB596" s="37">
        <f t="shared" si="95"/>
        <v>620</v>
      </c>
      <c r="AC596" s="37">
        <f>COUNTIF(AB$3:AB596,AB596)</f>
        <v>337</v>
      </c>
      <c r="AD596" s="15" t="e">
        <f t="shared" ca="1" si="90"/>
        <v>#N/A</v>
      </c>
      <c r="AE596" s="37" t="e">
        <f t="shared" ca="1" si="96"/>
        <v>#VALUE!</v>
      </c>
      <c r="AF596" s="15" t="str">
        <f t="shared" ca="1" si="91"/>
        <v>无</v>
      </c>
      <c r="AG596" s="15" t="e">
        <f t="shared" ca="1" si="97"/>
        <v>#N/A</v>
      </c>
      <c r="AH596" s="15" t="str">
        <f t="shared" ca="1" si="98"/>
        <v>{0}</v>
      </c>
      <c r="AI596" s="15" t="e">
        <f t="shared" ca="1" si="92"/>
        <v>#N/A</v>
      </c>
      <c r="AJ596" s="26" t="e">
        <f t="shared" ca="1" si="99"/>
        <v>#N/A</v>
      </c>
    </row>
    <row r="597" spans="1:36" x14ac:dyDescent="0.25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3"/>
      <c r="O597" s="32">
        <f t="shared" si="93"/>
        <v>0</v>
      </c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15">
        <f t="shared" si="94"/>
        <v>0</v>
      </c>
      <c r="AA597" s="15">
        <f>SUM(Z$3:Z597)</f>
        <v>257</v>
      </c>
      <c r="AB597" s="37">
        <f t="shared" si="95"/>
        <v>620</v>
      </c>
      <c r="AC597" s="37">
        <f>COUNTIF(AB$3:AB597,AB597)</f>
        <v>338</v>
      </c>
      <c r="AD597" s="15" t="e">
        <f t="shared" ca="1" si="90"/>
        <v>#N/A</v>
      </c>
      <c r="AE597" s="37" t="e">
        <f t="shared" ca="1" si="96"/>
        <v>#VALUE!</v>
      </c>
      <c r="AF597" s="15" t="str">
        <f t="shared" ca="1" si="91"/>
        <v>无</v>
      </c>
      <c r="AG597" s="15" t="e">
        <f t="shared" ca="1" si="97"/>
        <v>#N/A</v>
      </c>
      <c r="AH597" s="15" t="str">
        <f t="shared" ca="1" si="98"/>
        <v>{0}</v>
      </c>
      <c r="AI597" s="15" t="e">
        <f t="shared" ca="1" si="92"/>
        <v>#N/A</v>
      </c>
      <c r="AJ597" s="26" t="e">
        <f t="shared" ca="1" si="99"/>
        <v>#N/A</v>
      </c>
    </row>
    <row r="598" spans="1:36" x14ac:dyDescent="0.25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3"/>
      <c r="O598" s="32">
        <f t="shared" si="93"/>
        <v>0</v>
      </c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15">
        <f t="shared" si="94"/>
        <v>0</v>
      </c>
      <c r="AA598" s="15">
        <f>SUM(Z$3:Z598)</f>
        <v>257</v>
      </c>
      <c r="AB598" s="37">
        <f t="shared" si="95"/>
        <v>620</v>
      </c>
      <c r="AC598" s="37">
        <f>COUNTIF(AB$3:AB598,AB598)</f>
        <v>339</v>
      </c>
      <c r="AD598" s="15" t="e">
        <f t="shared" ca="1" si="90"/>
        <v>#N/A</v>
      </c>
      <c r="AE598" s="37" t="e">
        <f t="shared" ca="1" si="96"/>
        <v>#VALUE!</v>
      </c>
      <c r="AF598" s="15" t="str">
        <f t="shared" ca="1" si="91"/>
        <v>无</v>
      </c>
      <c r="AG598" s="15" t="e">
        <f t="shared" ca="1" si="97"/>
        <v>#N/A</v>
      </c>
      <c r="AH598" s="15" t="str">
        <f t="shared" ca="1" si="98"/>
        <v>{0}</v>
      </c>
      <c r="AI598" s="15" t="e">
        <f t="shared" ca="1" si="92"/>
        <v>#N/A</v>
      </c>
      <c r="AJ598" s="26" t="e">
        <f t="shared" ca="1" si="99"/>
        <v>#N/A</v>
      </c>
    </row>
    <row r="599" spans="1:36" x14ac:dyDescent="0.25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3"/>
      <c r="O599" s="32">
        <f t="shared" si="93"/>
        <v>0</v>
      </c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15">
        <f t="shared" si="94"/>
        <v>0</v>
      </c>
      <c r="AA599" s="15">
        <f>SUM(Z$3:Z599)</f>
        <v>257</v>
      </c>
      <c r="AB599" s="37">
        <f t="shared" si="95"/>
        <v>620</v>
      </c>
      <c r="AC599" s="37">
        <f>COUNTIF(AB$3:AB599,AB599)</f>
        <v>340</v>
      </c>
      <c r="AD599" s="15" t="e">
        <f t="shared" ca="1" si="90"/>
        <v>#N/A</v>
      </c>
      <c r="AE599" s="37" t="e">
        <f t="shared" ca="1" si="96"/>
        <v>#VALUE!</v>
      </c>
      <c r="AF599" s="15" t="str">
        <f t="shared" ca="1" si="91"/>
        <v>无</v>
      </c>
      <c r="AG599" s="15" t="e">
        <f t="shared" ca="1" si="97"/>
        <v>#N/A</v>
      </c>
      <c r="AH599" s="15" t="str">
        <f t="shared" ca="1" si="98"/>
        <v>{0}</v>
      </c>
      <c r="AI599" s="15" t="e">
        <f t="shared" ca="1" si="92"/>
        <v>#N/A</v>
      </c>
      <c r="AJ599" s="26" t="e">
        <f t="shared" ca="1" si="99"/>
        <v>#N/A</v>
      </c>
    </row>
    <row r="600" spans="1:36" x14ac:dyDescent="0.25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3"/>
      <c r="O600" s="32">
        <f t="shared" si="93"/>
        <v>0</v>
      </c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15">
        <f t="shared" si="94"/>
        <v>0</v>
      </c>
      <c r="AA600" s="15">
        <f>SUM(Z$3:Z600)</f>
        <v>257</v>
      </c>
      <c r="AB600" s="37">
        <f t="shared" si="95"/>
        <v>620</v>
      </c>
      <c r="AC600" s="37">
        <f>COUNTIF(AB$3:AB600,AB600)</f>
        <v>341</v>
      </c>
      <c r="AD600" s="15" t="e">
        <f t="shared" ca="1" si="90"/>
        <v>#N/A</v>
      </c>
      <c r="AE600" s="37" t="e">
        <f t="shared" ca="1" si="96"/>
        <v>#VALUE!</v>
      </c>
      <c r="AF600" s="15" t="str">
        <f t="shared" ca="1" si="91"/>
        <v>无</v>
      </c>
      <c r="AG600" s="15" t="e">
        <f t="shared" ca="1" si="97"/>
        <v>#N/A</v>
      </c>
      <c r="AH600" s="15" t="str">
        <f t="shared" ca="1" si="98"/>
        <v>{0}</v>
      </c>
      <c r="AI600" s="15" t="e">
        <f t="shared" ca="1" si="92"/>
        <v>#N/A</v>
      </c>
      <c r="AJ600" s="26" t="e">
        <f t="shared" ca="1" si="99"/>
        <v>#N/A</v>
      </c>
    </row>
    <row r="601" spans="1:36" x14ac:dyDescent="0.25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3"/>
      <c r="O601" s="32">
        <f t="shared" si="93"/>
        <v>0</v>
      </c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15">
        <f t="shared" si="94"/>
        <v>0</v>
      </c>
      <c r="AA601" s="15">
        <f>SUM(Z$3:Z601)</f>
        <v>257</v>
      </c>
      <c r="AB601" s="37">
        <f t="shared" si="95"/>
        <v>620</v>
      </c>
      <c r="AC601" s="37">
        <f>COUNTIF(AB$3:AB601,AB601)</f>
        <v>342</v>
      </c>
      <c r="AD601" s="15" t="e">
        <f t="shared" ca="1" si="90"/>
        <v>#N/A</v>
      </c>
      <c r="AE601" s="37" t="e">
        <f t="shared" ca="1" si="96"/>
        <v>#VALUE!</v>
      </c>
      <c r="AF601" s="15" t="str">
        <f t="shared" ca="1" si="91"/>
        <v>无</v>
      </c>
      <c r="AG601" s="15" t="e">
        <f t="shared" ca="1" si="97"/>
        <v>#N/A</v>
      </c>
      <c r="AH601" s="15" t="str">
        <f t="shared" ca="1" si="98"/>
        <v>{0}</v>
      </c>
      <c r="AI601" s="15" t="e">
        <f t="shared" ca="1" si="92"/>
        <v>#N/A</v>
      </c>
      <c r="AJ601" s="26" t="e">
        <f t="shared" ca="1" si="99"/>
        <v>#N/A</v>
      </c>
    </row>
    <row r="602" spans="1:36" x14ac:dyDescent="0.25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3"/>
      <c r="O602" s="32">
        <f t="shared" si="93"/>
        <v>0</v>
      </c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15">
        <f t="shared" si="94"/>
        <v>0</v>
      </c>
      <c r="AA602" s="15">
        <f>SUM(Z$3:Z602)</f>
        <v>257</v>
      </c>
      <c r="AB602" s="37">
        <f t="shared" si="95"/>
        <v>620</v>
      </c>
      <c r="AC602" s="37">
        <f>COUNTIF(AB$3:AB602,AB602)</f>
        <v>343</v>
      </c>
      <c r="AD602" s="15" t="e">
        <f t="shared" ca="1" si="90"/>
        <v>#N/A</v>
      </c>
      <c r="AE602" s="37" t="e">
        <f t="shared" ca="1" si="96"/>
        <v>#VALUE!</v>
      </c>
      <c r="AF602" s="15" t="str">
        <f t="shared" ca="1" si="91"/>
        <v>无</v>
      </c>
      <c r="AG602" s="15" t="e">
        <f t="shared" ca="1" si="97"/>
        <v>#N/A</v>
      </c>
      <c r="AH602" s="15" t="str">
        <f t="shared" ca="1" si="98"/>
        <v>{0}</v>
      </c>
      <c r="AI602" s="15" t="e">
        <f t="shared" ca="1" si="92"/>
        <v>#N/A</v>
      </c>
      <c r="AJ602" s="26" t="e">
        <f t="shared" ca="1" si="99"/>
        <v>#N/A</v>
      </c>
    </row>
    <row r="603" spans="1:36" x14ac:dyDescent="0.25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3"/>
      <c r="O603" s="32">
        <f t="shared" si="93"/>
        <v>0</v>
      </c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15">
        <f t="shared" si="94"/>
        <v>0</v>
      </c>
      <c r="AA603" s="15">
        <f>SUM(Z$3:Z603)</f>
        <v>257</v>
      </c>
      <c r="AB603" s="37">
        <f t="shared" si="95"/>
        <v>620</v>
      </c>
      <c r="AC603" s="37">
        <f>COUNTIF(AB$3:AB603,AB603)</f>
        <v>344</v>
      </c>
      <c r="AD603" s="15" t="e">
        <f t="shared" ca="1" si="90"/>
        <v>#N/A</v>
      </c>
      <c r="AE603" s="37" t="e">
        <f t="shared" ca="1" si="96"/>
        <v>#VALUE!</v>
      </c>
      <c r="AF603" s="15" t="str">
        <f t="shared" ca="1" si="91"/>
        <v>无</v>
      </c>
      <c r="AG603" s="15" t="e">
        <f t="shared" ca="1" si="97"/>
        <v>#N/A</v>
      </c>
      <c r="AH603" s="15" t="str">
        <f t="shared" ca="1" si="98"/>
        <v>{0}</v>
      </c>
      <c r="AI603" s="15" t="e">
        <f t="shared" ca="1" si="92"/>
        <v>#N/A</v>
      </c>
      <c r="AJ603" s="26" t="e">
        <f t="shared" ca="1" si="99"/>
        <v>#N/A</v>
      </c>
    </row>
    <row r="604" spans="1:36" x14ac:dyDescent="0.25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3"/>
      <c r="O604" s="32">
        <f t="shared" si="93"/>
        <v>0</v>
      </c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15">
        <f t="shared" si="94"/>
        <v>0</v>
      </c>
      <c r="AA604" s="15">
        <f>SUM(Z$3:Z604)</f>
        <v>257</v>
      </c>
      <c r="AB604" s="37">
        <f t="shared" si="95"/>
        <v>620</v>
      </c>
      <c r="AC604" s="37">
        <f>COUNTIF(AB$3:AB604,AB604)</f>
        <v>345</v>
      </c>
      <c r="AD604" s="15" t="e">
        <f t="shared" ca="1" si="90"/>
        <v>#N/A</v>
      </c>
      <c r="AE604" s="37" t="e">
        <f t="shared" ca="1" si="96"/>
        <v>#VALUE!</v>
      </c>
      <c r="AF604" s="15" t="str">
        <f t="shared" ca="1" si="91"/>
        <v>无</v>
      </c>
      <c r="AG604" s="15" t="e">
        <f t="shared" ca="1" si="97"/>
        <v>#N/A</v>
      </c>
      <c r="AH604" s="15" t="str">
        <f t="shared" ca="1" si="98"/>
        <v>{0}</v>
      </c>
      <c r="AI604" s="15" t="e">
        <f t="shared" ca="1" si="92"/>
        <v>#N/A</v>
      </c>
      <c r="AJ604" s="26" t="e">
        <f t="shared" ca="1" si="99"/>
        <v>#N/A</v>
      </c>
    </row>
    <row r="605" spans="1:36" x14ac:dyDescent="0.25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3"/>
      <c r="O605" s="32">
        <f t="shared" si="93"/>
        <v>0</v>
      </c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15">
        <f t="shared" si="94"/>
        <v>0</v>
      </c>
      <c r="AA605" s="15">
        <f>SUM(Z$3:Z605)</f>
        <v>257</v>
      </c>
      <c r="AB605" s="37">
        <f t="shared" si="95"/>
        <v>620</v>
      </c>
      <c r="AC605" s="37">
        <f>COUNTIF(AB$3:AB605,AB605)</f>
        <v>346</v>
      </c>
      <c r="AD605" s="15" t="e">
        <f t="shared" ca="1" si="90"/>
        <v>#N/A</v>
      </c>
      <c r="AE605" s="37" t="e">
        <f t="shared" ca="1" si="96"/>
        <v>#VALUE!</v>
      </c>
      <c r="AF605" s="15" t="str">
        <f t="shared" ca="1" si="91"/>
        <v>无</v>
      </c>
      <c r="AG605" s="15" t="e">
        <f t="shared" ca="1" si="97"/>
        <v>#N/A</v>
      </c>
      <c r="AH605" s="15" t="str">
        <f t="shared" ca="1" si="98"/>
        <v>{0}</v>
      </c>
      <c r="AI605" s="15" t="e">
        <f t="shared" ca="1" si="92"/>
        <v>#N/A</v>
      </c>
      <c r="AJ605" s="26" t="e">
        <f t="shared" ca="1" si="99"/>
        <v>#N/A</v>
      </c>
    </row>
    <row r="606" spans="1:36" x14ac:dyDescent="0.25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3"/>
      <c r="O606" s="32">
        <f t="shared" si="93"/>
        <v>0</v>
      </c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15">
        <f t="shared" si="94"/>
        <v>0</v>
      </c>
      <c r="AA606" s="15">
        <f>SUM(Z$3:Z606)</f>
        <v>257</v>
      </c>
      <c r="AB606" s="37">
        <f t="shared" si="95"/>
        <v>620</v>
      </c>
      <c r="AC606" s="37">
        <f>COUNTIF(AB$3:AB606,AB606)</f>
        <v>347</v>
      </c>
      <c r="AD606" s="15" t="e">
        <f t="shared" ca="1" si="90"/>
        <v>#N/A</v>
      </c>
      <c r="AE606" s="37" t="e">
        <f t="shared" ca="1" si="96"/>
        <v>#VALUE!</v>
      </c>
      <c r="AF606" s="15" t="str">
        <f t="shared" ca="1" si="91"/>
        <v>无</v>
      </c>
      <c r="AG606" s="15" t="e">
        <f t="shared" ca="1" si="97"/>
        <v>#N/A</v>
      </c>
      <c r="AH606" s="15" t="str">
        <f t="shared" ca="1" si="98"/>
        <v>{0}</v>
      </c>
      <c r="AI606" s="15" t="e">
        <f t="shared" ca="1" si="92"/>
        <v>#N/A</v>
      </c>
      <c r="AJ606" s="26" t="e">
        <f t="shared" ca="1" si="99"/>
        <v>#N/A</v>
      </c>
    </row>
    <row r="607" spans="1:36" x14ac:dyDescent="0.25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3"/>
      <c r="O607" s="32">
        <f t="shared" si="93"/>
        <v>0</v>
      </c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15">
        <f t="shared" si="94"/>
        <v>0</v>
      </c>
      <c r="AA607" s="15">
        <f>SUM(Z$3:Z607)</f>
        <v>257</v>
      </c>
      <c r="AB607" s="37">
        <f t="shared" si="95"/>
        <v>620</v>
      </c>
      <c r="AC607" s="37">
        <f>COUNTIF(AB$3:AB607,AB607)</f>
        <v>348</v>
      </c>
      <c r="AD607" s="15" t="e">
        <f t="shared" ca="1" si="90"/>
        <v>#N/A</v>
      </c>
      <c r="AE607" s="37" t="e">
        <f t="shared" ca="1" si="96"/>
        <v>#VALUE!</v>
      </c>
      <c r="AF607" s="15" t="str">
        <f t="shared" ca="1" si="91"/>
        <v>无</v>
      </c>
      <c r="AG607" s="15" t="e">
        <f t="shared" ca="1" si="97"/>
        <v>#N/A</v>
      </c>
      <c r="AH607" s="15" t="str">
        <f t="shared" ca="1" si="98"/>
        <v>{0}</v>
      </c>
      <c r="AI607" s="15" t="e">
        <f t="shared" ca="1" si="92"/>
        <v>#N/A</v>
      </c>
      <c r="AJ607" s="26" t="e">
        <f t="shared" ca="1" si="99"/>
        <v>#N/A</v>
      </c>
    </row>
    <row r="608" spans="1:36" x14ac:dyDescent="0.25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3"/>
      <c r="O608" s="32">
        <f t="shared" si="93"/>
        <v>0</v>
      </c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15">
        <f t="shared" si="94"/>
        <v>0</v>
      </c>
      <c r="AA608" s="15">
        <f>SUM(Z$3:Z608)</f>
        <v>257</v>
      </c>
      <c r="AB608" s="37">
        <f t="shared" si="95"/>
        <v>620</v>
      </c>
      <c r="AC608" s="37">
        <f>COUNTIF(AB$3:AB608,AB608)</f>
        <v>349</v>
      </c>
      <c r="AD608" s="15" t="e">
        <f t="shared" ca="1" si="90"/>
        <v>#N/A</v>
      </c>
      <c r="AE608" s="37" t="e">
        <f t="shared" ca="1" si="96"/>
        <v>#VALUE!</v>
      </c>
      <c r="AF608" s="15" t="str">
        <f t="shared" ca="1" si="91"/>
        <v>无</v>
      </c>
      <c r="AG608" s="15" t="e">
        <f t="shared" ca="1" si="97"/>
        <v>#N/A</v>
      </c>
      <c r="AH608" s="15" t="str">
        <f t="shared" ca="1" si="98"/>
        <v>{0}</v>
      </c>
      <c r="AI608" s="15" t="e">
        <f t="shared" ca="1" si="92"/>
        <v>#N/A</v>
      </c>
      <c r="AJ608" s="26" t="e">
        <f t="shared" ca="1" si="99"/>
        <v>#N/A</v>
      </c>
    </row>
    <row r="609" spans="1:36" x14ac:dyDescent="0.25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3"/>
      <c r="O609" s="32">
        <f t="shared" si="93"/>
        <v>0</v>
      </c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15">
        <f t="shared" si="94"/>
        <v>0</v>
      </c>
      <c r="AA609" s="15">
        <f>SUM(Z$3:Z609)</f>
        <v>257</v>
      </c>
      <c r="AB609" s="37">
        <f t="shared" si="95"/>
        <v>620</v>
      </c>
      <c r="AC609" s="37">
        <f>COUNTIF(AB$3:AB609,AB609)</f>
        <v>350</v>
      </c>
      <c r="AD609" s="15" t="e">
        <f t="shared" ca="1" si="90"/>
        <v>#N/A</v>
      </c>
      <c r="AE609" s="37" t="e">
        <f t="shared" ca="1" si="96"/>
        <v>#VALUE!</v>
      </c>
      <c r="AF609" s="15" t="str">
        <f t="shared" ca="1" si="91"/>
        <v>无</v>
      </c>
      <c r="AG609" s="15" t="e">
        <f t="shared" ca="1" si="97"/>
        <v>#N/A</v>
      </c>
      <c r="AH609" s="15" t="str">
        <f t="shared" ca="1" si="98"/>
        <v>{0}</v>
      </c>
      <c r="AI609" s="15" t="e">
        <f t="shared" ca="1" si="92"/>
        <v>#N/A</v>
      </c>
      <c r="AJ609" s="26" t="e">
        <f t="shared" ca="1" si="99"/>
        <v>#N/A</v>
      </c>
    </row>
    <row r="610" spans="1:36" x14ac:dyDescent="0.25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3"/>
      <c r="O610" s="32">
        <f t="shared" si="93"/>
        <v>0</v>
      </c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15">
        <f t="shared" si="94"/>
        <v>0</v>
      </c>
      <c r="AA610" s="15">
        <f>SUM(Z$3:Z610)</f>
        <v>257</v>
      </c>
      <c r="AB610" s="37">
        <f t="shared" si="95"/>
        <v>620</v>
      </c>
      <c r="AC610" s="37">
        <f>COUNTIF(AB$3:AB610,AB610)</f>
        <v>351</v>
      </c>
      <c r="AD610" s="15" t="e">
        <f t="shared" ca="1" si="90"/>
        <v>#N/A</v>
      </c>
      <c r="AE610" s="37" t="e">
        <f t="shared" ca="1" si="96"/>
        <v>#VALUE!</v>
      </c>
      <c r="AF610" s="15" t="str">
        <f t="shared" ca="1" si="91"/>
        <v>无</v>
      </c>
      <c r="AG610" s="15" t="e">
        <f t="shared" ca="1" si="97"/>
        <v>#N/A</v>
      </c>
      <c r="AH610" s="15" t="str">
        <f t="shared" ca="1" si="98"/>
        <v>{0}</v>
      </c>
      <c r="AI610" s="15" t="e">
        <f t="shared" ca="1" si="92"/>
        <v>#N/A</v>
      </c>
      <c r="AJ610" s="26" t="e">
        <f t="shared" ca="1" si="99"/>
        <v>#N/A</v>
      </c>
    </row>
    <row r="611" spans="1:36" x14ac:dyDescent="0.25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3"/>
      <c r="O611" s="32">
        <f t="shared" si="93"/>
        <v>0</v>
      </c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15">
        <f t="shared" si="94"/>
        <v>0</v>
      </c>
      <c r="AA611" s="15">
        <f>SUM(Z$3:Z611)</f>
        <v>257</v>
      </c>
      <c r="AB611" s="37">
        <f t="shared" si="95"/>
        <v>620</v>
      </c>
      <c r="AC611" s="37">
        <f>COUNTIF(AB$3:AB611,AB611)</f>
        <v>352</v>
      </c>
      <c r="AD611" s="15" t="e">
        <f t="shared" ca="1" si="90"/>
        <v>#N/A</v>
      </c>
      <c r="AE611" s="37" t="e">
        <f t="shared" ca="1" si="96"/>
        <v>#VALUE!</v>
      </c>
      <c r="AF611" s="15" t="str">
        <f t="shared" ca="1" si="91"/>
        <v>无</v>
      </c>
      <c r="AG611" s="15" t="e">
        <f t="shared" ca="1" si="97"/>
        <v>#N/A</v>
      </c>
      <c r="AH611" s="15" t="str">
        <f t="shared" ca="1" si="98"/>
        <v>{0}</v>
      </c>
      <c r="AI611" s="15" t="e">
        <f t="shared" ca="1" si="92"/>
        <v>#N/A</v>
      </c>
      <c r="AJ611" s="26" t="e">
        <f t="shared" ca="1" si="99"/>
        <v>#N/A</v>
      </c>
    </row>
    <row r="612" spans="1:36" x14ac:dyDescent="0.25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3"/>
      <c r="O612" s="32">
        <f t="shared" si="93"/>
        <v>0</v>
      </c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15">
        <f t="shared" si="94"/>
        <v>0</v>
      </c>
      <c r="AA612" s="15">
        <f>SUM(Z$3:Z612)</f>
        <v>257</v>
      </c>
      <c r="AB612" s="37">
        <f t="shared" si="95"/>
        <v>620</v>
      </c>
      <c r="AC612" s="37">
        <f>COUNTIF(AB$3:AB612,AB612)</f>
        <v>353</v>
      </c>
      <c r="AD612" s="15" t="e">
        <f t="shared" ca="1" si="90"/>
        <v>#N/A</v>
      </c>
      <c r="AE612" s="37" t="e">
        <f t="shared" ca="1" si="96"/>
        <v>#VALUE!</v>
      </c>
      <c r="AF612" s="15" t="str">
        <f t="shared" ca="1" si="91"/>
        <v>无</v>
      </c>
      <c r="AG612" s="15" t="e">
        <f t="shared" ca="1" si="97"/>
        <v>#N/A</v>
      </c>
      <c r="AH612" s="15" t="str">
        <f t="shared" ca="1" si="98"/>
        <v>{0}</v>
      </c>
      <c r="AI612" s="15" t="e">
        <f t="shared" ca="1" si="92"/>
        <v>#N/A</v>
      </c>
      <c r="AJ612" s="26" t="e">
        <f t="shared" ca="1" si="99"/>
        <v>#N/A</v>
      </c>
    </row>
    <row r="613" spans="1:36" x14ac:dyDescent="0.25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3"/>
      <c r="O613" s="32">
        <f t="shared" si="93"/>
        <v>0</v>
      </c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15">
        <f t="shared" si="94"/>
        <v>0</v>
      </c>
      <c r="AA613" s="15">
        <f>SUM(Z$3:Z613)</f>
        <v>257</v>
      </c>
      <c r="AB613" s="37">
        <f t="shared" si="95"/>
        <v>620</v>
      </c>
      <c r="AC613" s="37">
        <f>COUNTIF(AB$3:AB613,AB613)</f>
        <v>354</v>
      </c>
      <c r="AD613" s="15" t="e">
        <f t="shared" ca="1" si="90"/>
        <v>#N/A</v>
      </c>
      <c r="AE613" s="37" t="e">
        <f t="shared" ca="1" si="96"/>
        <v>#VALUE!</v>
      </c>
      <c r="AF613" s="15" t="str">
        <f t="shared" ca="1" si="91"/>
        <v>无</v>
      </c>
      <c r="AG613" s="15" t="e">
        <f t="shared" ca="1" si="97"/>
        <v>#N/A</v>
      </c>
      <c r="AH613" s="15" t="str">
        <f t="shared" ca="1" si="98"/>
        <v>{0}</v>
      </c>
      <c r="AI613" s="15" t="e">
        <f t="shared" ca="1" si="92"/>
        <v>#N/A</v>
      </c>
      <c r="AJ613" s="26" t="e">
        <f t="shared" ca="1" si="99"/>
        <v>#N/A</v>
      </c>
    </row>
    <row r="614" spans="1:36" x14ac:dyDescent="0.25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3"/>
      <c r="O614" s="32">
        <f t="shared" si="93"/>
        <v>0</v>
      </c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15">
        <f t="shared" si="94"/>
        <v>0</v>
      </c>
      <c r="AA614" s="15">
        <f>SUM(Z$3:Z614)</f>
        <v>257</v>
      </c>
      <c r="AB614" s="37">
        <f t="shared" si="95"/>
        <v>620</v>
      </c>
      <c r="AC614" s="37">
        <f>COUNTIF(AB$3:AB614,AB614)</f>
        <v>355</v>
      </c>
      <c r="AD614" s="15" t="e">
        <f t="shared" ca="1" si="90"/>
        <v>#N/A</v>
      </c>
      <c r="AE614" s="37" t="e">
        <f t="shared" ca="1" si="96"/>
        <v>#VALUE!</v>
      </c>
      <c r="AF614" s="15" t="str">
        <f t="shared" ca="1" si="91"/>
        <v>无</v>
      </c>
      <c r="AG614" s="15" t="e">
        <f t="shared" ca="1" si="97"/>
        <v>#N/A</v>
      </c>
      <c r="AH614" s="15" t="str">
        <f t="shared" ca="1" si="98"/>
        <v>{0}</v>
      </c>
      <c r="AI614" s="15" t="e">
        <f t="shared" ca="1" si="92"/>
        <v>#N/A</v>
      </c>
      <c r="AJ614" s="26" t="e">
        <f t="shared" ca="1" si="99"/>
        <v>#N/A</v>
      </c>
    </row>
    <row r="615" spans="1:36" x14ac:dyDescent="0.25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3"/>
      <c r="O615" s="32">
        <f t="shared" si="93"/>
        <v>0</v>
      </c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15">
        <f t="shared" si="94"/>
        <v>0</v>
      </c>
      <c r="AA615" s="15">
        <f>SUM(Z$3:Z615)</f>
        <v>257</v>
      </c>
      <c r="AB615" s="37">
        <f t="shared" si="95"/>
        <v>620</v>
      </c>
      <c r="AC615" s="37">
        <f>COUNTIF(AB$3:AB615,AB615)</f>
        <v>356</v>
      </c>
      <c r="AD615" s="15" t="e">
        <f t="shared" ca="1" si="90"/>
        <v>#N/A</v>
      </c>
      <c r="AE615" s="37" t="e">
        <f t="shared" ca="1" si="96"/>
        <v>#VALUE!</v>
      </c>
      <c r="AF615" s="15" t="str">
        <f t="shared" ca="1" si="91"/>
        <v>无</v>
      </c>
      <c r="AG615" s="15" t="e">
        <f t="shared" ca="1" si="97"/>
        <v>#N/A</v>
      </c>
      <c r="AH615" s="15" t="str">
        <f t="shared" ca="1" si="98"/>
        <v>{0}</v>
      </c>
      <c r="AI615" s="15" t="e">
        <f t="shared" ca="1" si="92"/>
        <v>#N/A</v>
      </c>
      <c r="AJ615" s="26" t="e">
        <f t="shared" ca="1" si="99"/>
        <v>#N/A</v>
      </c>
    </row>
    <row r="616" spans="1:36" x14ac:dyDescent="0.25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3"/>
      <c r="O616" s="32">
        <f t="shared" si="93"/>
        <v>0</v>
      </c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15">
        <f t="shared" si="94"/>
        <v>0</v>
      </c>
      <c r="AA616" s="15">
        <f>SUM(Z$3:Z616)</f>
        <v>257</v>
      </c>
      <c r="AB616" s="37">
        <f t="shared" si="95"/>
        <v>620</v>
      </c>
      <c r="AC616" s="37">
        <f>COUNTIF(AB$3:AB616,AB616)</f>
        <v>357</v>
      </c>
      <c r="AD616" s="15" t="e">
        <f t="shared" ca="1" si="90"/>
        <v>#N/A</v>
      </c>
      <c r="AE616" s="37" t="e">
        <f t="shared" ca="1" si="96"/>
        <v>#VALUE!</v>
      </c>
      <c r="AF616" s="15" t="str">
        <f t="shared" ca="1" si="91"/>
        <v>无</v>
      </c>
      <c r="AG616" s="15" t="e">
        <f t="shared" ca="1" si="97"/>
        <v>#N/A</v>
      </c>
      <c r="AH616" s="15" t="str">
        <f t="shared" ca="1" si="98"/>
        <v>{0}</v>
      </c>
      <c r="AI616" s="15" t="e">
        <f t="shared" ca="1" si="92"/>
        <v>#N/A</v>
      </c>
      <c r="AJ616" s="26" t="e">
        <f t="shared" ca="1" si="99"/>
        <v>#N/A</v>
      </c>
    </row>
    <row r="617" spans="1:36" x14ac:dyDescent="0.25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3"/>
      <c r="O617" s="32">
        <f t="shared" si="93"/>
        <v>0</v>
      </c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15">
        <f t="shared" si="94"/>
        <v>0</v>
      </c>
      <c r="AA617" s="15">
        <f>SUM(Z$3:Z617)</f>
        <v>257</v>
      </c>
      <c r="AB617" s="37">
        <f t="shared" si="95"/>
        <v>620</v>
      </c>
      <c r="AC617" s="37">
        <f>COUNTIF(AB$3:AB617,AB617)</f>
        <v>358</v>
      </c>
      <c r="AD617" s="15" t="e">
        <f t="shared" ca="1" si="90"/>
        <v>#N/A</v>
      </c>
      <c r="AE617" s="37" t="e">
        <f t="shared" ca="1" si="96"/>
        <v>#VALUE!</v>
      </c>
      <c r="AF617" s="15" t="str">
        <f t="shared" ca="1" si="91"/>
        <v>无</v>
      </c>
      <c r="AG617" s="15" t="e">
        <f t="shared" ca="1" si="97"/>
        <v>#N/A</v>
      </c>
      <c r="AH617" s="15" t="str">
        <f t="shared" ca="1" si="98"/>
        <v>{0}</v>
      </c>
      <c r="AI617" s="15" t="e">
        <f t="shared" ca="1" si="92"/>
        <v>#N/A</v>
      </c>
      <c r="AJ617" s="26" t="e">
        <f t="shared" ca="1" si="99"/>
        <v>#N/A</v>
      </c>
    </row>
    <row r="618" spans="1:36" x14ac:dyDescent="0.25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3"/>
      <c r="O618" s="32">
        <f t="shared" si="93"/>
        <v>0</v>
      </c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15">
        <f t="shared" si="94"/>
        <v>0</v>
      </c>
      <c r="AA618" s="15">
        <f>SUM(Z$3:Z618)</f>
        <v>257</v>
      </c>
      <c r="AB618" s="37">
        <f t="shared" si="95"/>
        <v>620</v>
      </c>
      <c r="AC618" s="37">
        <f>COUNTIF(AB$3:AB618,AB618)</f>
        <v>359</v>
      </c>
      <c r="AD618" s="15" t="e">
        <f t="shared" ca="1" si="90"/>
        <v>#N/A</v>
      </c>
      <c r="AE618" s="37" t="e">
        <f t="shared" ca="1" si="96"/>
        <v>#VALUE!</v>
      </c>
      <c r="AF618" s="15" t="str">
        <f t="shared" ca="1" si="91"/>
        <v>无</v>
      </c>
      <c r="AG618" s="15" t="e">
        <f t="shared" ca="1" si="97"/>
        <v>#N/A</v>
      </c>
      <c r="AH618" s="15" t="str">
        <f t="shared" ca="1" si="98"/>
        <v>{0}</v>
      </c>
      <c r="AI618" s="15" t="e">
        <f t="shared" ca="1" si="92"/>
        <v>#N/A</v>
      </c>
      <c r="AJ618" s="26" t="e">
        <f t="shared" ca="1" si="99"/>
        <v>#N/A</v>
      </c>
    </row>
    <row r="619" spans="1:36" x14ac:dyDescent="0.25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3"/>
      <c r="O619" s="32">
        <f t="shared" si="93"/>
        <v>0</v>
      </c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15">
        <f t="shared" si="94"/>
        <v>0</v>
      </c>
      <c r="AA619" s="15">
        <f>SUM(Z$3:Z619)</f>
        <v>257</v>
      </c>
      <c r="AB619" s="37">
        <f t="shared" si="95"/>
        <v>620</v>
      </c>
      <c r="AC619" s="37">
        <f>COUNTIF(AB$3:AB619,AB619)</f>
        <v>360</v>
      </c>
      <c r="AD619" s="15" t="e">
        <f t="shared" ca="1" si="90"/>
        <v>#N/A</v>
      </c>
      <c r="AE619" s="37" t="e">
        <f t="shared" ca="1" si="96"/>
        <v>#VALUE!</v>
      </c>
      <c r="AF619" s="15" t="str">
        <f t="shared" ca="1" si="91"/>
        <v>无</v>
      </c>
      <c r="AG619" s="15" t="e">
        <f t="shared" ca="1" si="97"/>
        <v>#N/A</v>
      </c>
      <c r="AH619" s="15" t="str">
        <f t="shared" ca="1" si="98"/>
        <v>{0}</v>
      </c>
      <c r="AI619" s="15" t="e">
        <f t="shared" ca="1" si="92"/>
        <v>#N/A</v>
      </c>
      <c r="AJ619" s="26" t="e">
        <f t="shared" ca="1" si="99"/>
        <v>#N/A</v>
      </c>
    </row>
    <row r="620" spans="1:36" ht="15" thickBot="1" x14ac:dyDescent="0.3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6"/>
      <c r="O620" s="32">
        <f t="shared" si="93"/>
        <v>0</v>
      </c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15">
        <f t="shared" si="94"/>
        <v>0</v>
      </c>
      <c r="AA620" s="15">
        <f>SUM(Z$3:Z620)</f>
        <v>257</v>
      </c>
      <c r="AB620" s="37">
        <f t="shared" si="95"/>
        <v>620</v>
      </c>
      <c r="AC620" s="37">
        <f>COUNTIF(AB$3:AB620,AB620)</f>
        <v>361</v>
      </c>
      <c r="AD620" s="15" t="e">
        <f t="shared" ca="1" si="90"/>
        <v>#N/A</v>
      </c>
      <c r="AE620" s="37" t="e">
        <f t="shared" ca="1" si="96"/>
        <v>#VALUE!</v>
      </c>
      <c r="AF620" s="15" t="str">
        <f t="shared" ca="1" si="91"/>
        <v>无</v>
      </c>
      <c r="AG620" s="15" t="e">
        <f t="shared" ca="1" si="97"/>
        <v>#N/A</v>
      </c>
      <c r="AH620" s="15" t="str">
        <f t="shared" ca="1" si="98"/>
        <v>{0}</v>
      </c>
      <c r="AI620" s="15" t="e">
        <f t="shared" ca="1" si="92"/>
        <v>#N/A</v>
      </c>
      <c r="AJ620" s="26" t="e">
        <f t="shared" ca="1" si="99"/>
        <v>#N/A</v>
      </c>
    </row>
  </sheetData>
  <phoneticPr fontId="1" type="noConversion"/>
  <conditionalFormatting sqref="P3:Y620">
    <cfRule type="expression" dxfId="0" priority="1">
      <formula>IF(AND(D3&lt;&gt;"",P3="",C3&lt;&gt;"是"),TRUE,FALSE)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E16"/>
  <sheetViews>
    <sheetView workbookViewId="0">
      <selection activeCell="I17" sqref="I17"/>
    </sheetView>
  </sheetViews>
  <sheetFormatPr defaultColWidth="9" defaultRowHeight="14.4" x14ac:dyDescent="0.25"/>
  <cols>
    <col min="1" max="1" width="9" style="1"/>
    <col min="2" max="2" width="13.33203125" style="1" bestFit="1" customWidth="1"/>
    <col min="3" max="16384" width="9" style="1"/>
  </cols>
  <sheetData>
    <row r="1" spans="1:5" x14ac:dyDescent="0.25">
      <c r="A1" s="10" t="s">
        <v>34</v>
      </c>
      <c r="B1" s="10" t="s">
        <v>35</v>
      </c>
      <c r="E1" s="34" t="s">
        <v>69</v>
      </c>
    </row>
    <row r="2" spans="1:5" x14ac:dyDescent="0.25">
      <c r="A2" s="11">
        <v>1</v>
      </c>
      <c r="B2" s="38" t="s">
        <v>148</v>
      </c>
      <c r="E2" s="34" t="s">
        <v>71</v>
      </c>
    </row>
    <row r="3" spans="1:5" x14ac:dyDescent="0.25">
      <c r="A3" s="11">
        <v>2</v>
      </c>
      <c r="B3" s="38" t="s">
        <v>33</v>
      </c>
    </row>
    <row r="4" spans="1:5" x14ac:dyDescent="0.25">
      <c r="A4" s="11">
        <v>3</v>
      </c>
      <c r="B4" s="38" t="s">
        <v>144</v>
      </c>
    </row>
    <row r="5" spans="1:5" x14ac:dyDescent="0.25">
      <c r="A5" s="11">
        <v>4</v>
      </c>
      <c r="B5" s="38" t="s">
        <v>32</v>
      </c>
    </row>
    <row r="6" spans="1:5" x14ac:dyDescent="0.25">
      <c r="A6" s="11">
        <v>5</v>
      </c>
      <c r="B6" s="38" t="s">
        <v>160</v>
      </c>
    </row>
    <row r="7" spans="1:5" x14ac:dyDescent="0.25">
      <c r="A7" s="11">
        <v>6</v>
      </c>
      <c r="B7" s="38" t="s">
        <v>183</v>
      </c>
    </row>
    <row r="8" spans="1:5" x14ac:dyDescent="0.25">
      <c r="A8" s="11">
        <v>7</v>
      </c>
      <c r="B8" s="38" t="s">
        <v>146</v>
      </c>
    </row>
    <row r="9" spans="1:5" x14ac:dyDescent="0.25">
      <c r="A9" s="11">
        <v>8</v>
      </c>
      <c r="B9" s="38" t="s">
        <v>185</v>
      </c>
    </row>
    <row r="10" spans="1:5" x14ac:dyDescent="0.25">
      <c r="A10" s="11">
        <v>9</v>
      </c>
      <c r="B10" s="38" t="s">
        <v>257</v>
      </c>
    </row>
    <row r="11" spans="1:5" x14ac:dyDescent="0.25">
      <c r="A11" s="11">
        <v>10</v>
      </c>
      <c r="B11" s="38" t="s">
        <v>258</v>
      </c>
    </row>
    <row r="12" spans="1:5" x14ac:dyDescent="0.25">
      <c r="A12" s="11">
        <v>11</v>
      </c>
      <c r="B12" s="38" t="s">
        <v>259</v>
      </c>
    </row>
    <row r="13" spans="1:5" x14ac:dyDescent="0.25">
      <c r="A13" s="11">
        <v>12</v>
      </c>
      <c r="B13" s="38" t="s">
        <v>260</v>
      </c>
    </row>
    <row r="14" spans="1:5" x14ac:dyDescent="0.25">
      <c r="A14" s="11">
        <v>13</v>
      </c>
      <c r="B14" s="38" t="s">
        <v>261</v>
      </c>
    </row>
    <row r="15" spans="1:5" x14ac:dyDescent="0.25">
      <c r="A15" s="11">
        <v>14</v>
      </c>
      <c r="B15" s="38" t="s">
        <v>262</v>
      </c>
    </row>
    <row r="16" spans="1:5" x14ac:dyDescent="0.25">
      <c r="A16" s="11">
        <v>15</v>
      </c>
      <c r="B16" s="38" t="s">
        <v>263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drop</vt:lpstr>
      <vt:lpstr>dropdetail</vt:lpstr>
      <vt:lpstr>功能掉落明细</vt:lpstr>
      <vt:lpstr>掉落细节配置</vt:lpstr>
      <vt:lpstr>参数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2017-11-27T14:17:07Z</dcterms:modified>
</cp:coreProperties>
</file>