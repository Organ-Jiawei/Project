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codeName="ThisWorkbook" defaultThemeVersion="124226"/>
  <bookViews>
    <workbookView xWindow="240" yWindow="105" windowWidth="14805" windowHeight="8010" activeTab="3"/>
  </bookViews>
  <sheets>
    <sheet name="系统能力" sheetId="10" r:id="rId1"/>
    <sheet name="物品价值" sheetId="4" r:id="rId2"/>
    <sheet name="英雄经验" sheetId="8" r:id="rId3"/>
    <sheet name="三魂七魄" sheetId="9" r:id="rId4"/>
    <sheet name="装备" sheetId="11" r:id="rId5"/>
    <sheet name="五色石" sheetId="12" r:id="rId6"/>
  </sheets>
  <calcPr calcId="144525"/>
</workbook>
</file>

<file path=xl/calcChain.xml><?xml version="1.0" encoding="utf-8"?>
<calcChain xmlns="http://schemas.openxmlformats.org/spreadsheetml/2006/main">
  <c r="B10" i="11" l="1"/>
  <c r="G10" i="11" s="1"/>
  <c r="B11" i="11"/>
  <c r="H11" i="11" s="1"/>
  <c r="B12" i="11"/>
  <c r="G12" i="11" s="1"/>
  <c r="B13" i="11"/>
  <c r="B9" i="11"/>
  <c r="H9" i="11" s="1"/>
  <c r="H13" i="11"/>
  <c r="F11" i="11"/>
  <c r="H10" i="11"/>
  <c r="F9" i="11"/>
  <c r="E9" i="11"/>
  <c r="D9" i="11"/>
  <c r="C11" i="11" l="1"/>
  <c r="E10" i="11"/>
  <c r="G9" i="11"/>
  <c r="F10" i="11"/>
  <c r="G11" i="11"/>
  <c r="H12" i="11"/>
  <c r="C13" i="11"/>
  <c r="C12" i="11"/>
  <c r="D13" i="11"/>
  <c r="D12" i="11"/>
  <c r="E13" i="11"/>
  <c r="C10" i="11"/>
  <c r="D11" i="11"/>
  <c r="E12" i="11"/>
  <c r="F13" i="11"/>
  <c r="C9" i="11"/>
  <c r="D10" i="11"/>
  <c r="E11" i="11"/>
  <c r="F12" i="11"/>
  <c r="G13" i="11"/>
  <c r="D15" i="10"/>
  <c r="B8" i="12"/>
  <c r="C8" i="12" s="1"/>
  <c r="D8" i="12" s="1"/>
  <c r="C4" i="4" l="1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" i="4"/>
  <c r="C2" i="4"/>
  <c r="I6" i="8"/>
  <c r="D10" i="10"/>
  <c r="B5" i="12"/>
  <c r="C5" i="12" s="1"/>
  <c r="D5" i="12" s="1"/>
  <c r="D12" i="10" s="1"/>
  <c r="B6" i="12"/>
  <c r="C6" i="12" s="1"/>
  <c r="D6" i="12" s="1"/>
  <c r="D13" i="10" s="1"/>
  <c r="B7" i="12"/>
  <c r="C7" i="12" s="1"/>
  <c r="D7" i="12" s="1"/>
  <c r="D14" i="10" s="1"/>
  <c r="B4" i="12"/>
  <c r="C4" i="12" s="1"/>
  <c r="D4" i="12" s="1"/>
  <c r="D11" i="10" s="1"/>
  <c r="B3" i="12"/>
  <c r="C3" i="12" s="1"/>
  <c r="D3" i="12" s="1"/>
  <c r="E4" i="11" l="1"/>
  <c r="K4" i="11" s="1"/>
  <c r="H4" i="11"/>
  <c r="N4" i="11" s="1"/>
  <c r="C5" i="11"/>
  <c r="I5" i="11" s="1"/>
  <c r="F5" i="11"/>
  <c r="L5" i="11" s="1"/>
  <c r="G5" i="11"/>
  <c r="M5" i="11" s="1"/>
  <c r="C6" i="11"/>
  <c r="I6" i="11" s="1"/>
  <c r="D6" i="11"/>
  <c r="J6" i="11" s="1"/>
  <c r="E6" i="11"/>
  <c r="K6" i="11" s="1"/>
  <c r="H6" i="11"/>
  <c r="N6" i="11" s="1"/>
  <c r="C3" i="11"/>
  <c r="I3" i="11" s="1"/>
  <c r="B7" i="11"/>
  <c r="H7" i="11" s="1"/>
  <c r="N7" i="11" s="1"/>
  <c r="B6" i="11"/>
  <c r="F6" i="11" s="1"/>
  <c r="L6" i="11" s="1"/>
  <c r="B5" i="11"/>
  <c r="D5" i="11" s="1"/>
  <c r="J5" i="11" s="1"/>
  <c r="B4" i="11"/>
  <c r="D4" i="11" s="1"/>
  <c r="J4" i="11" s="1"/>
  <c r="B3" i="11"/>
  <c r="E3" i="11" s="1"/>
  <c r="K3" i="11" s="1"/>
  <c r="Q12" i="9"/>
  <c r="L3" i="9"/>
  <c r="G7" i="11" l="1"/>
  <c r="M7" i="11" s="1"/>
  <c r="F7" i="11"/>
  <c r="L7" i="11" s="1"/>
  <c r="H3" i="11"/>
  <c r="N3" i="11" s="1"/>
  <c r="E7" i="11"/>
  <c r="K7" i="11" s="1"/>
  <c r="G4" i="11"/>
  <c r="M4" i="11" s="1"/>
  <c r="G3" i="11"/>
  <c r="M3" i="11" s="1"/>
  <c r="D7" i="11"/>
  <c r="J7" i="11" s="1"/>
  <c r="H5" i="11"/>
  <c r="N5" i="11" s="1"/>
  <c r="F4" i="11"/>
  <c r="L4" i="11" s="1"/>
  <c r="F3" i="11"/>
  <c r="L3" i="11" s="1"/>
  <c r="D3" i="11"/>
  <c r="J3" i="11" s="1"/>
  <c r="G6" i="11"/>
  <c r="M6" i="11" s="1"/>
  <c r="E5" i="11"/>
  <c r="K5" i="11" s="1"/>
  <c r="C4" i="11"/>
  <c r="I4" i="11" s="1"/>
  <c r="C7" i="11"/>
  <c r="I7" i="11" s="1"/>
  <c r="Q4" i="9"/>
  <c r="Q5" i="9"/>
  <c r="Q6" i="9"/>
  <c r="Q7" i="9"/>
  <c r="Q8" i="9"/>
  <c r="Q9" i="9"/>
  <c r="Q10" i="9"/>
  <c r="Q11" i="9"/>
  <c r="Q3" i="9"/>
  <c r="I3" i="9"/>
  <c r="D4" i="9"/>
  <c r="D5" i="9" s="1"/>
  <c r="D6" i="9" s="1"/>
  <c r="D7" i="9" s="1"/>
  <c r="D8" i="9" s="1"/>
  <c r="D9" i="9" s="1"/>
  <c r="D10" i="9" s="1"/>
  <c r="D11" i="9" s="1"/>
  <c r="D12" i="9" s="1"/>
  <c r="D13" i="9" s="1"/>
  <c r="D14" i="9" s="1"/>
  <c r="D15" i="9" s="1"/>
  <c r="D16" i="9" s="1"/>
  <c r="D17" i="9" s="1"/>
  <c r="D18" i="9" s="1"/>
  <c r="D19" i="9" s="1"/>
  <c r="D20" i="9" s="1"/>
  <c r="D21" i="9" s="1"/>
  <c r="D22" i="9" s="1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D50" i="9" s="1"/>
  <c r="D51" i="9" s="1"/>
  <c r="D52" i="9" s="1"/>
  <c r="D53" i="9" s="1"/>
  <c r="D54" i="9" s="1"/>
  <c r="D55" i="9" s="1"/>
  <c r="D56" i="9" s="1"/>
  <c r="D57" i="9" s="1"/>
  <c r="D58" i="9" s="1"/>
  <c r="D59" i="9" s="1"/>
  <c r="D60" i="9" s="1"/>
  <c r="D61" i="9" s="1"/>
  <c r="D62" i="9" s="1"/>
  <c r="D63" i="9" s="1"/>
  <c r="D64" i="9" s="1"/>
  <c r="D65" i="9" s="1"/>
  <c r="D66" i="9" s="1"/>
  <c r="D67" i="9" s="1"/>
  <c r="D68" i="9" s="1"/>
  <c r="D69" i="9" s="1"/>
  <c r="D70" i="9" s="1"/>
  <c r="D71" i="9" s="1"/>
  <c r="D72" i="9" s="1"/>
  <c r="D73" i="9" s="1"/>
  <c r="D74" i="9" s="1"/>
  <c r="D75" i="9" s="1"/>
  <c r="D76" i="9" s="1"/>
  <c r="D77" i="9" s="1"/>
  <c r="D78" i="9" s="1"/>
  <c r="D79" i="9" s="1"/>
  <c r="D80" i="9" s="1"/>
  <c r="D81" i="9" s="1"/>
  <c r="D82" i="9" s="1"/>
  <c r="D83" i="9" s="1"/>
  <c r="D84" i="9" s="1"/>
  <c r="D85" i="9" s="1"/>
  <c r="D86" i="9" s="1"/>
  <c r="D87" i="9" s="1"/>
  <c r="D88" i="9" s="1"/>
  <c r="D89" i="9" s="1"/>
  <c r="D90" i="9" s="1"/>
  <c r="D91" i="9" s="1"/>
  <c r="D92" i="9" s="1"/>
  <c r="D93" i="9" s="1"/>
  <c r="D94" i="9" s="1"/>
  <c r="D95" i="9" s="1"/>
  <c r="D96" i="9" s="1"/>
  <c r="D97" i="9" s="1"/>
  <c r="D98" i="9" s="1"/>
  <c r="D99" i="9" s="1"/>
  <c r="D100" i="9" s="1"/>
  <c r="D101" i="9" s="1"/>
  <c r="D102" i="9" s="1"/>
  <c r="D103" i="9" s="1"/>
  <c r="D104" i="9" s="1"/>
  <c r="D105" i="9" s="1"/>
  <c r="D106" i="9" s="1"/>
  <c r="D107" i="9" s="1"/>
  <c r="D108" i="9" s="1"/>
  <c r="D109" i="9" s="1"/>
  <c r="D110" i="9" s="1"/>
  <c r="D111" i="9" s="1"/>
  <c r="D112" i="9" s="1"/>
  <c r="D113" i="9" s="1"/>
  <c r="B113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4" i="9"/>
  <c r="C4" i="9" s="1"/>
  <c r="B5" i="9"/>
  <c r="C5" i="9" s="1"/>
  <c r="B6" i="9"/>
  <c r="C6" i="9" s="1"/>
  <c r="B7" i="9"/>
  <c r="B8" i="9"/>
  <c r="B9" i="9"/>
  <c r="B10" i="9"/>
  <c r="B11" i="9"/>
  <c r="B12" i="9"/>
  <c r="B3" i="9"/>
  <c r="C3" i="9" s="1"/>
  <c r="G2" i="8"/>
  <c r="I2" i="8" s="1"/>
  <c r="K2" i="8" s="1"/>
  <c r="D2" i="8" s="1"/>
  <c r="C97" i="9" l="1"/>
  <c r="C105" i="9"/>
  <c r="R6" i="9"/>
  <c r="U6" i="9" s="1"/>
  <c r="R7" i="9"/>
  <c r="U7" i="9" s="1"/>
  <c r="R8" i="9"/>
  <c r="U8" i="9" s="1"/>
  <c r="R9" i="9"/>
  <c r="U9" i="9" s="1"/>
  <c r="R11" i="9"/>
  <c r="U11" i="9" s="1"/>
  <c r="R4" i="9"/>
  <c r="U4" i="9" s="1"/>
  <c r="R12" i="9"/>
  <c r="U12" i="9" s="1"/>
  <c r="R5" i="9"/>
  <c r="U5" i="9" s="1"/>
  <c r="R3" i="9"/>
  <c r="U3" i="9" s="1"/>
  <c r="R10" i="9"/>
  <c r="U10" i="9" s="1"/>
  <c r="C12" i="9"/>
  <c r="C10" i="9"/>
  <c r="C9" i="9"/>
  <c r="C8" i="9"/>
  <c r="C85" i="9"/>
  <c r="C45" i="9"/>
  <c r="C100" i="9"/>
  <c r="C76" i="9"/>
  <c r="C52" i="9"/>
  <c r="C28" i="9"/>
  <c r="C112" i="9"/>
  <c r="C95" i="9"/>
  <c r="C86" i="9"/>
  <c r="C93" i="9"/>
  <c r="C61" i="9"/>
  <c r="C108" i="9"/>
  <c r="C92" i="9"/>
  <c r="C68" i="9"/>
  <c r="C44" i="9"/>
  <c r="C36" i="9"/>
  <c r="C89" i="9"/>
  <c r="C81" i="9"/>
  <c r="C73" i="9"/>
  <c r="C65" i="9"/>
  <c r="C57" i="9"/>
  <c r="C49" i="9"/>
  <c r="C41" i="9"/>
  <c r="C33" i="9"/>
  <c r="C25" i="9"/>
  <c r="C17" i="9"/>
  <c r="C113" i="9"/>
  <c r="C88" i="9"/>
  <c r="C80" i="9"/>
  <c r="C72" i="9"/>
  <c r="C64" i="9"/>
  <c r="C56" i="9"/>
  <c r="C48" i="9"/>
  <c r="C40" i="9"/>
  <c r="C32" i="9"/>
  <c r="C24" i="9"/>
  <c r="C16" i="9"/>
  <c r="C111" i="9"/>
  <c r="C79" i="9"/>
  <c r="C71" i="9"/>
  <c r="C63" i="9"/>
  <c r="C55" i="9"/>
  <c r="C47" i="9"/>
  <c r="C39" i="9"/>
  <c r="C31" i="9"/>
  <c r="C23" i="9"/>
  <c r="C15" i="9"/>
  <c r="C104" i="9"/>
  <c r="C103" i="9"/>
  <c r="C102" i="9"/>
  <c r="C78" i="9"/>
  <c r="C70" i="9"/>
  <c r="C62" i="9"/>
  <c r="C54" i="9"/>
  <c r="C46" i="9"/>
  <c r="C38" i="9"/>
  <c r="C30" i="9"/>
  <c r="C22" i="9"/>
  <c r="C14" i="9"/>
  <c r="C96" i="9"/>
  <c r="C110" i="9"/>
  <c r="C109" i="9"/>
  <c r="C77" i="9"/>
  <c r="C53" i="9"/>
  <c r="C37" i="9"/>
  <c r="C29" i="9"/>
  <c r="C21" i="9"/>
  <c r="C13" i="9"/>
  <c r="C11" i="9"/>
  <c r="C87" i="9"/>
  <c r="C94" i="9"/>
  <c r="C101" i="9"/>
  <c r="C69" i="9"/>
  <c r="C58" i="9"/>
  <c r="C84" i="9"/>
  <c r="C60" i="9"/>
  <c r="C20" i="9"/>
  <c r="C91" i="9"/>
  <c r="C35" i="9"/>
  <c r="C90" i="9"/>
  <c r="C34" i="9"/>
  <c r="C7" i="9"/>
  <c r="C75" i="9"/>
  <c r="C19" i="9"/>
  <c r="C98" i="9"/>
  <c r="C18" i="9"/>
  <c r="C107" i="9"/>
  <c r="C67" i="9"/>
  <c r="C27" i="9"/>
  <c r="C82" i="9"/>
  <c r="C26" i="9"/>
  <c r="C59" i="9"/>
  <c r="C66" i="9"/>
  <c r="C50" i="9"/>
  <c r="C99" i="9"/>
  <c r="C43" i="9"/>
  <c r="C106" i="9"/>
  <c r="C42" i="9"/>
  <c r="C83" i="9"/>
  <c r="C51" i="9"/>
  <c r="C74" i="9"/>
  <c r="E2" i="8"/>
  <c r="G3" i="10"/>
  <c r="D4" i="10"/>
  <c r="D5" i="10"/>
  <c r="D6" i="10"/>
  <c r="D7" i="10"/>
  <c r="D8" i="10"/>
  <c r="D9" i="10"/>
  <c r="D3" i="10"/>
  <c r="B3" i="8" l="1"/>
  <c r="B4" i="8" l="1"/>
  <c r="D4" i="8" s="1"/>
  <c r="D3" i="8"/>
  <c r="E4" i="8" l="1"/>
  <c r="E3" i="8"/>
  <c r="B5" i="8"/>
  <c r="D5" i="8" s="1"/>
  <c r="E5" i="8" s="1"/>
  <c r="B6" i="8" l="1"/>
  <c r="D6" i="8" s="1"/>
  <c r="B7" i="8" l="1"/>
  <c r="D7" i="8" s="1"/>
  <c r="E7" i="8" s="1"/>
  <c r="E6" i="8"/>
  <c r="B8" i="8" l="1"/>
  <c r="D8" i="8" s="1"/>
  <c r="E8" i="8" s="1"/>
  <c r="B9" i="8" l="1"/>
  <c r="D9" i="8" s="1"/>
  <c r="E9" i="8" s="1"/>
  <c r="B10" i="8" l="1"/>
  <c r="D10" i="8" s="1"/>
  <c r="E10" i="8" s="1"/>
  <c r="B11" i="8" l="1"/>
  <c r="D11" i="8" s="1"/>
  <c r="E11" i="8" s="1"/>
  <c r="B12" i="8" l="1"/>
  <c r="D12" i="8" s="1"/>
  <c r="E12" i="8" s="1"/>
  <c r="B13" i="8" l="1"/>
  <c r="D13" i="8" s="1"/>
  <c r="E13" i="8" s="1"/>
  <c r="B14" i="8" l="1"/>
  <c r="D14" i="8" s="1"/>
  <c r="E14" i="8" s="1"/>
  <c r="B15" i="8" l="1"/>
  <c r="D15" i="8" s="1"/>
  <c r="E15" i="8" s="1"/>
  <c r="B16" i="8" l="1"/>
  <c r="D16" i="8" s="1"/>
  <c r="E16" i="8" s="1"/>
  <c r="B17" i="8" l="1"/>
  <c r="D17" i="8" s="1"/>
  <c r="E17" i="8" s="1"/>
  <c r="B18" i="8" l="1"/>
  <c r="D18" i="8" s="1"/>
  <c r="E18" i="8" s="1"/>
  <c r="B19" i="8" l="1"/>
  <c r="D19" i="8" s="1"/>
  <c r="E19" i="8" s="1"/>
  <c r="B20" i="8" l="1"/>
  <c r="D20" i="8" s="1"/>
  <c r="E20" i="8" s="1"/>
  <c r="B21" i="8" l="1"/>
  <c r="D21" i="8" s="1"/>
  <c r="E21" i="8" s="1"/>
  <c r="B22" i="8" l="1"/>
  <c r="D22" i="8" s="1"/>
  <c r="E22" i="8" s="1"/>
  <c r="B23" i="8" l="1"/>
  <c r="D23" i="8" s="1"/>
  <c r="E23" i="8" s="1"/>
  <c r="B24" i="8" l="1"/>
  <c r="D24" i="8" s="1"/>
  <c r="E24" i="8" s="1"/>
  <c r="B25" i="8" l="1"/>
  <c r="D25" i="8" s="1"/>
  <c r="E25" i="8" s="1"/>
  <c r="B26" i="8" l="1"/>
  <c r="D26" i="8" s="1"/>
  <c r="E26" i="8" s="1"/>
  <c r="B27" i="8" l="1"/>
  <c r="D27" i="8" s="1"/>
  <c r="E27" i="8" s="1"/>
  <c r="B28" i="8" l="1"/>
  <c r="D28" i="8" s="1"/>
  <c r="E28" i="8" s="1"/>
  <c r="B29" i="8" l="1"/>
  <c r="D29" i="8" s="1"/>
  <c r="E29" i="8" s="1"/>
  <c r="B30" i="8" l="1"/>
  <c r="D30" i="8" s="1"/>
  <c r="E30" i="8" s="1"/>
</calcChain>
</file>

<file path=xl/sharedStrings.xml><?xml version="1.0" encoding="utf-8"?>
<sst xmlns="http://schemas.openxmlformats.org/spreadsheetml/2006/main" count="124" uniqueCount="104">
  <si>
    <t>经验</t>
    <phoneticPr fontId="1" type="noConversion"/>
  </si>
  <si>
    <t>系统</t>
    <phoneticPr fontId="1" type="noConversion"/>
  </si>
  <si>
    <t>阶段等级</t>
    <phoneticPr fontId="1" type="noConversion"/>
  </si>
  <si>
    <t>物品</t>
    <phoneticPr fontId="1" type="noConversion"/>
  </si>
  <si>
    <t>等级</t>
    <phoneticPr fontId="1" type="noConversion"/>
  </si>
  <si>
    <t>递进值</t>
    <phoneticPr fontId="1" type="noConversion"/>
  </si>
  <si>
    <t>彩玉</t>
    <phoneticPr fontId="1" type="noConversion"/>
  </si>
  <si>
    <t>万智币</t>
    <phoneticPr fontId="1" type="noConversion"/>
  </si>
  <si>
    <t>升级</t>
    <phoneticPr fontId="1" type="noConversion"/>
  </si>
  <si>
    <t>魂魄</t>
    <phoneticPr fontId="1" type="noConversion"/>
  </si>
  <si>
    <t>能力权重</t>
    <phoneticPr fontId="1" type="noConversion"/>
  </si>
  <si>
    <t>装备1阶</t>
    <phoneticPr fontId="1" type="noConversion"/>
  </si>
  <si>
    <t>装备2阶</t>
  </si>
  <si>
    <t>装备3阶</t>
  </si>
  <si>
    <t>装备4阶</t>
  </si>
  <si>
    <t>装备5阶</t>
  </si>
  <si>
    <t>价值比</t>
    <phoneticPr fontId="1" type="noConversion"/>
  </si>
  <si>
    <t>价值(RMB)</t>
    <phoneticPr fontId="1" type="noConversion"/>
  </si>
  <si>
    <t>单卡培养(RMB)</t>
    <phoneticPr fontId="1" type="noConversion"/>
  </si>
  <si>
    <t>经验球价格(彩玉)</t>
    <phoneticPr fontId="1" type="noConversion"/>
  </si>
  <si>
    <t>能力价值(彩玉)</t>
    <phoneticPr fontId="1" type="noConversion"/>
  </si>
  <si>
    <t>需求经验球(个)</t>
    <phoneticPr fontId="1" type="noConversion"/>
  </si>
  <si>
    <t>经验球(经验)</t>
    <phoneticPr fontId="1" type="noConversion"/>
  </si>
  <si>
    <t>升级总经验</t>
    <phoneticPr fontId="1" type="noConversion"/>
  </si>
  <si>
    <t>经验占比</t>
    <phoneticPr fontId="1" type="noConversion"/>
  </si>
  <si>
    <t>经验进度</t>
    <phoneticPr fontId="1" type="noConversion"/>
  </si>
  <si>
    <t>魂魄等级</t>
    <phoneticPr fontId="1" type="noConversion"/>
  </si>
  <si>
    <t>魂魄阶段</t>
    <phoneticPr fontId="1" type="noConversion"/>
  </si>
  <si>
    <t>成长倍率</t>
    <phoneticPr fontId="1" type="noConversion"/>
  </si>
  <si>
    <t>装备等阶</t>
    <phoneticPr fontId="1" type="noConversion"/>
  </si>
  <si>
    <t>彩玉/RMB</t>
    <phoneticPr fontId="1" type="noConversion"/>
  </si>
  <si>
    <t>万智币/彩玉</t>
    <phoneticPr fontId="1" type="noConversion"/>
  </si>
  <si>
    <t>魂魄等级</t>
    <phoneticPr fontId="1" type="noConversion"/>
  </si>
  <si>
    <t>5维成长</t>
    <phoneticPr fontId="1" type="noConversion"/>
  </si>
  <si>
    <t>总消耗</t>
    <phoneticPr fontId="1" type="noConversion"/>
  </si>
  <si>
    <t>总消耗进度</t>
    <phoneticPr fontId="1" type="noConversion"/>
  </si>
  <si>
    <t>突破消耗</t>
    <phoneticPr fontId="1" type="noConversion"/>
  </si>
  <si>
    <t>万智币消耗</t>
    <phoneticPr fontId="1" type="noConversion"/>
  </si>
  <si>
    <t>等级强化平均(次)</t>
    <phoneticPr fontId="1" type="noConversion"/>
  </si>
  <si>
    <t>强化消耗</t>
    <phoneticPr fontId="1" type="noConversion"/>
  </si>
  <si>
    <t>每次强化消耗(彩玉)</t>
    <phoneticPr fontId="1" type="noConversion"/>
  </si>
  <si>
    <t>装备等阶</t>
    <phoneticPr fontId="1" type="noConversion"/>
  </si>
  <si>
    <t>价值(彩玉)</t>
    <phoneticPr fontId="1" type="noConversion"/>
  </si>
  <si>
    <t>武器</t>
    <phoneticPr fontId="1" type="noConversion"/>
  </si>
  <si>
    <t>头盔</t>
    <phoneticPr fontId="1" type="noConversion"/>
  </si>
  <si>
    <t>铠甲</t>
    <phoneticPr fontId="1" type="noConversion"/>
  </si>
  <si>
    <t>戒指</t>
    <phoneticPr fontId="1" type="noConversion"/>
  </si>
  <si>
    <t>护腿</t>
    <phoneticPr fontId="1" type="noConversion"/>
  </si>
  <si>
    <t>靴子</t>
    <phoneticPr fontId="1" type="noConversion"/>
  </si>
  <si>
    <t>武器碎片</t>
  </si>
  <si>
    <t>头盔碎片</t>
  </si>
  <si>
    <t>铠甲碎片</t>
  </si>
  <si>
    <t>戒指碎片</t>
  </si>
  <si>
    <t>护腿碎片</t>
  </si>
  <si>
    <t>靴子碎片</t>
  </si>
  <si>
    <t>五色石(6级)</t>
  </si>
  <si>
    <t>五色石(2级)</t>
  </si>
  <si>
    <t>五色石(3级)</t>
  </si>
  <si>
    <t>五色石(4级)</t>
  </si>
  <si>
    <t>五色石(5级)</t>
  </si>
  <si>
    <t>宝石等级</t>
    <phoneticPr fontId="1" type="noConversion"/>
  </si>
  <si>
    <t>1级宝石</t>
    <phoneticPr fontId="1" type="noConversion"/>
  </si>
  <si>
    <t>单卡打满(彩玉)</t>
    <phoneticPr fontId="1" type="noConversion"/>
  </si>
  <si>
    <t>每日投放</t>
    <phoneticPr fontId="1" type="noConversion"/>
  </si>
  <si>
    <t>魂魄石</t>
    <phoneticPr fontId="1" type="noConversion"/>
  </si>
  <si>
    <t>彩玉</t>
    <phoneticPr fontId="1" type="noConversion"/>
  </si>
  <si>
    <t>万智币</t>
    <phoneticPr fontId="1" type="noConversion"/>
  </si>
  <si>
    <t>经验球</t>
    <phoneticPr fontId="1" type="noConversion"/>
  </si>
  <si>
    <t>雀阴石</t>
    <phoneticPr fontId="1" type="noConversion"/>
  </si>
  <si>
    <t>除秽石</t>
    <phoneticPr fontId="1" type="noConversion"/>
  </si>
  <si>
    <t>尸狗石</t>
    <phoneticPr fontId="1" type="noConversion"/>
  </si>
  <si>
    <t>丑肺石</t>
    <phoneticPr fontId="1" type="noConversion"/>
  </si>
  <si>
    <t>吞贼石</t>
    <phoneticPr fontId="1" type="noConversion"/>
  </si>
  <si>
    <t>非毒石</t>
    <phoneticPr fontId="1" type="noConversion"/>
  </si>
  <si>
    <t>伏矢石</t>
    <phoneticPr fontId="1" type="noConversion"/>
  </si>
  <si>
    <t>天魂石</t>
    <phoneticPr fontId="1" type="noConversion"/>
  </si>
  <si>
    <t>地魂石</t>
    <phoneticPr fontId="1" type="noConversion"/>
  </si>
  <si>
    <t>人魂石</t>
    <phoneticPr fontId="1" type="noConversion"/>
  </si>
  <si>
    <t>洗髓丹</t>
    <phoneticPr fontId="1" type="noConversion"/>
  </si>
  <si>
    <t>天神魂</t>
    <phoneticPr fontId="1" type="noConversion"/>
  </si>
  <si>
    <t>天魔魂</t>
    <phoneticPr fontId="1" type="noConversion"/>
  </si>
  <si>
    <t>幻妖魂</t>
    <phoneticPr fontId="1" type="noConversion"/>
  </si>
  <si>
    <t>修罗魂</t>
    <phoneticPr fontId="1" type="noConversion"/>
  </si>
  <si>
    <t>天选者魂</t>
    <phoneticPr fontId="1" type="noConversion"/>
  </si>
  <si>
    <t>风魄</t>
    <phoneticPr fontId="1" type="noConversion"/>
  </si>
  <si>
    <t>火魄</t>
    <phoneticPr fontId="1" type="noConversion"/>
  </si>
  <si>
    <t>雷魄</t>
    <phoneticPr fontId="1" type="noConversion"/>
  </si>
  <si>
    <t>土魄</t>
    <phoneticPr fontId="1" type="noConversion"/>
  </si>
  <si>
    <t>水魄</t>
    <phoneticPr fontId="1" type="noConversion"/>
  </si>
  <si>
    <t>五色石1级</t>
    <phoneticPr fontId="1" type="noConversion"/>
  </si>
  <si>
    <t>五色石(1级)</t>
    <phoneticPr fontId="1" type="noConversion"/>
  </si>
  <si>
    <t>投放周期(天)</t>
    <phoneticPr fontId="1" type="noConversion"/>
  </si>
  <si>
    <t>雀阴石</t>
  </si>
  <si>
    <t>除秽石</t>
  </si>
  <si>
    <t>尸狗石</t>
  </si>
  <si>
    <t>天魂石</t>
  </si>
  <si>
    <t>丑肺石</t>
  </si>
  <si>
    <t>吞贼石</t>
  </si>
  <si>
    <t>地魂石</t>
  </si>
  <si>
    <t>非毒石</t>
  </si>
  <si>
    <t>伏矢石</t>
  </si>
  <si>
    <t>人魂石</t>
  </si>
  <si>
    <t>魂魄石数量</t>
    <phoneticPr fontId="1" type="noConversion"/>
  </si>
  <si>
    <t>能力值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</si>
</sst>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%"/>
  </numFmts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>
      <alignment vertical="center"/>
    </xf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176" fontId="0" fillId="0" borderId="2" xfId="1" applyNumberFormat="1" applyFont="1" applyBorder="1" applyAlignment="1">
      <alignment horizontal="center" vertical="center"/>
    </xf>
    <xf numFmtId="10" fontId="0" fillId="0" borderId="2" xfId="1" applyNumberFormat="1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0" xfId="1" applyNumberFormat="1" applyFont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10" fontId="0" fillId="0" borderId="1" xfId="1" applyNumberFormat="1" applyFont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</cellXfs>
  <cellStyles count="2">
    <cellStyle name="百分比" xfId="1" builtinId="5"/>
    <cellStyle name="常规" xfId="0" builtinId="0"/>
  </cellStyles>
  <dxfs count="1">
    <dxf>
      <fill>
        <patternFill>
          <bgColor theme="9" tint="0.59996337778862885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"/>
  <sheetViews>
    <sheetView workbookViewId="0">
      <selection activeCell="B5" sqref="B5"/>
    </sheetView>
  </sheetViews>
  <sheetFormatPr defaultRowHeight="13.5" x14ac:dyDescent="0.15"/>
  <cols>
    <col min="1" max="1" width="13.375" style="10" bestFit="1" customWidth="1"/>
    <col min="2" max="2" width="9" style="10"/>
    <col min="3" max="3" width="10.25" style="10" bestFit="1" customWidth="1"/>
    <col min="4" max="4" width="9.5" style="10" bestFit="1" customWidth="1"/>
    <col min="5" max="5" width="9" style="10"/>
    <col min="6" max="6" width="12.125" style="10" bestFit="1" customWidth="1"/>
    <col min="7" max="7" width="14.375" style="10" bestFit="1" customWidth="1"/>
    <col min="8" max="16384" width="9" style="10"/>
  </cols>
  <sheetData>
    <row r="1" spans="1:7" x14ac:dyDescent="0.15">
      <c r="C1" s="13">
        <v>2</v>
      </c>
    </row>
    <row r="2" spans="1:7" x14ac:dyDescent="0.15">
      <c r="A2" s="23" t="s">
        <v>1</v>
      </c>
      <c r="B2" s="23" t="s">
        <v>10</v>
      </c>
      <c r="C2" s="23" t="s">
        <v>17</v>
      </c>
      <c r="D2" s="23" t="s">
        <v>16</v>
      </c>
      <c r="F2" s="11" t="s">
        <v>30</v>
      </c>
      <c r="G2" s="11" t="s">
        <v>18</v>
      </c>
    </row>
    <row r="3" spans="1:7" x14ac:dyDescent="0.15">
      <c r="A3" s="14" t="s">
        <v>8</v>
      </c>
      <c r="B3" s="12">
        <v>150</v>
      </c>
      <c r="C3" s="12">
        <v>150</v>
      </c>
      <c r="D3" s="24">
        <f>B3/C3*$C$1</f>
        <v>2</v>
      </c>
      <c r="F3" s="12">
        <v>10</v>
      </c>
      <c r="G3" s="14">
        <f>C3+C4+C9</f>
        <v>3250</v>
      </c>
    </row>
    <row r="4" spans="1:7" x14ac:dyDescent="0.15">
      <c r="A4" s="14" t="s">
        <v>9</v>
      </c>
      <c r="B4" s="12">
        <v>650</v>
      </c>
      <c r="C4" s="12">
        <v>1500</v>
      </c>
      <c r="D4" s="24">
        <f t="shared" ref="D4:D15" si="0">B4/C4*$C$1</f>
        <v>0.8666666666666667</v>
      </c>
      <c r="F4" s="11" t="s">
        <v>31</v>
      </c>
    </row>
    <row r="5" spans="1:7" x14ac:dyDescent="0.15">
      <c r="A5" s="14" t="s">
        <v>11</v>
      </c>
      <c r="B5" s="12">
        <v>150</v>
      </c>
      <c r="C5" s="12">
        <v>300</v>
      </c>
      <c r="D5" s="24">
        <f t="shared" si="0"/>
        <v>1</v>
      </c>
      <c r="F5" s="12">
        <v>100</v>
      </c>
    </row>
    <row r="6" spans="1:7" x14ac:dyDescent="0.15">
      <c r="A6" s="14" t="s">
        <v>12</v>
      </c>
      <c r="B6" s="12">
        <v>250</v>
      </c>
      <c r="C6" s="12">
        <v>500</v>
      </c>
      <c r="D6" s="24">
        <f t="shared" si="0"/>
        <v>1</v>
      </c>
    </row>
    <row r="7" spans="1:7" x14ac:dyDescent="0.15">
      <c r="A7" s="14" t="s">
        <v>13</v>
      </c>
      <c r="B7" s="12">
        <v>400</v>
      </c>
      <c r="C7" s="12">
        <v>800</v>
      </c>
      <c r="D7" s="24">
        <f t="shared" si="0"/>
        <v>1</v>
      </c>
    </row>
    <row r="8" spans="1:7" x14ac:dyDescent="0.15">
      <c r="A8" s="14" t="s">
        <v>14</v>
      </c>
      <c r="B8" s="12">
        <v>600</v>
      </c>
      <c r="C8" s="12">
        <v>1200</v>
      </c>
      <c r="D8" s="24">
        <f t="shared" si="0"/>
        <v>1</v>
      </c>
    </row>
    <row r="9" spans="1:7" x14ac:dyDescent="0.15">
      <c r="A9" s="14" t="s">
        <v>15</v>
      </c>
      <c r="B9" s="12">
        <v>800</v>
      </c>
      <c r="C9" s="12">
        <v>1600</v>
      </c>
      <c r="D9" s="24">
        <f t="shared" si="0"/>
        <v>1</v>
      </c>
    </row>
    <row r="10" spans="1:7" x14ac:dyDescent="0.15">
      <c r="A10" s="25" t="s">
        <v>90</v>
      </c>
      <c r="B10" s="12">
        <v>36</v>
      </c>
      <c r="C10" s="12">
        <v>32</v>
      </c>
      <c r="D10" s="24">
        <f t="shared" si="0"/>
        <v>2.25</v>
      </c>
    </row>
    <row r="11" spans="1:7" x14ac:dyDescent="0.15">
      <c r="A11" s="25" t="s">
        <v>56</v>
      </c>
      <c r="B11" s="12">
        <v>72</v>
      </c>
      <c r="C11" s="12">
        <v>160</v>
      </c>
      <c r="D11" s="24">
        <f t="shared" si="0"/>
        <v>0.9</v>
      </c>
    </row>
    <row r="12" spans="1:7" x14ac:dyDescent="0.15">
      <c r="A12" s="25" t="s">
        <v>57</v>
      </c>
      <c r="B12" s="12">
        <v>216</v>
      </c>
      <c r="C12" s="12">
        <v>800</v>
      </c>
      <c r="D12" s="24">
        <f t="shared" si="0"/>
        <v>0.54</v>
      </c>
    </row>
    <row r="13" spans="1:7" x14ac:dyDescent="0.15">
      <c r="A13" s="25" t="s">
        <v>58</v>
      </c>
      <c r="B13" s="12">
        <v>648</v>
      </c>
      <c r="C13" s="12">
        <v>4000</v>
      </c>
      <c r="D13" s="24">
        <f t="shared" si="0"/>
        <v>0.32400000000000001</v>
      </c>
    </row>
    <row r="14" spans="1:7" x14ac:dyDescent="0.15">
      <c r="A14" s="25" t="s">
        <v>59</v>
      </c>
      <c r="B14" s="12">
        <v>972</v>
      </c>
      <c r="C14" s="12">
        <v>20000</v>
      </c>
      <c r="D14" s="24">
        <f t="shared" si="0"/>
        <v>9.7199999999999995E-2</v>
      </c>
    </row>
    <row r="15" spans="1:7" x14ac:dyDescent="0.15">
      <c r="A15" s="25" t="s">
        <v>55</v>
      </c>
      <c r="B15" s="12">
        <v>1620</v>
      </c>
      <c r="C15" s="12">
        <v>100000</v>
      </c>
      <c r="D15" s="24">
        <f t="shared" si="0"/>
        <v>3.2399999999999998E-2</v>
      </c>
    </row>
    <row r="16" spans="1:7" x14ac:dyDescent="0.15">
      <c r="A16" s="25"/>
      <c r="B16" s="12"/>
      <c r="C16" s="12"/>
      <c r="D16" s="24"/>
    </row>
    <row r="17" spans="1:4" x14ac:dyDescent="0.15">
      <c r="A17" s="25"/>
      <c r="B17" s="12"/>
      <c r="C17" s="12"/>
      <c r="D17" s="24"/>
    </row>
    <row r="18" spans="1:4" x14ac:dyDescent="0.15">
      <c r="A18" s="25"/>
      <c r="B18" s="12"/>
      <c r="C18" s="12"/>
      <c r="D18" s="2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C44"/>
  <sheetViews>
    <sheetView workbookViewId="0">
      <selection activeCell="A5" sqref="A5:A14"/>
    </sheetView>
  </sheetViews>
  <sheetFormatPr defaultRowHeight="13.5" x14ac:dyDescent="0.15"/>
  <cols>
    <col min="1" max="1" width="10" style="1" bestFit="1" customWidth="1"/>
    <col min="2" max="3" width="10.25" style="1" bestFit="1" customWidth="1"/>
    <col min="4" max="16384" width="9" style="1"/>
  </cols>
  <sheetData>
    <row r="1" spans="1:3" x14ac:dyDescent="0.15">
      <c r="A1" s="4" t="s">
        <v>3</v>
      </c>
      <c r="B1" s="4" t="s">
        <v>6</v>
      </c>
      <c r="C1" s="4" t="s">
        <v>7</v>
      </c>
    </row>
    <row r="2" spans="1:3" x14ac:dyDescent="0.15">
      <c r="A2" s="3" t="s">
        <v>65</v>
      </c>
      <c r="B2" s="8">
        <v>1</v>
      </c>
      <c r="C2" s="3">
        <f>B2*系统能力!$F$5</f>
        <v>100</v>
      </c>
    </row>
    <row r="3" spans="1:3" x14ac:dyDescent="0.15">
      <c r="A3" s="3" t="s">
        <v>66</v>
      </c>
      <c r="B3" s="8">
        <v>0.01</v>
      </c>
      <c r="C3" s="3">
        <f>B3*系统能力!$F$5</f>
        <v>1</v>
      </c>
    </row>
    <row r="4" spans="1:3" x14ac:dyDescent="0.15">
      <c r="A4" s="3" t="s">
        <v>67</v>
      </c>
      <c r="B4" s="8">
        <v>5</v>
      </c>
      <c r="C4" s="3">
        <f>B4*系统能力!$F$5</f>
        <v>500</v>
      </c>
    </row>
    <row r="5" spans="1:3" x14ac:dyDescent="0.15">
      <c r="A5" s="3" t="s">
        <v>68</v>
      </c>
      <c r="B5" s="8">
        <v>150</v>
      </c>
      <c r="C5" s="3">
        <f>B5*系统能力!$F$5</f>
        <v>15000</v>
      </c>
    </row>
    <row r="6" spans="1:3" x14ac:dyDescent="0.15">
      <c r="A6" s="3" t="s">
        <v>69</v>
      </c>
      <c r="B6" s="8">
        <v>150</v>
      </c>
      <c r="C6" s="3">
        <f>B6*系统能力!$F$5</f>
        <v>15000</v>
      </c>
    </row>
    <row r="7" spans="1:3" x14ac:dyDescent="0.15">
      <c r="A7" s="3" t="s">
        <v>70</v>
      </c>
      <c r="B7" s="8">
        <v>150</v>
      </c>
      <c r="C7" s="3">
        <f>B7*系统能力!$F$5</f>
        <v>15000</v>
      </c>
    </row>
    <row r="8" spans="1:3" x14ac:dyDescent="0.15">
      <c r="A8" s="1" t="s">
        <v>75</v>
      </c>
      <c r="B8" s="8">
        <v>150</v>
      </c>
      <c r="C8" s="3">
        <f>B8*系统能力!$F$5</f>
        <v>15000</v>
      </c>
    </row>
    <row r="9" spans="1:3" x14ac:dyDescent="0.15">
      <c r="A9" s="3" t="s">
        <v>71</v>
      </c>
      <c r="B9" s="8">
        <v>150</v>
      </c>
      <c r="C9" s="3">
        <f>B9*系统能力!$F$5</f>
        <v>15000</v>
      </c>
    </row>
    <row r="10" spans="1:3" x14ac:dyDescent="0.15">
      <c r="A10" s="3" t="s">
        <v>72</v>
      </c>
      <c r="B10" s="8">
        <v>150</v>
      </c>
      <c r="C10" s="3">
        <f>B10*系统能力!$F$5</f>
        <v>15000</v>
      </c>
    </row>
    <row r="11" spans="1:3" x14ac:dyDescent="0.15">
      <c r="A11" s="3" t="s">
        <v>76</v>
      </c>
      <c r="B11" s="8">
        <v>150</v>
      </c>
      <c r="C11" s="3">
        <f>B11*系统能力!$F$5</f>
        <v>15000</v>
      </c>
    </row>
    <row r="12" spans="1:3" x14ac:dyDescent="0.15">
      <c r="A12" s="3" t="s">
        <v>73</v>
      </c>
      <c r="B12" s="8">
        <v>150</v>
      </c>
      <c r="C12" s="3">
        <f>B12*系统能力!$F$5</f>
        <v>15000</v>
      </c>
    </row>
    <row r="13" spans="1:3" x14ac:dyDescent="0.15">
      <c r="A13" s="3" t="s">
        <v>74</v>
      </c>
      <c r="B13" s="8">
        <v>150</v>
      </c>
      <c r="C13" s="3">
        <f>B13*系统能力!$F$5</f>
        <v>15000</v>
      </c>
    </row>
    <row r="14" spans="1:3" x14ac:dyDescent="0.15">
      <c r="A14" s="3" t="s">
        <v>77</v>
      </c>
      <c r="B14" s="8">
        <v>150</v>
      </c>
      <c r="C14" s="3">
        <f>B14*系统能力!$F$5</f>
        <v>15000</v>
      </c>
    </row>
    <row r="15" spans="1:3" x14ac:dyDescent="0.15">
      <c r="A15" s="3" t="s">
        <v>78</v>
      </c>
      <c r="B15" s="8">
        <v>500</v>
      </c>
      <c r="C15" s="3">
        <f>B15*系统能力!$F$5</f>
        <v>50000</v>
      </c>
    </row>
    <row r="16" spans="1:3" x14ac:dyDescent="0.15">
      <c r="A16" s="3" t="s">
        <v>79</v>
      </c>
      <c r="B16" s="8">
        <v>500</v>
      </c>
      <c r="C16" s="3">
        <f>B16*系统能力!$F$5</f>
        <v>50000</v>
      </c>
    </row>
    <row r="17" spans="1:3" x14ac:dyDescent="0.15">
      <c r="A17" s="3" t="s">
        <v>80</v>
      </c>
      <c r="B17" s="8">
        <v>500</v>
      </c>
      <c r="C17" s="3">
        <f>B17*系统能力!$F$5</f>
        <v>50000</v>
      </c>
    </row>
    <row r="18" spans="1:3" x14ac:dyDescent="0.15">
      <c r="A18" s="3" t="s">
        <v>81</v>
      </c>
      <c r="B18" s="8">
        <v>500</v>
      </c>
      <c r="C18" s="3">
        <f>B18*系统能力!$F$5</f>
        <v>50000</v>
      </c>
    </row>
    <row r="19" spans="1:3" x14ac:dyDescent="0.15">
      <c r="A19" s="3" t="s">
        <v>82</v>
      </c>
      <c r="B19" s="8">
        <v>500</v>
      </c>
      <c r="C19" s="3">
        <f>B19*系统能力!$F$5</f>
        <v>50000</v>
      </c>
    </row>
    <row r="20" spans="1:3" x14ac:dyDescent="0.15">
      <c r="A20" s="3" t="s">
        <v>83</v>
      </c>
      <c r="B20" s="8">
        <v>500</v>
      </c>
      <c r="C20" s="3">
        <f>B20*系统能力!$F$5</f>
        <v>50000</v>
      </c>
    </row>
    <row r="21" spans="1:3" x14ac:dyDescent="0.15">
      <c r="A21" s="3" t="s">
        <v>84</v>
      </c>
      <c r="B21" s="8">
        <v>100</v>
      </c>
      <c r="C21" s="3">
        <f>B21*系统能力!$F$5</f>
        <v>10000</v>
      </c>
    </row>
    <row r="22" spans="1:3" x14ac:dyDescent="0.15">
      <c r="A22" s="3" t="s">
        <v>85</v>
      </c>
      <c r="B22" s="8">
        <v>100</v>
      </c>
      <c r="C22" s="3">
        <f>B22*系统能力!$F$5</f>
        <v>10000</v>
      </c>
    </row>
    <row r="23" spans="1:3" x14ac:dyDescent="0.15">
      <c r="A23" s="3" t="s">
        <v>86</v>
      </c>
      <c r="B23" s="8">
        <v>100</v>
      </c>
      <c r="C23" s="3">
        <f>B23*系统能力!$F$5</f>
        <v>10000</v>
      </c>
    </row>
    <row r="24" spans="1:3" x14ac:dyDescent="0.15">
      <c r="A24" s="3" t="s">
        <v>87</v>
      </c>
      <c r="B24" s="8">
        <v>100</v>
      </c>
      <c r="C24" s="3">
        <f>B24*系统能力!$F$5</f>
        <v>10000</v>
      </c>
    </row>
    <row r="25" spans="1:3" x14ac:dyDescent="0.15">
      <c r="A25" s="3" t="s">
        <v>88</v>
      </c>
      <c r="B25" s="8">
        <v>100</v>
      </c>
      <c r="C25" s="3">
        <f>B25*系统能力!$F$5</f>
        <v>10000</v>
      </c>
    </row>
    <row r="26" spans="1:3" x14ac:dyDescent="0.15">
      <c r="A26" s="3" t="s">
        <v>89</v>
      </c>
      <c r="B26" s="8">
        <v>2</v>
      </c>
      <c r="C26" s="3">
        <f>B26*系统能力!$F$5</f>
        <v>200</v>
      </c>
    </row>
    <row r="27" spans="1:3" x14ac:dyDescent="0.15">
      <c r="A27" s="3"/>
      <c r="B27" s="8"/>
      <c r="C27" s="3">
        <f>B27*系统能力!$F$5</f>
        <v>0</v>
      </c>
    </row>
    <row r="28" spans="1:3" x14ac:dyDescent="0.15">
      <c r="A28" s="3"/>
      <c r="B28" s="8"/>
      <c r="C28" s="3">
        <f>B28*系统能力!$F$5</f>
        <v>0</v>
      </c>
    </row>
    <row r="29" spans="1:3" x14ac:dyDescent="0.15">
      <c r="A29" s="3"/>
      <c r="B29" s="8"/>
      <c r="C29" s="3">
        <f>B29*系统能力!$F$5</f>
        <v>0</v>
      </c>
    </row>
    <row r="30" spans="1:3" x14ac:dyDescent="0.15">
      <c r="A30" s="3"/>
      <c r="B30" s="8"/>
      <c r="C30" s="3">
        <f>B30*系统能力!$F$5</f>
        <v>0</v>
      </c>
    </row>
    <row r="31" spans="1:3" x14ac:dyDescent="0.15">
      <c r="A31" s="3"/>
      <c r="B31" s="8"/>
      <c r="C31" s="3"/>
    </row>
    <row r="32" spans="1:3" x14ac:dyDescent="0.15">
      <c r="A32" s="3"/>
      <c r="B32" s="8"/>
      <c r="C32" s="3"/>
    </row>
    <row r="33" spans="1:3" x14ac:dyDescent="0.15">
      <c r="A33" s="3"/>
      <c r="B33" s="8"/>
      <c r="C33" s="3"/>
    </row>
    <row r="34" spans="1:3" x14ac:dyDescent="0.15">
      <c r="A34" s="3"/>
      <c r="B34" s="8"/>
      <c r="C34" s="3"/>
    </row>
    <row r="35" spans="1:3" x14ac:dyDescent="0.15">
      <c r="A35" s="3"/>
      <c r="B35" s="8"/>
      <c r="C35" s="3"/>
    </row>
    <row r="36" spans="1:3" x14ac:dyDescent="0.15">
      <c r="A36" s="3"/>
      <c r="B36" s="8"/>
      <c r="C36" s="3"/>
    </row>
    <row r="37" spans="1:3" x14ac:dyDescent="0.15">
      <c r="A37" s="3"/>
      <c r="B37" s="8"/>
      <c r="C37" s="3"/>
    </row>
    <row r="38" spans="1:3" x14ac:dyDescent="0.15">
      <c r="A38" s="3"/>
      <c r="B38" s="8"/>
      <c r="C38" s="3"/>
    </row>
    <row r="39" spans="1:3" x14ac:dyDescent="0.15">
      <c r="A39" s="3"/>
      <c r="B39" s="8"/>
      <c r="C39" s="3"/>
    </row>
    <row r="40" spans="1:3" x14ac:dyDescent="0.15">
      <c r="A40" s="3"/>
      <c r="B40" s="8"/>
      <c r="C40" s="3"/>
    </row>
    <row r="41" spans="1:3" x14ac:dyDescent="0.15">
      <c r="A41" s="3"/>
      <c r="B41" s="8"/>
      <c r="C41" s="3"/>
    </row>
    <row r="42" spans="1:3" x14ac:dyDescent="0.15">
      <c r="A42" s="3"/>
      <c r="B42" s="8"/>
      <c r="C42" s="3"/>
    </row>
    <row r="43" spans="1:3" x14ac:dyDescent="0.15">
      <c r="A43" s="3"/>
      <c r="B43" s="8"/>
      <c r="C43" s="3"/>
    </row>
    <row r="44" spans="1:3" x14ac:dyDescent="0.15">
      <c r="A44" s="3"/>
      <c r="B44" s="8"/>
      <c r="C44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K61"/>
  <sheetViews>
    <sheetView workbookViewId="0">
      <selection activeCell="J12" sqref="J12"/>
    </sheetView>
  </sheetViews>
  <sheetFormatPr defaultRowHeight="13.5" x14ac:dyDescent="0.15"/>
  <cols>
    <col min="1" max="6" width="9" style="1"/>
    <col min="7" max="7" width="15.25" style="1" bestFit="1" customWidth="1"/>
    <col min="8" max="8" width="17.375" style="1" bestFit="1" customWidth="1"/>
    <col min="9" max="9" width="15.25" style="1" bestFit="1" customWidth="1"/>
    <col min="10" max="10" width="13.125" style="1" bestFit="1" customWidth="1"/>
    <col min="11" max="11" width="11" style="1" bestFit="1" customWidth="1"/>
    <col min="12" max="16384" width="9" style="1"/>
  </cols>
  <sheetData>
    <row r="1" spans="1:11" x14ac:dyDescent="0.15">
      <c r="A1" s="4" t="s">
        <v>4</v>
      </c>
      <c r="B1" s="4" t="s">
        <v>0</v>
      </c>
      <c r="C1" s="4" t="s">
        <v>5</v>
      </c>
      <c r="D1" s="4" t="s">
        <v>24</v>
      </c>
      <c r="E1" s="4" t="s">
        <v>25</v>
      </c>
      <c r="G1" s="5" t="s">
        <v>20</v>
      </c>
      <c r="H1" s="5" t="s">
        <v>19</v>
      </c>
      <c r="I1" s="5" t="s">
        <v>21</v>
      </c>
      <c r="J1" s="5" t="s">
        <v>22</v>
      </c>
      <c r="K1" s="5" t="s">
        <v>23</v>
      </c>
    </row>
    <row r="2" spans="1:11" x14ac:dyDescent="0.15">
      <c r="A2" s="3">
        <v>1</v>
      </c>
      <c r="B2" s="8">
        <v>30</v>
      </c>
      <c r="C2" s="3"/>
      <c r="D2" s="17">
        <f>B2/$K$2</f>
        <v>2E-3</v>
      </c>
      <c r="E2" s="17">
        <f>SUM($D$2:D2)</f>
        <v>2E-3</v>
      </c>
      <c r="G2" s="2">
        <f>系统能力!C3*系统能力!F3</f>
        <v>1500</v>
      </c>
      <c r="H2" s="15">
        <v>5</v>
      </c>
      <c r="I2" s="2">
        <f>G2/H2</f>
        <v>300</v>
      </c>
      <c r="J2" s="2">
        <v>50</v>
      </c>
      <c r="K2" s="2">
        <f>I2*J2</f>
        <v>15000</v>
      </c>
    </row>
    <row r="3" spans="1:11" x14ac:dyDescent="0.15">
      <c r="A3" s="3">
        <v>2</v>
      </c>
      <c r="B3" s="3">
        <f>B2+C3</f>
        <v>45</v>
      </c>
      <c r="C3" s="8">
        <v>15</v>
      </c>
      <c r="D3" s="17">
        <f t="shared" ref="D3:D30" si="0">B3/$K$2</f>
        <v>3.0000000000000001E-3</v>
      </c>
      <c r="E3" s="17">
        <f>SUM($D$2:D3)</f>
        <v>5.0000000000000001E-3</v>
      </c>
      <c r="I3" s="5" t="s">
        <v>91</v>
      </c>
    </row>
    <row r="4" spans="1:11" x14ac:dyDescent="0.15">
      <c r="A4" s="3">
        <v>3</v>
      </c>
      <c r="B4" s="3">
        <f t="shared" ref="B4:B30" si="1">B3+C4</f>
        <v>60</v>
      </c>
      <c r="C4" s="8">
        <v>15</v>
      </c>
      <c r="D4" s="17">
        <f t="shared" si="0"/>
        <v>4.0000000000000001E-3</v>
      </c>
      <c r="E4" s="17">
        <f>SUM($D$2:D4)</f>
        <v>9.0000000000000011E-3</v>
      </c>
      <c r="I4" s="20">
        <v>10</v>
      </c>
    </row>
    <row r="5" spans="1:11" x14ac:dyDescent="0.15">
      <c r="A5" s="3">
        <v>4</v>
      </c>
      <c r="B5" s="3">
        <f t="shared" si="1"/>
        <v>75</v>
      </c>
      <c r="C5" s="8">
        <v>15</v>
      </c>
      <c r="D5" s="17">
        <f t="shared" si="0"/>
        <v>5.0000000000000001E-3</v>
      </c>
      <c r="E5" s="17">
        <f>SUM($D$2:D5)</f>
        <v>1.4000000000000002E-2</v>
      </c>
      <c r="I5" s="5" t="s">
        <v>63</v>
      </c>
    </row>
    <row r="6" spans="1:11" x14ac:dyDescent="0.15">
      <c r="A6" s="3">
        <v>5</v>
      </c>
      <c r="B6" s="3">
        <f t="shared" si="1"/>
        <v>90</v>
      </c>
      <c r="C6" s="8">
        <v>15</v>
      </c>
      <c r="D6" s="17">
        <f t="shared" si="0"/>
        <v>6.0000000000000001E-3</v>
      </c>
      <c r="E6" s="17">
        <f>SUM($D$2:D6)</f>
        <v>2.0000000000000004E-2</v>
      </c>
      <c r="I6" s="2">
        <f>I2/I4</f>
        <v>30</v>
      </c>
    </row>
    <row r="7" spans="1:11" x14ac:dyDescent="0.15">
      <c r="A7" s="3">
        <v>6</v>
      </c>
      <c r="B7" s="3">
        <f t="shared" si="1"/>
        <v>105</v>
      </c>
      <c r="C7" s="8">
        <v>15</v>
      </c>
      <c r="D7" s="17">
        <f t="shared" si="0"/>
        <v>7.0000000000000001E-3</v>
      </c>
      <c r="E7" s="17">
        <f>SUM($D$2:D7)</f>
        <v>2.7000000000000003E-2</v>
      </c>
    </row>
    <row r="8" spans="1:11" x14ac:dyDescent="0.15">
      <c r="A8" s="3">
        <v>7</v>
      </c>
      <c r="B8" s="3">
        <f t="shared" si="1"/>
        <v>120</v>
      </c>
      <c r="C8" s="8">
        <v>15</v>
      </c>
      <c r="D8" s="17">
        <f t="shared" si="0"/>
        <v>8.0000000000000002E-3</v>
      </c>
      <c r="E8" s="17">
        <f>SUM($D$2:D8)</f>
        <v>3.5000000000000003E-2</v>
      </c>
    </row>
    <row r="9" spans="1:11" x14ac:dyDescent="0.15">
      <c r="A9" s="3">
        <v>8</v>
      </c>
      <c r="B9" s="3">
        <f t="shared" si="1"/>
        <v>135</v>
      </c>
      <c r="C9" s="8">
        <v>15</v>
      </c>
      <c r="D9" s="17">
        <f t="shared" si="0"/>
        <v>8.9999999999999993E-3</v>
      </c>
      <c r="E9" s="17">
        <f>SUM($D$2:D9)</f>
        <v>4.4000000000000004E-2</v>
      </c>
    </row>
    <row r="10" spans="1:11" x14ac:dyDescent="0.15">
      <c r="A10" s="3">
        <v>9</v>
      </c>
      <c r="B10" s="3">
        <f t="shared" si="1"/>
        <v>385</v>
      </c>
      <c r="C10" s="8">
        <v>250</v>
      </c>
      <c r="D10" s="17">
        <f t="shared" si="0"/>
        <v>2.5666666666666667E-2</v>
      </c>
      <c r="E10" s="17">
        <f>SUM($D$2:D10)</f>
        <v>6.9666666666666668E-2</v>
      </c>
    </row>
    <row r="11" spans="1:11" x14ac:dyDescent="0.15">
      <c r="A11" s="3">
        <v>10</v>
      </c>
      <c r="B11" s="3">
        <f t="shared" si="1"/>
        <v>400</v>
      </c>
      <c r="C11" s="8">
        <v>15</v>
      </c>
      <c r="D11" s="17">
        <f t="shared" si="0"/>
        <v>2.6666666666666668E-2</v>
      </c>
      <c r="E11" s="17">
        <f>SUM($D$2:D11)</f>
        <v>9.633333333333334E-2</v>
      </c>
    </row>
    <row r="12" spans="1:11" x14ac:dyDescent="0.15">
      <c r="A12" s="3">
        <v>11</v>
      </c>
      <c r="B12" s="3">
        <f t="shared" si="1"/>
        <v>415</v>
      </c>
      <c r="C12" s="8">
        <v>15</v>
      </c>
      <c r="D12" s="17">
        <f t="shared" si="0"/>
        <v>2.7666666666666666E-2</v>
      </c>
      <c r="E12" s="17">
        <f>SUM($D$2:D12)</f>
        <v>0.124</v>
      </c>
    </row>
    <row r="13" spans="1:11" x14ac:dyDescent="0.15">
      <c r="A13" s="3">
        <v>12</v>
      </c>
      <c r="B13" s="3">
        <f t="shared" si="1"/>
        <v>430</v>
      </c>
      <c r="C13" s="8">
        <v>15</v>
      </c>
      <c r="D13" s="17">
        <f t="shared" si="0"/>
        <v>2.8666666666666667E-2</v>
      </c>
      <c r="E13" s="17">
        <f>SUM($D$2:D13)</f>
        <v>0.15266666666666667</v>
      </c>
    </row>
    <row r="14" spans="1:11" x14ac:dyDescent="0.15">
      <c r="A14" s="3">
        <v>13</v>
      </c>
      <c r="B14" s="3">
        <f t="shared" si="1"/>
        <v>445</v>
      </c>
      <c r="C14" s="8">
        <v>15</v>
      </c>
      <c r="D14" s="17">
        <f t="shared" si="0"/>
        <v>2.9666666666666668E-2</v>
      </c>
      <c r="E14" s="17">
        <f>SUM($D$2:D14)</f>
        <v>0.18233333333333335</v>
      </c>
    </row>
    <row r="15" spans="1:11" x14ac:dyDescent="0.15">
      <c r="A15" s="3">
        <v>14</v>
      </c>
      <c r="B15" s="3">
        <f t="shared" si="1"/>
        <v>460</v>
      </c>
      <c r="C15" s="8">
        <v>15</v>
      </c>
      <c r="D15" s="17">
        <f t="shared" si="0"/>
        <v>3.0666666666666665E-2</v>
      </c>
      <c r="E15" s="17">
        <f>SUM($D$2:D15)</f>
        <v>0.21300000000000002</v>
      </c>
    </row>
    <row r="16" spans="1:11" x14ac:dyDescent="0.15">
      <c r="A16" s="3">
        <v>15</v>
      </c>
      <c r="B16" s="3">
        <f t="shared" si="1"/>
        <v>475</v>
      </c>
      <c r="C16" s="8">
        <v>15</v>
      </c>
      <c r="D16" s="17">
        <f t="shared" si="0"/>
        <v>3.1666666666666669E-2</v>
      </c>
      <c r="E16" s="17">
        <f>SUM($D$2:D16)</f>
        <v>0.2446666666666667</v>
      </c>
    </row>
    <row r="17" spans="1:5" x14ac:dyDescent="0.15">
      <c r="A17" s="3">
        <v>16</v>
      </c>
      <c r="B17" s="3">
        <f t="shared" si="1"/>
        <v>490</v>
      </c>
      <c r="C17" s="8">
        <v>15</v>
      </c>
      <c r="D17" s="17">
        <f t="shared" si="0"/>
        <v>3.2666666666666663E-2</v>
      </c>
      <c r="E17" s="17">
        <f>SUM($D$2:D17)</f>
        <v>0.27733333333333338</v>
      </c>
    </row>
    <row r="18" spans="1:5" x14ac:dyDescent="0.15">
      <c r="A18" s="3">
        <v>17</v>
      </c>
      <c r="B18" s="3">
        <f t="shared" si="1"/>
        <v>505</v>
      </c>
      <c r="C18" s="8">
        <v>15</v>
      </c>
      <c r="D18" s="17">
        <f t="shared" si="0"/>
        <v>3.3666666666666664E-2</v>
      </c>
      <c r="E18" s="17">
        <f>SUM($D$2:D18)</f>
        <v>0.31100000000000005</v>
      </c>
    </row>
    <row r="19" spans="1:5" x14ac:dyDescent="0.15">
      <c r="A19" s="3">
        <v>18</v>
      </c>
      <c r="B19" s="3">
        <f t="shared" si="1"/>
        <v>520</v>
      </c>
      <c r="C19" s="8">
        <v>15</v>
      </c>
      <c r="D19" s="17">
        <f t="shared" si="0"/>
        <v>3.4666666666666665E-2</v>
      </c>
      <c r="E19" s="17">
        <f>SUM($D$2:D19)</f>
        <v>0.34566666666666673</v>
      </c>
    </row>
    <row r="20" spans="1:5" x14ac:dyDescent="0.15">
      <c r="A20" s="3">
        <v>19</v>
      </c>
      <c r="B20" s="3">
        <f t="shared" si="1"/>
        <v>770</v>
      </c>
      <c r="C20" s="8">
        <v>250</v>
      </c>
      <c r="D20" s="17">
        <f t="shared" si="0"/>
        <v>5.1333333333333335E-2</v>
      </c>
      <c r="E20" s="17">
        <f>SUM($D$2:D20)</f>
        <v>0.39700000000000008</v>
      </c>
    </row>
    <row r="21" spans="1:5" x14ac:dyDescent="0.15">
      <c r="A21" s="3">
        <v>20</v>
      </c>
      <c r="B21" s="3">
        <f t="shared" si="1"/>
        <v>785</v>
      </c>
      <c r="C21" s="8">
        <v>15</v>
      </c>
      <c r="D21" s="17">
        <f t="shared" si="0"/>
        <v>5.2333333333333336E-2</v>
      </c>
      <c r="E21" s="17">
        <f>SUM($D$2:D21)</f>
        <v>0.44933333333333342</v>
      </c>
    </row>
    <row r="22" spans="1:5" x14ac:dyDescent="0.15">
      <c r="A22" s="3">
        <v>21</v>
      </c>
      <c r="B22" s="3">
        <f t="shared" si="1"/>
        <v>800</v>
      </c>
      <c r="C22" s="8">
        <v>15</v>
      </c>
      <c r="D22" s="17">
        <f t="shared" si="0"/>
        <v>5.3333333333333337E-2</v>
      </c>
      <c r="E22" s="17">
        <f>SUM($D$2:D22)</f>
        <v>0.50266666666666671</v>
      </c>
    </row>
    <row r="23" spans="1:5" x14ac:dyDescent="0.15">
      <c r="A23" s="3">
        <v>22</v>
      </c>
      <c r="B23" s="3">
        <f t="shared" si="1"/>
        <v>815</v>
      </c>
      <c r="C23" s="8">
        <v>15</v>
      </c>
      <c r="D23" s="17">
        <f t="shared" si="0"/>
        <v>5.4333333333333331E-2</v>
      </c>
      <c r="E23" s="17">
        <f>SUM($D$2:D23)</f>
        <v>0.55700000000000005</v>
      </c>
    </row>
    <row r="24" spans="1:5" x14ac:dyDescent="0.15">
      <c r="A24" s="3">
        <v>23</v>
      </c>
      <c r="B24" s="3">
        <f t="shared" si="1"/>
        <v>830</v>
      </c>
      <c r="C24" s="8">
        <v>15</v>
      </c>
      <c r="D24" s="17">
        <f t="shared" si="0"/>
        <v>5.5333333333333332E-2</v>
      </c>
      <c r="E24" s="17">
        <f>SUM($D$2:D24)</f>
        <v>0.6123333333333334</v>
      </c>
    </row>
    <row r="25" spans="1:5" x14ac:dyDescent="0.15">
      <c r="A25" s="3">
        <v>24</v>
      </c>
      <c r="B25" s="3">
        <f t="shared" si="1"/>
        <v>859</v>
      </c>
      <c r="C25" s="8">
        <v>29</v>
      </c>
      <c r="D25" s="17">
        <f t="shared" si="0"/>
        <v>5.7266666666666667E-2</v>
      </c>
      <c r="E25" s="17">
        <f>SUM($D$2:D25)</f>
        <v>0.66960000000000008</v>
      </c>
    </row>
    <row r="26" spans="1:5" x14ac:dyDescent="0.15">
      <c r="A26" s="3">
        <v>25</v>
      </c>
      <c r="B26" s="3">
        <f t="shared" si="1"/>
        <v>888</v>
      </c>
      <c r="C26" s="8">
        <v>29</v>
      </c>
      <c r="D26" s="17">
        <f t="shared" si="0"/>
        <v>5.9200000000000003E-2</v>
      </c>
      <c r="E26" s="17">
        <f>SUM($D$2:D26)</f>
        <v>0.72880000000000011</v>
      </c>
    </row>
    <row r="27" spans="1:5" x14ac:dyDescent="0.15">
      <c r="A27" s="3">
        <v>26</v>
      </c>
      <c r="B27" s="3">
        <f t="shared" si="1"/>
        <v>917</v>
      </c>
      <c r="C27" s="8">
        <v>29</v>
      </c>
      <c r="D27" s="17">
        <f t="shared" si="0"/>
        <v>6.1133333333333331E-2</v>
      </c>
      <c r="E27" s="17">
        <f>SUM($D$2:D27)</f>
        <v>0.78993333333333349</v>
      </c>
    </row>
    <row r="28" spans="1:5" x14ac:dyDescent="0.15">
      <c r="A28" s="3">
        <v>27</v>
      </c>
      <c r="B28" s="3">
        <f t="shared" si="1"/>
        <v>947</v>
      </c>
      <c r="C28" s="8">
        <v>30</v>
      </c>
      <c r="D28" s="17">
        <f t="shared" si="0"/>
        <v>6.3133333333333333E-2</v>
      </c>
      <c r="E28" s="17">
        <f>SUM($D$2:D28)</f>
        <v>0.85306666666666686</v>
      </c>
    </row>
    <row r="29" spans="1:5" x14ac:dyDescent="0.15">
      <c r="A29" s="3">
        <v>28</v>
      </c>
      <c r="B29" s="3">
        <f t="shared" si="1"/>
        <v>977</v>
      </c>
      <c r="C29" s="8">
        <v>30</v>
      </c>
      <c r="D29" s="17">
        <f t="shared" si="0"/>
        <v>6.5133333333333335E-2</v>
      </c>
      <c r="E29" s="17">
        <f>SUM($D$2:D29)</f>
        <v>0.91820000000000024</v>
      </c>
    </row>
    <row r="30" spans="1:5" x14ac:dyDescent="0.15">
      <c r="A30" s="3">
        <v>29</v>
      </c>
      <c r="B30" s="3">
        <f t="shared" si="1"/>
        <v>1227</v>
      </c>
      <c r="C30" s="8">
        <v>250</v>
      </c>
      <c r="D30" s="17">
        <f t="shared" si="0"/>
        <v>8.1799999999999998E-2</v>
      </c>
      <c r="E30" s="17">
        <f>SUM($D$2:D30)</f>
        <v>1.0000000000000002</v>
      </c>
    </row>
    <row r="31" spans="1:5" x14ac:dyDescent="0.15">
      <c r="A31" s="3">
        <v>30</v>
      </c>
      <c r="B31" s="18">
        <v>0</v>
      </c>
      <c r="C31" s="18"/>
      <c r="D31" s="18"/>
      <c r="E31" s="18"/>
    </row>
    <row r="32" spans="1:5" x14ac:dyDescent="0.15">
      <c r="C32" s="9"/>
    </row>
    <row r="33" spans="3:3" x14ac:dyDescent="0.15">
      <c r="C33" s="9"/>
    </row>
    <row r="34" spans="3:3" x14ac:dyDescent="0.15">
      <c r="C34" s="9"/>
    </row>
    <row r="35" spans="3:3" x14ac:dyDescent="0.15">
      <c r="C35" s="9"/>
    </row>
    <row r="36" spans="3:3" x14ac:dyDescent="0.15">
      <c r="C36" s="9"/>
    </row>
    <row r="37" spans="3:3" x14ac:dyDescent="0.15">
      <c r="C37" s="9"/>
    </row>
    <row r="38" spans="3:3" x14ac:dyDescent="0.15">
      <c r="C38" s="9"/>
    </row>
    <row r="39" spans="3:3" x14ac:dyDescent="0.15">
      <c r="C39" s="9"/>
    </row>
    <row r="40" spans="3:3" x14ac:dyDescent="0.15">
      <c r="C40" s="9"/>
    </row>
    <row r="41" spans="3:3" x14ac:dyDescent="0.15">
      <c r="C41" s="9"/>
    </row>
    <row r="42" spans="3:3" x14ac:dyDescent="0.15">
      <c r="C42" s="9"/>
    </row>
    <row r="43" spans="3:3" x14ac:dyDescent="0.15">
      <c r="C43" s="9"/>
    </row>
    <row r="44" spans="3:3" x14ac:dyDescent="0.15">
      <c r="C44" s="9"/>
    </row>
    <row r="45" spans="3:3" x14ac:dyDescent="0.15">
      <c r="C45" s="9"/>
    </row>
    <row r="46" spans="3:3" x14ac:dyDescent="0.15">
      <c r="C46" s="9"/>
    </row>
    <row r="47" spans="3:3" x14ac:dyDescent="0.15">
      <c r="C47" s="9"/>
    </row>
    <row r="48" spans="3:3" x14ac:dyDescent="0.15">
      <c r="C48" s="9"/>
    </row>
    <row r="49" spans="3:3" x14ac:dyDescent="0.15">
      <c r="C49" s="9"/>
    </row>
    <row r="50" spans="3:3" x14ac:dyDescent="0.15">
      <c r="C50" s="9"/>
    </row>
    <row r="51" spans="3:3" x14ac:dyDescent="0.15">
      <c r="C51" s="9"/>
    </row>
    <row r="52" spans="3:3" x14ac:dyDescent="0.15">
      <c r="C52" s="9"/>
    </row>
    <row r="53" spans="3:3" x14ac:dyDescent="0.15">
      <c r="C53" s="9"/>
    </row>
    <row r="54" spans="3:3" x14ac:dyDescent="0.15">
      <c r="C54" s="9"/>
    </row>
    <row r="55" spans="3:3" x14ac:dyDescent="0.15">
      <c r="C55" s="9"/>
    </row>
    <row r="56" spans="3:3" x14ac:dyDescent="0.15">
      <c r="C56" s="9"/>
    </row>
    <row r="57" spans="3:3" x14ac:dyDescent="0.15">
      <c r="C57" s="9"/>
    </row>
    <row r="58" spans="3:3" x14ac:dyDescent="0.15">
      <c r="C58" s="9"/>
    </row>
    <row r="59" spans="3:3" x14ac:dyDescent="0.15">
      <c r="C59" s="9"/>
    </row>
    <row r="60" spans="3:3" x14ac:dyDescent="0.15">
      <c r="C60" s="9"/>
    </row>
    <row r="61" spans="3:3" x14ac:dyDescent="0.15">
      <c r="C61" s="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U113"/>
  <sheetViews>
    <sheetView tabSelected="1" workbookViewId="0">
      <selection activeCell="L12" sqref="L12"/>
    </sheetView>
  </sheetViews>
  <sheetFormatPr defaultRowHeight="13.5" x14ac:dyDescent="0.15"/>
  <cols>
    <col min="1" max="2" width="9" style="1" bestFit="1" customWidth="1"/>
    <col min="3" max="8" width="9" style="1"/>
    <col min="9" max="9" width="15.25" style="1" bestFit="1" customWidth="1"/>
    <col min="10" max="10" width="17.375" style="1" bestFit="1" customWidth="1"/>
    <col min="11" max="11" width="19.375" style="1" bestFit="1" customWidth="1"/>
    <col min="12" max="12" width="13.125" style="1" bestFit="1" customWidth="1"/>
    <col min="13" max="15" width="9" style="1"/>
    <col min="16" max="16" width="7.125" style="1" bestFit="1" customWidth="1"/>
    <col min="17" max="17" width="11" style="1" bestFit="1" customWidth="1"/>
    <col min="18" max="18" width="9" style="1"/>
    <col min="19" max="19" width="11" style="1" bestFit="1" customWidth="1"/>
    <col min="20" max="20" width="11" style="1" customWidth="1"/>
    <col min="21" max="21" width="11" style="1" bestFit="1" customWidth="1"/>
    <col min="22" max="16384" width="9" style="1"/>
  </cols>
  <sheetData>
    <row r="1" spans="1:21" x14ac:dyDescent="0.15">
      <c r="B1" s="7">
        <v>11</v>
      </c>
      <c r="R1" s="7">
        <v>150</v>
      </c>
    </row>
    <row r="2" spans="1:21" x14ac:dyDescent="0.15">
      <c r="A2" s="6" t="s">
        <v>26</v>
      </c>
      <c r="B2" s="6" t="s">
        <v>27</v>
      </c>
      <c r="C2" s="6" t="s">
        <v>2</v>
      </c>
      <c r="D2" s="6" t="s">
        <v>28</v>
      </c>
      <c r="E2" s="6" t="s">
        <v>5</v>
      </c>
      <c r="F2" s="6" t="s">
        <v>29</v>
      </c>
      <c r="I2" s="5" t="s">
        <v>20</v>
      </c>
      <c r="J2" s="5" t="s">
        <v>38</v>
      </c>
      <c r="K2" s="5" t="s">
        <v>40</v>
      </c>
      <c r="L2" s="5" t="s">
        <v>39</v>
      </c>
      <c r="N2" s="5" t="s">
        <v>32</v>
      </c>
      <c r="O2" s="5" t="s">
        <v>33</v>
      </c>
      <c r="P2" s="5" t="s">
        <v>34</v>
      </c>
      <c r="Q2" s="5" t="s">
        <v>35</v>
      </c>
      <c r="R2" s="5" t="s">
        <v>36</v>
      </c>
      <c r="S2" s="5" t="s">
        <v>37</v>
      </c>
      <c r="T2" s="5" t="s">
        <v>64</v>
      </c>
      <c r="U2" s="5" t="s">
        <v>102</v>
      </c>
    </row>
    <row r="3" spans="1:21" x14ac:dyDescent="0.15">
      <c r="A3" s="3">
        <v>1</v>
      </c>
      <c r="B3" s="3">
        <f>QUOTIENT(A3-0.1,$B$1)</f>
        <v>0</v>
      </c>
      <c r="C3" s="3">
        <f>COUNTIF($B$3:B3,B3)-1</f>
        <v>0</v>
      </c>
      <c r="D3" s="8">
        <v>1</v>
      </c>
      <c r="E3" s="8"/>
      <c r="F3" s="8">
        <v>1</v>
      </c>
      <c r="I3" s="2">
        <f>系统能力!C4*系统能力!F3</f>
        <v>15000</v>
      </c>
      <c r="J3" s="20">
        <v>30</v>
      </c>
      <c r="K3" s="20">
        <v>10</v>
      </c>
      <c r="L3" s="2">
        <f>J3*K3</f>
        <v>300</v>
      </c>
      <c r="N3" s="3">
        <v>1</v>
      </c>
      <c r="O3" s="3">
        <v>1.2</v>
      </c>
      <c r="P3" s="16">
        <v>0.03</v>
      </c>
      <c r="Q3" s="19">
        <f>SUM($P$3:P3)</f>
        <v>0.03</v>
      </c>
      <c r="R3" s="3">
        <f>$I$3*P3-S3</f>
        <v>150</v>
      </c>
      <c r="S3" s="3">
        <v>300</v>
      </c>
      <c r="T3" s="3" t="s">
        <v>92</v>
      </c>
      <c r="U3" s="3">
        <f>R3/$R$1</f>
        <v>1</v>
      </c>
    </row>
    <row r="4" spans="1:21" x14ac:dyDescent="0.15">
      <c r="A4" s="3">
        <v>2</v>
      </c>
      <c r="B4" s="3">
        <f t="shared" ref="B4:B67" si="0">QUOTIENT(A4-0.1,$B$1)</f>
        <v>0</v>
      </c>
      <c r="C4" s="3">
        <f>COUNTIF($B$3:B4,B4)-1</f>
        <v>1</v>
      </c>
      <c r="D4" s="3">
        <f>D3+E4</f>
        <v>1.01</v>
      </c>
      <c r="E4" s="8">
        <v>0.01</v>
      </c>
      <c r="F4" s="8">
        <v>1</v>
      </c>
      <c r="N4" s="3">
        <v>2</v>
      </c>
      <c r="O4" s="3">
        <v>1.5</v>
      </c>
      <c r="P4" s="16">
        <v>0.04</v>
      </c>
      <c r="Q4" s="19">
        <f>SUM($P$3:P4)</f>
        <v>7.0000000000000007E-2</v>
      </c>
      <c r="R4" s="3">
        <f t="shared" ref="R4:R12" si="1">$I$3*P4-S4</f>
        <v>300</v>
      </c>
      <c r="S4" s="3">
        <v>300</v>
      </c>
      <c r="T4" s="3" t="s">
        <v>93</v>
      </c>
      <c r="U4" s="3">
        <f t="shared" ref="U4:U12" si="2">R4/$R$1</f>
        <v>2</v>
      </c>
    </row>
    <row r="5" spans="1:21" x14ac:dyDescent="0.15">
      <c r="A5" s="3">
        <v>3</v>
      </c>
      <c r="B5" s="3">
        <f t="shared" si="0"/>
        <v>0</v>
      </c>
      <c r="C5" s="3">
        <f>COUNTIF($B$3:B5,B5)-1</f>
        <v>2</v>
      </c>
      <c r="D5" s="3">
        <f t="shared" ref="D5:D68" si="3">D4+E5</f>
        <v>1.02</v>
      </c>
      <c r="E5" s="8">
        <v>0.01</v>
      </c>
      <c r="F5" s="8">
        <v>1</v>
      </c>
      <c r="N5" s="3">
        <v>3</v>
      </c>
      <c r="O5" s="3">
        <v>1.9</v>
      </c>
      <c r="P5" s="16">
        <v>0.05</v>
      </c>
      <c r="Q5" s="19">
        <f>SUM($P$3:P5)</f>
        <v>0.12000000000000001</v>
      </c>
      <c r="R5" s="3">
        <f t="shared" si="1"/>
        <v>450</v>
      </c>
      <c r="S5" s="3">
        <v>300</v>
      </c>
      <c r="T5" s="3" t="s">
        <v>94</v>
      </c>
      <c r="U5" s="3">
        <f t="shared" si="2"/>
        <v>3</v>
      </c>
    </row>
    <row r="6" spans="1:21" x14ac:dyDescent="0.15">
      <c r="A6" s="3">
        <v>4</v>
      </c>
      <c r="B6" s="3">
        <f t="shared" si="0"/>
        <v>0</v>
      </c>
      <c r="C6" s="3">
        <f>COUNTIF($B$3:B6,B6)-1</f>
        <v>3</v>
      </c>
      <c r="D6" s="3">
        <f t="shared" si="3"/>
        <v>1.03</v>
      </c>
      <c r="E6" s="8">
        <v>0.01</v>
      </c>
      <c r="F6" s="8">
        <v>1</v>
      </c>
      <c r="N6" s="3">
        <v>4</v>
      </c>
      <c r="O6" s="3">
        <v>2.5</v>
      </c>
      <c r="P6" s="16">
        <v>0.08</v>
      </c>
      <c r="Q6" s="19">
        <f>SUM($P$3:P6)</f>
        <v>0.2</v>
      </c>
      <c r="R6" s="3">
        <f t="shared" si="1"/>
        <v>900</v>
      </c>
      <c r="S6" s="3">
        <v>300</v>
      </c>
      <c r="T6" s="3" t="s">
        <v>95</v>
      </c>
      <c r="U6" s="3">
        <f t="shared" si="2"/>
        <v>6</v>
      </c>
    </row>
    <row r="7" spans="1:21" x14ac:dyDescent="0.15">
      <c r="A7" s="3">
        <v>5</v>
      </c>
      <c r="B7" s="3">
        <f t="shared" si="0"/>
        <v>0</v>
      </c>
      <c r="C7" s="3">
        <f>COUNTIF($B$3:B7,B7)-1</f>
        <v>4</v>
      </c>
      <c r="D7" s="3">
        <f t="shared" si="3"/>
        <v>1.04</v>
      </c>
      <c r="E7" s="8">
        <v>0.01</v>
      </c>
      <c r="F7" s="8">
        <v>1</v>
      </c>
      <c r="N7" s="3">
        <v>5</v>
      </c>
      <c r="O7" s="3">
        <v>3.2</v>
      </c>
      <c r="P7" s="16">
        <v>0.08</v>
      </c>
      <c r="Q7" s="19">
        <f>SUM($P$3:P7)</f>
        <v>0.28000000000000003</v>
      </c>
      <c r="R7" s="3">
        <f t="shared" si="1"/>
        <v>900</v>
      </c>
      <c r="S7" s="3">
        <v>300</v>
      </c>
      <c r="T7" s="3" t="s">
        <v>96</v>
      </c>
      <c r="U7" s="3">
        <f t="shared" si="2"/>
        <v>6</v>
      </c>
    </row>
    <row r="8" spans="1:21" x14ac:dyDescent="0.15">
      <c r="A8" s="3">
        <v>6</v>
      </c>
      <c r="B8" s="3">
        <f t="shared" si="0"/>
        <v>0</v>
      </c>
      <c r="C8" s="3">
        <f>COUNTIF($B$3:B8,B8)-1</f>
        <v>5</v>
      </c>
      <c r="D8" s="3">
        <f t="shared" si="3"/>
        <v>1.05</v>
      </c>
      <c r="E8" s="8">
        <v>0.01</v>
      </c>
      <c r="F8" s="8">
        <v>1</v>
      </c>
      <c r="N8" s="3">
        <v>6</v>
      </c>
      <c r="O8" s="3">
        <v>4</v>
      </c>
      <c r="P8" s="16">
        <v>0.12</v>
      </c>
      <c r="Q8" s="19">
        <f>SUM($P$3:P8)</f>
        <v>0.4</v>
      </c>
      <c r="R8" s="3">
        <f t="shared" si="1"/>
        <v>1500</v>
      </c>
      <c r="S8" s="3">
        <v>300</v>
      </c>
      <c r="T8" s="3" t="s">
        <v>97</v>
      </c>
      <c r="U8" s="3">
        <f t="shared" si="2"/>
        <v>10</v>
      </c>
    </row>
    <row r="9" spans="1:21" x14ac:dyDescent="0.15">
      <c r="A9" s="3">
        <v>7</v>
      </c>
      <c r="B9" s="3">
        <f t="shared" si="0"/>
        <v>0</v>
      </c>
      <c r="C9" s="3">
        <f>COUNTIF($B$3:B9,B9)-1</f>
        <v>6</v>
      </c>
      <c r="D9" s="3">
        <f t="shared" si="3"/>
        <v>1.06</v>
      </c>
      <c r="E9" s="8">
        <v>0.01</v>
      </c>
      <c r="F9" s="8">
        <v>1</v>
      </c>
      <c r="N9" s="3">
        <v>7</v>
      </c>
      <c r="O9" s="3">
        <v>5</v>
      </c>
      <c r="P9" s="16">
        <v>0.12</v>
      </c>
      <c r="Q9" s="19">
        <f>SUM($P$3:P9)</f>
        <v>0.52</v>
      </c>
      <c r="R9" s="3">
        <f t="shared" si="1"/>
        <v>1500</v>
      </c>
      <c r="S9" s="3">
        <v>300</v>
      </c>
      <c r="T9" s="3" t="s">
        <v>98</v>
      </c>
      <c r="U9" s="3">
        <f t="shared" si="2"/>
        <v>10</v>
      </c>
    </row>
    <row r="10" spans="1:21" x14ac:dyDescent="0.15">
      <c r="A10" s="3">
        <v>8</v>
      </c>
      <c r="B10" s="3">
        <f t="shared" si="0"/>
        <v>0</v>
      </c>
      <c r="C10" s="3">
        <f>COUNTIF($B$3:B10,B10)-1</f>
        <v>7</v>
      </c>
      <c r="D10" s="3">
        <f t="shared" si="3"/>
        <v>1.07</v>
      </c>
      <c r="E10" s="8">
        <v>0.01</v>
      </c>
      <c r="F10" s="8">
        <v>1</v>
      </c>
      <c r="N10" s="3">
        <v>8</v>
      </c>
      <c r="O10" s="3">
        <v>6</v>
      </c>
      <c r="P10" s="16">
        <v>0.15</v>
      </c>
      <c r="Q10" s="19">
        <f>SUM($P$3:P10)</f>
        <v>0.67</v>
      </c>
      <c r="R10" s="3">
        <f t="shared" si="1"/>
        <v>1950</v>
      </c>
      <c r="S10" s="3">
        <v>300</v>
      </c>
      <c r="T10" s="3" t="s">
        <v>99</v>
      </c>
      <c r="U10" s="3">
        <f t="shared" si="2"/>
        <v>13</v>
      </c>
    </row>
    <row r="11" spans="1:21" x14ac:dyDescent="0.15">
      <c r="A11" s="3">
        <v>9</v>
      </c>
      <c r="B11" s="3">
        <f t="shared" si="0"/>
        <v>0</v>
      </c>
      <c r="C11" s="3">
        <f>COUNTIF($B$3:B11,B11)-1</f>
        <v>8</v>
      </c>
      <c r="D11" s="3">
        <f t="shared" si="3"/>
        <v>1.08</v>
      </c>
      <c r="E11" s="8">
        <v>0.01</v>
      </c>
      <c r="F11" s="8">
        <v>1</v>
      </c>
      <c r="N11" s="3">
        <v>9</v>
      </c>
      <c r="O11" s="3">
        <v>7</v>
      </c>
      <c r="P11" s="16">
        <v>0.15</v>
      </c>
      <c r="Q11" s="19">
        <f>SUM($P$3:P11)</f>
        <v>0.82000000000000006</v>
      </c>
      <c r="R11" s="3">
        <f t="shared" si="1"/>
        <v>1950</v>
      </c>
      <c r="S11" s="3">
        <v>300</v>
      </c>
      <c r="T11" s="3" t="s">
        <v>100</v>
      </c>
      <c r="U11" s="3">
        <f t="shared" si="2"/>
        <v>13</v>
      </c>
    </row>
    <row r="12" spans="1:21" x14ac:dyDescent="0.15">
      <c r="A12" s="3">
        <v>10</v>
      </c>
      <c r="B12" s="3">
        <f t="shared" si="0"/>
        <v>0</v>
      </c>
      <c r="C12" s="3">
        <f>COUNTIF($B$3:B12,B12)-1</f>
        <v>9</v>
      </c>
      <c r="D12" s="3">
        <f t="shared" si="3"/>
        <v>1.0900000000000001</v>
      </c>
      <c r="E12" s="8">
        <v>0.01</v>
      </c>
      <c r="F12" s="8">
        <v>1</v>
      </c>
      <c r="N12" s="3">
        <v>10</v>
      </c>
      <c r="O12" s="3">
        <v>8</v>
      </c>
      <c r="P12" s="16">
        <v>0.18</v>
      </c>
      <c r="Q12" s="19">
        <f>SUM($P$3:P12)</f>
        <v>1</v>
      </c>
      <c r="R12" s="3">
        <f t="shared" si="1"/>
        <v>2400</v>
      </c>
      <c r="S12" s="3">
        <v>300</v>
      </c>
      <c r="T12" s="3" t="s">
        <v>101</v>
      </c>
      <c r="U12" s="3">
        <f t="shared" si="2"/>
        <v>16</v>
      </c>
    </row>
    <row r="13" spans="1:21" x14ac:dyDescent="0.15">
      <c r="A13" s="3">
        <v>11</v>
      </c>
      <c r="B13" s="3">
        <f t="shared" si="0"/>
        <v>0</v>
      </c>
      <c r="C13" s="3">
        <f>COUNTIF($B$3:B13,B13)-1</f>
        <v>10</v>
      </c>
      <c r="D13" s="3">
        <f t="shared" si="3"/>
        <v>1.1000000000000001</v>
      </c>
      <c r="E13" s="8">
        <v>0.01</v>
      </c>
      <c r="F13" s="8">
        <v>1</v>
      </c>
    </row>
    <row r="14" spans="1:21" x14ac:dyDescent="0.15">
      <c r="A14" s="3">
        <v>12</v>
      </c>
      <c r="B14" s="3">
        <f t="shared" si="0"/>
        <v>1</v>
      </c>
      <c r="C14" s="3">
        <f>COUNTIF($B$3:B14,B14)-1</f>
        <v>0</v>
      </c>
      <c r="D14" s="3">
        <f t="shared" si="3"/>
        <v>1.2000000000000002</v>
      </c>
      <c r="E14" s="8">
        <v>0.1</v>
      </c>
      <c r="F14" s="8">
        <v>1</v>
      </c>
    </row>
    <row r="15" spans="1:21" x14ac:dyDescent="0.15">
      <c r="A15" s="3">
        <v>13</v>
      </c>
      <c r="B15" s="3">
        <f t="shared" si="0"/>
        <v>1</v>
      </c>
      <c r="C15" s="3">
        <f>COUNTIF($B$3:B15,B15)-1</f>
        <v>1</v>
      </c>
      <c r="D15" s="3">
        <f t="shared" si="3"/>
        <v>1.2100000000000002</v>
      </c>
      <c r="E15" s="8">
        <v>0.01</v>
      </c>
      <c r="F15" s="8">
        <v>1</v>
      </c>
    </row>
    <row r="16" spans="1:21" x14ac:dyDescent="0.15">
      <c r="A16" s="3">
        <v>14</v>
      </c>
      <c r="B16" s="3">
        <f t="shared" si="0"/>
        <v>1</v>
      </c>
      <c r="C16" s="3">
        <f>COUNTIF($B$3:B16,B16)-1</f>
        <v>2</v>
      </c>
      <c r="D16" s="3">
        <f t="shared" si="3"/>
        <v>1.2200000000000002</v>
      </c>
      <c r="E16" s="8">
        <v>0.01</v>
      </c>
      <c r="F16" s="8">
        <v>1</v>
      </c>
    </row>
    <row r="17" spans="1:6" x14ac:dyDescent="0.15">
      <c r="A17" s="3">
        <v>15</v>
      </c>
      <c r="B17" s="3">
        <f t="shared" si="0"/>
        <v>1</v>
      </c>
      <c r="C17" s="3">
        <f>COUNTIF($B$3:B17,B17)-1</f>
        <v>3</v>
      </c>
      <c r="D17" s="3">
        <f t="shared" si="3"/>
        <v>1.2300000000000002</v>
      </c>
      <c r="E17" s="8">
        <v>0.01</v>
      </c>
      <c r="F17" s="8">
        <v>1</v>
      </c>
    </row>
    <row r="18" spans="1:6" x14ac:dyDescent="0.15">
      <c r="A18" s="3">
        <v>16</v>
      </c>
      <c r="B18" s="3">
        <f t="shared" si="0"/>
        <v>1</v>
      </c>
      <c r="C18" s="3">
        <f>COUNTIF($B$3:B18,B18)-1</f>
        <v>4</v>
      </c>
      <c r="D18" s="3">
        <f t="shared" si="3"/>
        <v>1.2400000000000002</v>
      </c>
      <c r="E18" s="8">
        <v>0.01</v>
      </c>
      <c r="F18" s="8">
        <v>1</v>
      </c>
    </row>
    <row r="19" spans="1:6" x14ac:dyDescent="0.15">
      <c r="A19" s="3">
        <v>17</v>
      </c>
      <c r="B19" s="3">
        <f t="shared" si="0"/>
        <v>1</v>
      </c>
      <c r="C19" s="3">
        <f>COUNTIF($B$3:B19,B19)-1</f>
        <v>5</v>
      </c>
      <c r="D19" s="3">
        <f t="shared" si="3"/>
        <v>1.2500000000000002</v>
      </c>
      <c r="E19" s="8">
        <v>0.01</v>
      </c>
      <c r="F19" s="8">
        <v>1</v>
      </c>
    </row>
    <row r="20" spans="1:6" x14ac:dyDescent="0.15">
      <c r="A20" s="3">
        <v>18</v>
      </c>
      <c r="B20" s="3">
        <f t="shared" si="0"/>
        <v>1</v>
      </c>
      <c r="C20" s="3">
        <f>COUNTIF($B$3:B20,B20)-1</f>
        <v>6</v>
      </c>
      <c r="D20" s="3">
        <f t="shared" si="3"/>
        <v>1.2600000000000002</v>
      </c>
      <c r="E20" s="8">
        <v>0.01</v>
      </c>
      <c r="F20" s="8">
        <v>1</v>
      </c>
    </row>
    <row r="21" spans="1:6" x14ac:dyDescent="0.15">
      <c r="A21" s="3">
        <v>19</v>
      </c>
      <c r="B21" s="3">
        <f t="shared" si="0"/>
        <v>1</v>
      </c>
      <c r="C21" s="3">
        <f>COUNTIF($B$3:B21,B21)-1</f>
        <v>7</v>
      </c>
      <c r="D21" s="3">
        <f t="shared" si="3"/>
        <v>1.2700000000000002</v>
      </c>
      <c r="E21" s="8">
        <v>0.01</v>
      </c>
      <c r="F21" s="8">
        <v>1</v>
      </c>
    </row>
    <row r="22" spans="1:6" x14ac:dyDescent="0.15">
      <c r="A22" s="3">
        <v>20</v>
      </c>
      <c r="B22" s="3">
        <f t="shared" si="0"/>
        <v>1</v>
      </c>
      <c r="C22" s="3">
        <f>COUNTIF($B$3:B22,B22)-1</f>
        <v>8</v>
      </c>
      <c r="D22" s="3">
        <f t="shared" si="3"/>
        <v>1.2800000000000002</v>
      </c>
      <c r="E22" s="8">
        <v>0.01</v>
      </c>
      <c r="F22" s="8">
        <v>1</v>
      </c>
    </row>
    <row r="23" spans="1:6" x14ac:dyDescent="0.15">
      <c r="A23" s="3">
        <v>21</v>
      </c>
      <c r="B23" s="3">
        <f t="shared" si="0"/>
        <v>1</v>
      </c>
      <c r="C23" s="3">
        <f>COUNTIF($B$3:B23,B23)-1</f>
        <v>9</v>
      </c>
      <c r="D23" s="3">
        <f t="shared" si="3"/>
        <v>1.2900000000000003</v>
      </c>
      <c r="E23" s="8">
        <v>0.01</v>
      </c>
      <c r="F23" s="8">
        <v>1</v>
      </c>
    </row>
    <row r="24" spans="1:6" x14ac:dyDescent="0.15">
      <c r="A24" s="3">
        <v>22</v>
      </c>
      <c r="B24" s="3">
        <f t="shared" si="0"/>
        <v>1</v>
      </c>
      <c r="C24" s="3">
        <f>COUNTIF($B$3:B24,B24)-1</f>
        <v>10</v>
      </c>
      <c r="D24" s="3">
        <f t="shared" si="3"/>
        <v>1.3000000000000003</v>
      </c>
      <c r="E24" s="8">
        <v>0.01</v>
      </c>
      <c r="F24" s="8">
        <v>1</v>
      </c>
    </row>
    <row r="25" spans="1:6" x14ac:dyDescent="0.15">
      <c r="A25" s="3">
        <v>23</v>
      </c>
      <c r="B25" s="3">
        <f t="shared" si="0"/>
        <v>2</v>
      </c>
      <c r="C25" s="3">
        <f>COUNTIF($B$3:B25,B25)-1</f>
        <v>0</v>
      </c>
      <c r="D25" s="3">
        <f t="shared" si="3"/>
        <v>1.5000000000000002</v>
      </c>
      <c r="E25" s="8">
        <v>0.2</v>
      </c>
      <c r="F25" s="8">
        <v>1</v>
      </c>
    </row>
    <row r="26" spans="1:6" x14ac:dyDescent="0.15">
      <c r="A26" s="3">
        <v>24</v>
      </c>
      <c r="B26" s="3">
        <f t="shared" si="0"/>
        <v>2</v>
      </c>
      <c r="C26" s="3">
        <f>COUNTIF($B$3:B26,B26)-1</f>
        <v>1</v>
      </c>
      <c r="D26" s="3">
        <f t="shared" si="3"/>
        <v>1.5100000000000002</v>
      </c>
      <c r="E26" s="8">
        <v>0.01</v>
      </c>
      <c r="F26" s="8">
        <v>1</v>
      </c>
    </row>
    <row r="27" spans="1:6" x14ac:dyDescent="0.15">
      <c r="A27" s="3">
        <v>25</v>
      </c>
      <c r="B27" s="3">
        <f t="shared" si="0"/>
        <v>2</v>
      </c>
      <c r="C27" s="3">
        <f>COUNTIF($B$3:B27,B27)-1</f>
        <v>2</v>
      </c>
      <c r="D27" s="3">
        <f t="shared" si="3"/>
        <v>1.5200000000000002</v>
      </c>
      <c r="E27" s="8">
        <v>0.01</v>
      </c>
      <c r="F27" s="8">
        <v>1</v>
      </c>
    </row>
    <row r="28" spans="1:6" x14ac:dyDescent="0.15">
      <c r="A28" s="3">
        <v>26</v>
      </c>
      <c r="B28" s="3">
        <f t="shared" si="0"/>
        <v>2</v>
      </c>
      <c r="C28" s="3">
        <f>COUNTIF($B$3:B28,B28)-1</f>
        <v>3</v>
      </c>
      <c r="D28" s="3">
        <f t="shared" si="3"/>
        <v>1.5300000000000002</v>
      </c>
      <c r="E28" s="8">
        <v>0.01</v>
      </c>
      <c r="F28" s="8">
        <v>1</v>
      </c>
    </row>
    <row r="29" spans="1:6" x14ac:dyDescent="0.15">
      <c r="A29" s="3">
        <v>27</v>
      </c>
      <c r="B29" s="3">
        <f t="shared" si="0"/>
        <v>2</v>
      </c>
      <c r="C29" s="3">
        <f>COUNTIF($B$3:B29,B29)-1</f>
        <v>4</v>
      </c>
      <c r="D29" s="3">
        <f t="shared" si="3"/>
        <v>1.5400000000000003</v>
      </c>
      <c r="E29" s="8">
        <v>0.01</v>
      </c>
      <c r="F29" s="8">
        <v>1</v>
      </c>
    </row>
    <row r="30" spans="1:6" x14ac:dyDescent="0.15">
      <c r="A30" s="3">
        <v>28</v>
      </c>
      <c r="B30" s="3">
        <f t="shared" si="0"/>
        <v>2</v>
      </c>
      <c r="C30" s="3">
        <f>COUNTIF($B$3:B30,B30)-1</f>
        <v>5</v>
      </c>
      <c r="D30" s="3">
        <f t="shared" si="3"/>
        <v>1.5500000000000003</v>
      </c>
      <c r="E30" s="8">
        <v>0.01</v>
      </c>
      <c r="F30" s="8">
        <v>1</v>
      </c>
    </row>
    <row r="31" spans="1:6" x14ac:dyDescent="0.15">
      <c r="A31" s="3">
        <v>29</v>
      </c>
      <c r="B31" s="3">
        <f t="shared" si="0"/>
        <v>2</v>
      </c>
      <c r="C31" s="3">
        <f>COUNTIF($B$3:B31,B31)-1</f>
        <v>6</v>
      </c>
      <c r="D31" s="3">
        <f t="shared" si="3"/>
        <v>1.5600000000000003</v>
      </c>
      <c r="E31" s="8">
        <v>0.01</v>
      </c>
      <c r="F31" s="8">
        <v>1</v>
      </c>
    </row>
    <row r="32" spans="1:6" x14ac:dyDescent="0.15">
      <c r="A32" s="3">
        <v>30</v>
      </c>
      <c r="B32" s="3">
        <f t="shared" si="0"/>
        <v>2</v>
      </c>
      <c r="C32" s="3">
        <f>COUNTIF($B$3:B32,B32)-1</f>
        <v>7</v>
      </c>
      <c r="D32" s="3">
        <f t="shared" si="3"/>
        <v>1.5700000000000003</v>
      </c>
      <c r="E32" s="8">
        <v>0.01</v>
      </c>
      <c r="F32" s="8">
        <v>1</v>
      </c>
    </row>
    <row r="33" spans="1:6" x14ac:dyDescent="0.15">
      <c r="A33" s="3">
        <v>31</v>
      </c>
      <c r="B33" s="3">
        <f t="shared" si="0"/>
        <v>2</v>
      </c>
      <c r="C33" s="3">
        <f>COUNTIF($B$3:B33,B33)-1</f>
        <v>8</v>
      </c>
      <c r="D33" s="3">
        <f t="shared" si="3"/>
        <v>1.5800000000000003</v>
      </c>
      <c r="E33" s="8">
        <v>0.01</v>
      </c>
      <c r="F33" s="8">
        <v>1</v>
      </c>
    </row>
    <row r="34" spans="1:6" x14ac:dyDescent="0.15">
      <c r="A34" s="3">
        <v>32</v>
      </c>
      <c r="B34" s="3">
        <f t="shared" si="0"/>
        <v>2</v>
      </c>
      <c r="C34" s="3">
        <f>COUNTIF($B$3:B34,B34)-1</f>
        <v>9</v>
      </c>
      <c r="D34" s="3">
        <f t="shared" si="3"/>
        <v>1.5900000000000003</v>
      </c>
      <c r="E34" s="8">
        <v>0.01</v>
      </c>
      <c r="F34" s="8">
        <v>1</v>
      </c>
    </row>
    <row r="35" spans="1:6" x14ac:dyDescent="0.15">
      <c r="A35" s="3">
        <v>33</v>
      </c>
      <c r="B35" s="3">
        <f t="shared" si="0"/>
        <v>2</v>
      </c>
      <c r="C35" s="3">
        <f>COUNTIF($B$3:B35,B35)-1</f>
        <v>10</v>
      </c>
      <c r="D35" s="3">
        <f t="shared" si="3"/>
        <v>1.6000000000000003</v>
      </c>
      <c r="E35" s="8">
        <v>0.01</v>
      </c>
      <c r="F35" s="8">
        <v>1</v>
      </c>
    </row>
    <row r="36" spans="1:6" x14ac:dyDescent="0.15">
      <c r="A36" s="3">
        <v>34</v>
      </c>
      <c r="B36" s="3">
        <f t="shared" si="0"/>
        <v>3</v>
      </c>
      <c r="C36" s="3">
        <f>COUNTIF($B$3:B36,B36)-1</f>
        <v>0</v>
      </c>
      <c r="D36" s="3">
        <f t="shared" si="3"/>
        <v>1.9000000000000004</v>
      </c>
      <c r="E36" s="8">
        <v>0.3</v>
      </c>
      <c r="F36" s="8">
        <v>2</v>
      </c>
    </row>
    <row r="37" spans="1:6" x14ac:dyDescent="0.15">
      <c r="A37" s="3">
        <v>35</v>
      </c>
      <c r="B37" s="3">
        <f t="shared" si="0"/>
        <v>3</v>
      </c>
      <c r="C37" s="3">
        <f>COUNTIF($B$3:B37,B37)-1</f>
        <v>1</v>
      </c>
      <c r="D37" s="3">
        <f t="shared" si="3"/>
        <v>1.9200000000000004</v>
      </c>
      <c r="E37" s="8">
        <v>0.02</v>
      </c>
      <c r="F37" s="8">
        <v>2</v>
      </c>
    </row>
    <row r="38" spans="1:6" x14ac:dyDescent="0.15">
      <c r="A38" s="3">
        <v>36</v>
      </c>
      <c r="B38" s="3">
        <f t="shared" si="0"/>
        <v>3</v>
      </c>
      <c r="C38" s="3">
        <f>COUNTIF($B$3:B38,B38)-1</f>
        <v>2</v>
      </c>
      <c r="D38" s="3">
        <f t="shared" si="3"/>
        <v>1.9400000000000004</v>
      </c>
      <c r="E38" s="8">
        <v>0.02</v>
      </c>
      <c r="F38" s="8">
        <v>2</v>
      </c>
    </row>
    <row r="39" spans="1:6" x14ac:dyDescent="0.15">
      <c r="A39" s="3">
        <v>37</v>
      </c>
      <c r="B39" s="3">
        <f t="shared" si="0"/>
        <v>3</v>
      </c>
      <c r="C39" s="3">
        <f>COUNTIF($B$3:B39,B39)-1</f>
        <v>3</v>
      </c>
      <c r="D39" s="3">
        <f t="shared" si="3"/>
        <v>1.9600000000000004</v>
      </c>
      <c r="E39" s="8">
        <v>0.02</v>
      </c>
      <c r="F39" s="8">
        <v>2</v>
      </c>
    </row>
    <row r="40" spans="1:6" x14ac:dyDescent="0.15">
      <c r="A40" s="3">
        <v>38</v>
      </c>
      <c r="B40" s="3">
        <f t="shared" si="0"/>
        <v>3</v>
      </c>
      <c r="C40" s="3">
        <f>COUNTIF($B$3:B40,B40)-1</f>
        <v>4</v>
      </c>
      <c r="D40" s="3">
        <f t="shared" si="3"/>
        <v>1.9800000000000004</v>
      </c>
      <c r="E40" s="8">
        <v>0.02</v>
      </c>
      <c r="F40" s="8">
        <v>2</v>
      </c>
    </row>
    <row r="41" spans="1:6" x14ac:dyDescent="0.15">
      <c r="A41" s="3">
        <v>39</v>
      </c>
      <c r="B41" s="3">
        <f t="shared" si="0"/>
        <v>3</v>
      </c>
      <c r="C41" s="3">
        <f>COUNTIF($B$3:B41,B41)-1</f>
        <v>5</v>
      </c>
      <c r="D41" s="3">
        <f t="shared" si="3"/>
        <v>2.0000000000000004</v>
      </c>
      <c r="E41" s="8">
        <v>0.02</v>
      </c>
      <c r="F41" s="8">
        <v>2</v>
      </c>
    </row>
    <row r="42" spans="1:6" x14ac:dyDescent="0.15">
      <c r="A42" s="3">
        <v>40</v>
      </c>
      <c r="B42" s="3">
        <f t="shared" si="0"/>
        <v>3</v>
      </c>
      <c r="C42" s="3">
        <f>COUNTIF($B$3:B42,B42)-1</f>
        <v>6</v>
      </c>
      <c r="D42" s="3">
        <f t="shared" si="3"/>
        <v>2.0200000000000005</v>
      </c>
      <c r="E42" s="8">
        <v>0.02</v>
      </c>
      <c r="F42" s="8">
        <v>2</v>
      </c>
    </row>
    <row r="43" spans="1:6" x14ac:dyDescent="0.15">
      <c r="A43" s="3">
        <v>41</v>
      </c>
      <c r="B43" s="3">
        <f t="shared" si="0"/>
        <v>3</v>
      </c>
      <c r="C43" s="3">
        <f>COUNTIF($B$3:B43,B43)-1</f>
        <v>7</v>
      </c>
      <c r="D43" s="3">
        <f t="shared" si="3"/>
        <v>2.0400000000000005</v>
      </c>
      <c r="E43" s="8">
        <v>0.02</v>
      </c>
      <c r="F43" s="8">
        <v>2</v>
      </c>
    </row>
    <row r="44" spans="1:6" x14ac:dyDescent="0.15">
      <c r="A44" s="3">
        <v>42</v>
      </c>
      <c r="B44" s="3">
        <f t="shared" si="0"/>
        <v>3</v>
      </c>
      <c r="C44" s="3">
        <f>COUNTIF($B$3:B44,B44)-1</f>
        <v>8</v>
      </c>
      <c r="D44" s="3">
        <f t="shared" si="3"/>
        <v>2.0600000000000005</v>
      </c>
      <c r="E44" s="8">
        <v>0.02</v>
      </c>
      <c r="F44" s="8">
        <v>2</v>
      </c>
    </row>
    <row r="45" spans="1:6" x14ac:dyDescent="0.15">
      <c r="A45" s="3">
        <v>43</v>
      </c>
      <c r="B45" s="3">
        <f t="shared" si="0"/>
        <v>3</v>
      </c>
      <c r="C45" s="3">
        <f>COUNTIF($B$3:B45,B45)-1</f>
        <v>9</v>
      </c>
      <c r="D45" s="3">
        <f t="shared" si="3"/>
        <v>2.0800000000000005</v>
      </c>
      <c r="E45" s="8">
        <v>0.02</v>
      </c>
      <c r="F45" s="8">
        <v>2</v>
      </c>
    </row>
    <row r="46" spans="1:6" x14ac:dyDescent="0.15">
      <c r="A46" s="3">
        <v>44</v>
      </c>
      <c r="B46" s="3">
        <f t="shared" si="0"/>
        <v>3</v>
      </c>
      <c r="C46" s="3">
        <f>COUNTIF($B$3:B46,B46)-1</f>
        <v>10</v>
      </c>
      <c r="D46" s="3">
        <f t="shared" si="3"/>
        <v>2.1000000000000005</v>
      </c>
      <c r="E46" s="8">
        <v>0.02</v>
      </c>
      <c r="F46" s="8">
        <v>2</v>
      </c>
    </row>
    <row r="47" spans="1:6" x14ac:dyDescent="0.15">
      <c r="A47" s="3">
        <v>45</v>
      </c>
      <c r="B47" s="3">
        <f t="shared" si="0"/>
        <v>4</v>
      </c>
      <c r="C47" s="3">
        <f>COUNTIF($B$3:B47,B47)-1</f>
        <v>0</v>
      </c>
      <c r="D47" s="3">
        <f t="shared" si="3"/>
        <v>2.5000000000000004</v>
      </c>
      <c r="E47" s="8">
        <v>0.4</v>
      </c>
      <c r="F47" s="8">
        <v>2</v>
      </c>
    </row>
    <row r="48" spans="1:6" x14ac:dyDescent="0.15">
      <c r="A48" s="3">
        <v>46</v>
      </c>
      <c r="B48" s="3">
        <f t="shared" si="0"/>
        <v>4</v>
      </c>
      <c r="C48" s="3">
        <f>COUNTIF($B$3:B48,B48)-1</f>
        <v>1</v>
      </c>
      <c r="D48" s="3">
        <f t="shared" si="3"/>
        <v>2.5200000000000005</v>
      </c>
      <c r="E48" s="8">
        <v>0.02</v>
      </c>
      <c r="F48" s="8">
        <v>2</v>
      </c>
    </row>
    <row r="49" spans="1:6" x14ac:dyDescent="0.15">
      <c r="A49" s="3">
        <v>47</v>
      </c>
      <c r="B49" s="3">
        <f t="shared" si="0"/>
        <v>4</v>
      </c>
      <c r="C49" s="3">
        <f>COUNTIF($B$3:B49,B49)-1</f>
        <v>2</v>
      </c>
      <c r="D49" s="3">
        <f t="shared" si="3"/>
        <v>2.5400000000000005</v>
      </c>
      <c r="E49" s="8">
        <v>0.02</v>
      </c>
      <c r="F49" s="8">
        <v>2</v>
      </c>
    </row>
    <row r="50" spans="1:6" x14ac:dyDescent="0.15">
      <c r="A50" s="3">
        <v>48</v>
      </c>
      <c r="B50" s="3">
        <f t="shared" si="0"/>
        <v>4</v>
      </c>
      <c r="C50" s="3">
        <f>COUNTIF($B$3:B50,B50)-1</f>
        <v>3</v>
      </c>
      <c r="D50" s="3">
        <f t="shared" si="3"/>
        <v>2.5600000000000005</v>
      </c>
      <c r="E50" s="8">
        <v>0.02</v>
      </c>
      <c r="F50" s="8">
        <v>2</v>
      </c>
    </row>
    <row r="51" spans="1:6" x14ac:dyDescent="0.15">
      <c r="A51" s="3">
        <v>49</v>
      </c>
      <c r="B51" s="3">
        <f t="shared" si="0"/>
        <v>4</v>
      </c>
      <c r="C51" s="3">
        <f>COUNTIF($B$3:B51,B51)-1</f>
        <v>4</v>
      </c>
      <c r="D51" s="3">
        <f t="shared" si="3"/>
        <v>2.5800000000000005</v>
      </c>
      <c r="E51" s="8">
        <v>0.02</v>
      </c>
      <c r="F51" s="8">
        <v>2</v>
      </c>
    </row>
    <row r="52" spans="1:6" x14ac:dyDescent="0.15">
      <c r="A52" s="3">
        <v>50</v>
      </c>
      <c r="B52" s="3">
        <f t="shared" si="0"/>
        <v>4</v>
      </c>
      <c r="C52" s="3">
        <f>COUNTIF($B$3:B52,B52)-1</f>
        <v>5</v>
      </c>
      <c r="D52" s="3">
        <f t="shared" si="3"/>
        <v>2.6000000000000005</v>
      </c>
      <c r="E52" s="8">
        <v>0.02</v>
      </c>
      <c r="F52" s="8">
        <v>2</v>
      </c>
    </row>
    <row r="53" spans="1:6" x14ac:dyDescent="0.15">
      <c r="A53" s="3">
        <v>51</v>
      </c>
      <c r="B53" s="3">
        <f t="shared" si="0"/>
        <v>4</v>
      </c>
      <c r="C53" s="3">
        <f>COUNTIF($B$3:B53,B53)-1</f>
        <v>6</v>
      </c>
      <c r="D53" s="3">
        <f t="shared" si="3"/>
        <v>2.6200000000000006</v>
      </c>
      <c r="E53" s="8">
        <v>0.02</v>
      </c>
      <c r="F53" s="8">
        <v>2</v>
      </c>
    </row>
    <row r="54" spans="1:6" x14ac:dyDescent="0.15">
      <c r="A54" s="3">
        <v>52</v>
      </c>
      <c r="B54" s="3">
        <f t="shared" si="0"/>
        <v>4</v>
      </c>
      <c r="C54" s="3">
        <f>COUNTIF($B$3:B54,B54)-1</f>
        <v>7</v>
      </c>
      <c r="D54" s="3">
        <f t="shared" si="3"/>
        <v>2.6400000000000006</v>
      </c>
      <c r="E54" s="8">
        <v>0.02</v>
      </c>
      <c r="F54" s="8">
        <v>2</v>
      </c>
    </row>
    <row r="55" spans="1:6" x14ac:dyDescent="0.15">
      <c r="A55" s="3">
        <v>53</v>
      </c>
      <c r="B55" s="3">
        <f t="shared" si="0"/>
        <v>4</v>
      </c>
      <c r="C55" s="3">
        <f>COUNTIF($B$3:B55,B55)-1</f>
        <v>8</v>
      </c>
      <c r="D55" s="3">
        <f t="shared" si="3"/>
        <v>2.6600000000000006</v>
      </c>
      <c r="E55" s="8">
        <v>0.02</v>
      </c>
      <c r="F55" s="8">
        <v>2</v>
      </c>
    </row>
    <row r="56" spans="1:6" x14ac:dyDescent="0.15">
      <c r="A56" s="3">
        <v>54</v>
      </c>
      <c r="B56" s="3">
        <f t="shared" si="0"/>
        <v>4</v>
      </c>
      <c r="C56" s="3">
        <f>COUNTIF($B$3:B56,B56)-1</f>
        <v>9</v>
      </c>
      <c r="D56" s="3">
        <f t="shared" si="3"/>
        <v>2.6800000000000006</v>
      </c>
      <c r="E56" s="8">
        <v>0.02</v>
      </c>
      <c r="F56" s="8">
        <v>2</v>
      </c>
    </row>
    <row r="57" spans="1:6" x14ac:dyDescent="0.15">
      <c r="A57" s="3">
        <v>55</v>
      </c>
      <c r="B57" s="3">
        <f t="shared" si="0"/>
        <v>4</v>
      </c>
      <c r="C57" s="3">
        <f>COUNTIF($B$3:B57,B57)-1</f>
        <v>10</v>
      </c>
      <c r="D57" s="3">
        <f t="shared" si="3"/>
        <v>2.7000000000000006</v>
      </c>
      <c r="E57" s="8">
        <v>0.02</v>
      </c>
      <c r="F57" s="8">
        <v>2</v>
      </c>
    </row>
    <row r="58" spans="1:6" x14ac:dyDescent="0.15">
      <c r="A58" s="3">
        <v>56</v>
      </c>
      <c r="B58" s="3">
        <f t="shared" si="0"/>
        <v>5</v>
      </c>
      <c r="C58" s="3">
        <f>COUNTIF($B$3:B58,B58)-1</f>
        <v>0</v>
      </c>
      <c r="D58" s="3">
        <f t="shared" si="3"/>
        <v>3.2000000000000006</v>
      </c>
      <c r="E58" s="8">
        <v>0.5</v>
      </c>
      <c r="F58" s="8">
        <v>3</v>
      </c>
    </row>
    <row r="59" spans="1:6" x14ac:dyDescent="0.15">
      <c r="A59" s="3">
        <v>57</v>
      </c>
      <c r="B59" s="3">
        <f t="shared" si="0"/>
        <v>5</v>
      </c>
      <c r="C59" s="3">
        <f>COUNTIF($B$3:B59,B59)-1</f>
        <v>1</v>
      </c>
      <c r="D59" s="3">
        <f t="shared" si="3"/>
        <v>3.2200000000000006</v>
      </c>
      <c r="E59" s="8">
        <v>0.02</v>
      </c>
      <c r="F59" s="8">
        <v>3</v>
      </c>
    </row>
    <row r="60" spans="1:6" x14ac:dyDescent="0.15">
      <c r="A60" s="3">
        <v>58</v>
      </c>
      <c r="B60" s="3">
        <f t="shared" si="0"/>
        <v>5</v>
      </c>
      <c r="C60" s="3">
        <f>COUNTIF($B$3:B60,B60)-1</f>
        <v>2</v>
      </c>
      <c r="D60" s="3">
        <f t="shared" si="3"/>
        <v>3.2400000000000007</v>
      </c>
      <c r="E60" s="8">
        <v>0.02</v>
      </c>
      <c r="F60" s="8">
        <v>3</v>
      </c>
    </row>
    <row r="61" spans="1:6" x14ac:dyDescent="0.15">
      <c r="A61" s="3">
        <v>59</v>
      </c>
      <c r="B61" s="3">
        <f t="shared" si="0"/>
        <v>5</v>
      </c>
      <c r="C61" s="3">
        <f>COUNTIF($B$3:B61,B61)-1</f>
        <v>3</v>
      </c>
      <c r="D61" s="3">
        <f t="shared" si="3"/>
        <v>3.2600000000000007</v>
      </c>
      <c r="E61" s="8">
        <v>0.02</v>
      </c>
      <c r="F61" s="8">
        <v>3</v>
      </c>
    </row>
    <row r="62" spans="1:6" x14ac:dyDescent="0.15">
      <c r="A62" s="3">
        <v>60</v>
      </c>
      <c r="B62" s="3">
        <f t="shared" si="0"/>
        <v>5</v>
      </c>
      <c r="C62" s="3">
        <f>COUNTIF($B$3:B62,B62)-1</f>
        <v>4</v>
      </c>
      <c r="D62" s="3">
        <f t="shared" si="3"/>
        <v>3.2800000000000007</v>
      </c>
      <c r="E62" s="8">
        <v>0.02</v>
      </c>
      <c r="F62" s="8">
        <v>3</v>
      </c>
    </row>
    <row r="63" spans="1:6" x14ac:dyDescent="0.15">
      <c r="A63" s="3">
        <v>61</v>
      </c>
      <c r="B63" s="3">
        <f t="shared" si="0"/>
        <v>5</v>
      </c>
      <c r="C63" s="3">
        <f>COUNTIF($B$3:B63,B63)-1</f>
        <v>5</v>
      </c>
      <c r="D63" s="3">
        <f t="shared" si="3"/>
        <v>3.3000000000000007</v>
      </c>
      <c r="E63" s="8">
        <v>0.02</v>
      </c>
      <c r="F63" s="8">
        <v>3</v>
      </c>
    </row>
    <row r="64" spans="1:6" x14ac:dyDescent="0.15">
      <c r="A64" s="3">
        <v>62</v>
      </c>
      <c r="B64" s="3">
        <f t="shared" si="0"/>
        <v>5</v>
      </c>
      <c r="C64" s="3">
        <f>COUNTIF($B$3:B64,B64)-1</f>
        <v>6</v>
      </c>
      <c r="D64" s="3">
        <f t="shared" si="3"/>
        <v>3.3200000000000007</v>
      </c>
      <c r="E64" s="8">
        <v>0.02</v>
      </c>
      <c r="F64" s="8">
        <v>3</v>
      </c>
    </row>
    <row r="65" spans="1:6" x14ac:dyDescent="0.15">
      <c r="A65" s="3">
        <v>63</v>
      </c>
      <c r="B65" s="3">
        <f t="shared" si="0"/>
        <v>5</v>
      </c>
      <c r="C65" s="3">
        <f>COUNTIF($B$3:B65,B65)-1</f>
        <v>7</v>
      </c>
      <c r="D65" s="3">
        <f t="shared" si="3"/>
        <v>3.3400000000000007</v>
      </c>
      <c r="E65" s="8">
        <v>0.02</v>
      </c>
      <c r="F65" s="8">
        <v>3</v>
      </c>
    </row>
    <row r="66" spans="1:6" x14ac:dyDescent="0.15">
      <c r="A66" s="3">
        <v>64</v>
      </c>
      <c r="B66" s="3">
        <f t="shared" si="0"/>
        <v>5</v>
      </c>
      <c r="C66" s="3">
        <f>COUNTIF($B$3:B66,B66)-1</f>
        <v>8</v>
      </c>
      <c r="D66" s="3">
        <f t="shared" si="3"/>
        <v>3.3600000000000008</v>
      </c>
      <c r="E66" s="8">
        <v>0.02</v>
      </c>
      <c r="F66" s="8">
        <v>3</v>
      </c>
    </row>
    <row r="67" spans="1:6" x14ac:dyDescent="0.15">
      <c r="A67" s="3">
        <v>65</v>
      </c>
      <c r="B67" s="3">
        <f t="shared" si="0"/>
        <v>5</v>
      </c>
      <c r="C67" s="3">
        <f>COUNTIF($B$3:B67,B67)-1</f>
        <v>9</v>
      </c>
      <c r="D67" s="3">
        <f t="shared" si="3"/>
        <v>3.3800000000000008</v>
      </c>
      <c r="E67" s="8">
        <v>0.02</v>
      </c>
      <c r="F67" s="8">
        <v>3</v>
      </c>
    </row>
    <row r="68" spans="1:6" x14ac:dyDescent="0.15">
      <c r="A68" s="3">
        <v>66</v>
      </c>
      <c r="B68" s="3">
        <f t="shared" ref="B68:B113" si="4">QUOTIENT(A68-0.1,$B$1)</f>
        <v>5</v>
      </c>
      <c r="C68" s="3">
        <f>COUNTIF($B$3:B68,B68)-1</f>
        <v>10</v>
      </c>
      <c r="D68" s="3">
        <f t="shared" si="3"/>
        <v>3.4000000000000008</v>
      </c>
      <c r="E68" s="8">
        <v>0.02</v>
      </c>
      <c r="F68" s="8">
        <v>3</v>
      </c>
    </row>
    <row r="69" spans="1:6" x14ac:dyDescent="0.15">
      <c r="A69" s="3">
        <v>67</v>
      </c>
      <c r="B69" s="3">
        <f t="shared" si="4"/>
        <v>6</v>
      </c>
      <c r="C69" s="3">
        <f>COUNTIF($B$3:B69,B69)-1</f>
        <v>0</v>
      </c>
      <c r="D69" s="3">
        <f t="shared" ref="D69:D113" si="5">D68+E69</f>
        <v>4.0000000000000009</v>
      </c>
      <c r="E69" s="8">
        <v>0.6</v>
      </c>
      <c r="F69" s="8">
        <v>3</v>
      </c>
    </row>
    <row r="70" spans="1:6" x14ac:dyDescent="0.15">
      <c r="A70" s="3">
        <v>68</v>
      </c>
      <c r="B70" s="3">
        <f t="shared" si="4"/>
        <v>6</v>
      </c>
      <c r="C70" s="3">
        <f>COUNTIF($B$3:B70,B70)-1</f>
        <v>1</v>
      </c>
      <c r="D70" s="3">
        <f t="shared" si="5"/>
        <v>4.0200000000000005</v>
      </c>
      <c r="E70" s="8">
        <v>0.02</v>
      </c>
      <c r="F70" s="8">
        <v>3</v>
      </c>
    </row>
    <row r="71" spans="1:6" x14ac:dyDescent="0.15">
      <c r="A71" s="3">
        <v>69</v>
      </c>
      <c r="B71" s="3">
        <f t="shared" si="4"/>
        <v>6</v>
      </c>
      <c r="C71" s="3">
        <f>COUNTIF($B$3:B71,B71)-1</f>
        <v>2</v>
      </c>
      <c r="D71" s="3">
        <f t="shared" si="5"/>
        <v>4.04</v>
      </c>
      <c r="E71" s="8">
        <v>0.02</v>
      </c>
      <c r="F71" s="8">
        <v>3</v>
      </c>
    </row>
    <row r="72" spans="1:6" x14ac:dyDescent="0.15">
      <c r="A72" s="3">
        <v>70</v>
      </c>
      <c r="B72" s="3">
        <f t="shared" si="4"/>
        <v>6</v>
      </c>
      <c r="C72" s="3">
        <f>COUNTIF($B$3:B72,B72)-1</f>
        <v>3</v>
      </c>
      <c r="D72" s="3">
        <f t="shared" si="5"/>
        <v>4.0599999999999996</v>
      </c>
      <c r="E72" s="8">
        <v>0.02</v>
      </c>
      <c r="F72" s="8">
        <v>3</v>
      </c>
    </row>
    <row r="73" spans="1:6" x14ac:dyDescent="0.15">
      <c r="A73" s="3">
        <v>71</v>
      </c>
      <c r="B73" s="3">
        <f t="shared" si="4"/>
        <v>6</v>
      </c>
      <c r="C73" s="3">
        <f>COUNTIF($B$3:B73,B73)-1</f>
        <v>4</v>
      </c>
      <c r="D73" s="3">
        <f t="shared" si="5"/>
        <v>4.0799999999999992</v>
      </c>
      <c r="E73" s="8">
        <v>0.02</v>
      </c>
      <c r="F73" s="8">
        <v>3</v>
      </c>
    </row>
    <row r="74" spans="1:6" x14ac:dyDescent="0.15">
      <c r="A74" s="3">
        <v>72</v>
      </c>
      <c r="B74" s="3">
        <f t="shared" si="4"/>
        <v>6</v>
      </c>
      <c r="C74" s="3">
        <f>COUNTIF($B$3:B74,B74)-1</f>
        <v>5</v>
      </c>
      <c r="D74" s="3">
        <f t="shared" si="5"/>
        <v>4.0999999999999988</v>
      </c>
      <c r="E74" s="8">
        <v>0.02</v>
      </c>
      <c r="F74" s="8">
        <v>3</v>
      </c>
    </row>
    <row r="75" spans="1:6" x14ac:dyDescent="0.15">
      <c r="A75" s="3">
        <v>73</v>
      </c>
      <c r="B75" s="3">
        <f t="shared" si="4"/>
        <v>6</v>
      </c>
      <c r="C75" s="3">
        <f>COUNTIF($B$3:B75,B75)-1</f>
        <v>6</v>
      </c>
      <c r="D75" s="3">
        <f t="shared" si="5"/>
        <v>4.1199999999999983</v>
      </c>
      <c r="E75" s="8">
        <v>0.02</v>
      </c>
      <c r="F75" s="8">
        <v>3</v>
      </c>
    </row>
    <row r="76" spans="1:6" x14ac:dyDescent="0.15">
      <c r="A76" s="3">
        <v>74</v>
      </c>
      <c r="B76" s="3">
        <f t="shared" si="4"/>
        <v>6</v>
      </c>
      <c r="C76" s="3">
        <f>COUNTIF($B$3:B76,B76)-1</f>
        <v>7</v>
      </c>
      <c r="D76" s="3">
        <f t="shared" si="5"/>
        <v>4.1399999999999979</v>
      </c>
      <c r="E76" s="8">
        <v>0.02</v>
      </c>
      <c r="F76" s="8">
        <v>3</v>
      </c>
    </row>
    <row r="77" spans="1:6" x14ac:dyDescent="0.15">
      <c r="A77" s="3">
        <v>75</v>
      </c>
      <c r="B77" s="3">
        <f t="shared" si="4"/>
        <v>6</v>
      </c>
      <c r="C77" s="3">
        <f>COUNTIF($B$3:B77,B77)-1</f>
        <v>8</v>
      </c>
      <c r="D77" s="3">
        <f t="shared" si="5"/>
        <v>4.1599999999999975</v>
      </c>
      <c r="E77" s="8">
        <v>0.02</v>
      </c>
      <c r="F77" s="8">
        <v>3</v>
      </c>
    </row>
    <row r="78" spans="1:6" x14ac:dyDescent="0.15">
      <c r="A78" s="3">
        <v>76</v>
      </c>
      <c r="B78" s="3">
        <f t="shared" si="4"/>
        <v>6</v>
      </c>
      <c r="C78" s="3">
        <f>COUNTIF($B$3:B78,B78)-1</f>
        <v>9</v>
      </c>
      <c r="D78" s="3">
        <f t="shared" si="5"/>
        <v>4.1799999999999971</v>
      </c>
      <c r="E78" s="8">
        <v>0.02</v>
      </c>
      <c r="F78" s="8">
        <v>3</v>
      </c>
    </row>
    <row r="79" spans="1:6" x14ac:dyDescent="0.15">
      <c r="A79" s="3">
        <v>77</v>
      </c>
      <c r="B79" s="3">
        <f t="shared" si="4"/>
        <v>6</v>
      </c>
      <c r="C79" s="3">
        <f>COUNTIF($B$3:B79,B79)-1</f>
        <v>10</v>
      </c>
      <c r="D79" s="3">
        <f t="shared" si="5"/>
        <v>4.1999999999999966</v>
      </c>
      <c r="E79" s="8">
        <v>0.02</v>
      </c>
      <c r="F79" s="8">
        <v>3</v>
      </c>
    </row>
    <row r="80" spans="1:6" x14ac:dyDescent="0.15">
      <c r="A80" s="3">
        <v>78</v>
      </c>
      <c r="B80" s="3">
        <f t="shared" si="4"/>
        <v>7</v>
      </c>
      <c r="C80" s="3">
        <f>COUNTIF($B$3:B80,B80)-1</f>
        <v>0</v>
      </c>
      <c r="D80" s="3">
        <f t="shared" si="5"/>
        <v>4.9999999999999964</v>
      </c>
      <c r="E80" s="8">
        <v>0.8</v>
      </c>
      <c r="F80" s="8">
        <v>4</v>
      </c>
    </row>
    <row r="81" spans="1:6" x14ac:dyDescent="0.15">
      <c r="A81" s="3">
        <v>79</v>
      </c>
      <c r="B81" s="3">
        <f t="shared" si="4"/>
        <v>7</v>
      </c>
      <c r="C81" s="3">
        <f>COUNTIF($B$3:B81,B81)-1</f>
        <v>1</v>
      </c>
      <c r="D81" s="3">
        <f t="shared" si="5"/>
        <v>5.019999999999996</v>
      </c>
      <c r="E81" s="8">
        <v>0.02</v>
      </c>
      <c r="F81" s="8">
        <v>4</v>
      </c>
    </row>
    <row r="82" spans="1:6" x14ac:dyDescent="0.15">
      <c r="A82" s="3">
        <v>80</v>
      </c>
      <c r="B82" s="3">
        <f t="shared" si="4"/>
        <v>7</v>
      </c>
      <c r="C82" s="3">
        <f>COUNTIF($B$3:B82,B82)-1</f>
        <v>2</v>
      </c>
      <c r="D82" s="3">
        <f t="shared" si="5"/>
        <v>5.0399999999999956</v>
      </c>
      <c r="E82" s="8">
        <v>0.02</v>
      </c>
      <c r="F82" s="8">
        <v>4</v>
      </c>
    </row>
    <row r="83" spans="1:6" x14ac:dyDescent="0.15">
      <c r="A83" s="3">
        <v>81</v>
      </c>
      <c r="B83" s="3">
        <f t="shared" si="4"/>
        <v>7</v>
      </c>
      <c r="C83" s="3">
        <f>COUNTIF($B$3:B83,B83)-1</f>
        <v>3</v>
      </c>
      <c r="D83" s="3">
        <f t="shared" si="5"/>
        <v>5.0599999999999952</v>
      </c>
      <c r="E83" s="8">
        <v>0.02</v>
      </c>
      <c r="F83" s="8">
        <v>4</v>
      </c>
    </row>
    <row r="84" spans="1:6" x14ac:dyDescent="0.15">
      <c r="A84" s="3">
        <v>82</v>
      </c>
      <c r="B84" s="3">
        <f t="shared" si="4"/>
        <v>7</v>
      </c>
      <c r="C84" s="3">
        <f>COUNTIF($B$3:B84,B84)-1</f>
        <v>4</v>
      </c>
      <c r="D84" s="3">
        <f t="shared" si="5"/>
        <v>5.0799999999999947</v>
      </c>
      <c r="E84" s="8">
        <v>0.02</v>
      </c>
      <c r="F84" s="8">
        <v>4</v>
      </c>
    </row>
    <row r="85" spans="1:6" x14ac:dyDescent="0.15">
      <c r="A85" s="3">
        <v>83</v>
      </c>
      <c r="B85" s="3">
        <f t="shared" si="4"/>
        <v>7</v>
      </c>
      <c r="C85" s="3">
        <f>COUNTIF($B$3:B85,B85)-1</f>
        <v>5</v>
      </c>
      <c r="D85" s="3">
        <f t="shared" si="5"/>
        <v>5.0999999999999943</v>
      </c>
      <c r="E85" s="8">
        <v>0.02</v>
      </c>
      <c r="F85" s="8">
        <v>4</v>
      </c>
    </row>
    <row r="86" spans="1:6" x14ac:dyDescent="0.15">
      <c r="A86" s="3">
        <v>84</v>
      </c>
      <c r="B86" s="3">
        <f t="shared" si="4"/>
        <v>7</v>
      </c>
      <c r="C86" s="3">
        <f>COUNTIF($B$3:B86,B86)-1</f>
        <v>6</v>
      </c>
      <c r="D86" s="3">
        <f t="shared" si="5"/>
        <v>5.1199999999999939</v>
      </c>
      <c r="E86" s="8">
        <v>0.02</v>
      </c>
      <c r="F86" s="8">
        <v>4</v>
      </c>
    </row>
    <row r="87" spans="1:6" x14ac:dyDescent="0.15">
      <c r="A87" s="3">
        <v>85</v>
      </c>
      <c r="B87" s="3">
        <f t="shared" si="4"/>
        <v>7</v>
      </c>
      <c r="C87" s="3">
        <f>COUNTIF($B$3:B87,B87)-1</f>
        <v>7</v>
      </c>
      <c r="D87" s="3">
        <f t="shared" si="5"/>
        <v>5.1399999999999935</v>
      </c>
      <c r="E87" s="8">
        <v>0.02</v>
      </c>
      <c r="F87" s="8">
        <v>4</v>
      </c>
    </row>
    <row r="88" spans="1:6" x14ac:dyDescent="0.15">
      <c r="A88" s="3">
        <v>86</v>
      </c>
      <c r="B88" s="3">
        <f t="shared" si="4"/>
        <v>7</v>
      </c>
      <c r="C88" s="3">
        <f>COUNTIF($B$3:B88,B88)-1</f>
        <v>8</v>
      </c>
      <c r="D88" s="3">
        <f t="shared" si="5"/>
        <v>5.159999999999993</v>
      </c>
      <c r="E88" s="8">
        <v>0.02</v>
      </c>
      <c r="F88" s="8">
        <v>4</v>
      </c>
    </row>
    <row r="89" spans="1:6" x14ac:dyDescent="0.15">
      <c r="A89" s="3">
        <v>87</v>
      </c>
      <c r="B89" s="3">
        <f t="shared" si="4"/>
        <v>7</v>
      </c>
      <c r="C89" s="3">
        <f>COUNTIF($B$3:B89,B89)-1</f>
        <v>9</v>
      </c>
      <c r="D89" s="3">
        <f t="shared" si="5"/>
        <v>5.1799999999999926</v>
      </c>
      <c r="E89" s="8">
        <v>0.02</v>
      </c>
      <c r="F89" s="8">
        <v>4</v>
      </c>
    </row>
    <row r="90" spans="1:6" x14ac:dyDescent="0.15">
      <c r="A90" s="3">
        <v>88</v>
      </c>
      <c r="B90" s="3">
        <f t="shared" si="4"/>
        <v>7</v>
      </c>
      <c r="C90" s="3">
        <f>COUNTIF($B$3:B90,B90)-1</f>
        <v>10</v>
      </c>
      <c r="D90" s="3">
        <f t="shared" si="5"/>
        <v>5.1999999999999922</v>
      </c>
      <c r="E90" s="8">
        <v>0.02</v>
      </c>
      <c r="F90" s="8">
        <v>4</v>
      </c>
    </row>
    <row r="91" spans="1:6" x14ac:dyDescent="0.15">
      <c r="A91" s="3">
        <v>89</v>
      </c>
      <c r="B91" s="3">
        <f t="shared" si="4"/>
        <v>8</v>
      </c>
      <c r="C91" s="3">
        <f>COUNTIF($B$3:B91,B91)-1</f>
        <v>0</v>
      </c>
      <c r="D91" s="3">
        <f t="shared" si="5"/>
        <v>5.999999999999992</v>
      </c>
      <c r="E91" s="8">
        <v>0.8</v>
      </c>
      <c r="F91" s="8">
        <v>4</v>
      </c>
    </row>
    <row r="92" spans="1:6" x14ac:dyDescent="0.15">
      <c r="A92" s="3">
        <v>90</v>
      </c>
      <c r="B92" s="3">
        <f t="shared" si="4"/>
        <v>8</v>
      </c>
      <c r="C92" s="3">
        <f>COUNTIF($B$3:B92,B92)-1</f>
        <v>1</v>
      </c>
      <c r="D92" s="3">
        <f t="shared" si="5"/>
        <v>6.0199999999999916</v>
      </c>
      <c r="E92" s="8">
        <v>0.02</v>
      </c>
      <c r="F92" s="8">
        <v>4</v>
      </c>
    </row>
    <row r="93" spans="1:6" x14ac:dyDescent="0.15">
      <c r="A93" s="3">
        <v>91</v>
      </c>
      <c r="B93" s="3">
        <f t="shared" si="4"/>
        <v>8</v>
      </c>
      <c r="C93" s="3">
        <f>COUNTIF($B$3:B93,B93)-1</f>
        <v>2</v>
      </c>
      <c r="D93" s="3">
        <f t="shared" si="5"/>
        <v>6.0399999999999912</v>
      </c>
      <c r="E93" s="8">
        <v>0.02</v>
      </c>
      <c r="F93" s="8">
        <v>4</v>
      </c>
    </row>
    <row r="94" spans="1:6" x14ac:dyDescent="0.15">
      <c r="A94" s="3">
        <v>92</v>
      </c>
      <c r="B94" s="3">
        <f t="shared" si="4"/>
        <v>8</v>
      </c>
      <c r="C94" s="3">
        <f>COUNTIF($B$3:B94,B94)-1</f>
        <v>3</v>
      </c>
      <c r="D94" s="3">
        <f t="shared" si="5"/>
        <v>6.0599999999999907</v>
      </c>
      <c r="E94" s="8">
        <v>0.02</v>
      </c>
      <c r="F94" s="8">
        <v>4</v>
      </c>
    </row>
    <row r="95" spans="1:6" x14ac:dyDescent="0.15">
      <c r="A95" s="3">
        <v>93</v>
      </c>
      <c r="B95" s="3">
        <f t="shared" si="4"/>
        <v>8</v>
      </c>
      <c r="C95" s="3">
        <f>COUNTIF($B$3:B95,B95)-1</f>
        <v>4</v>
      </c>
      <c r="D95" s="3">
        <f t="shared" si="5"/>
        <v>6.0799999999999903</v>
      </c>
      <c r="E95" s="8">
        <v>0.02</v>
      </c>
      <c r="F95" s="8">
        <v>4</v>
      </c>
    </row>
    <row r="96" spans="1:6" x14ac:dyDescent="0.15">
      <c r="A96" s="3">
        <v>94</v>
      </c>
      <c r="B96" s="3">
        <f t="shared" si="4"/>
        <v>8</v>
      </c>
      <c r="C96" s="3">
        <f>COUNTIF($B$3:B96,B96)-1</f>
        <v>5</v>
      </c>
      <c r="D96" s="3">
        <f t="shared" si="5"/>
        <v>6.0999999999999899</v>
      </c>
      <c r="E96" s="8">
        <v>0.02</v>
      </c>
      <c r="F96" s="8">
        <v>4</v>
      </c>
    </row>
    <row r="97" spans="1:6" x14ac:dyDescent="0.15">
      <c r="A97" s="3">
        <v>95</v>
      </c>
      <c r="B97" s="3">
        <f t="shared" si="4"/>
        <v>8</v>
      </c>
      <c r="C97" s="3">
        <f>COUNTIF($B$3:B97,B97)-1</f>
        <v>6</v>
      </c>
      <c r="D97" s="3">
        <f t="shared" si="5"/>
        <v>6.1199999999999894</v>
      </c>
      <c r="E97" s="8">
        <v>0.02</v>
      </c>
      <c r="F97" s="8">
        <v>4</v>
      </c>
    </row>
    <row r="98" spans="1:6" x14ac:dyDescent="0.15">
      <c r="A98" s="3">
        <v>96</v>
      </c>
      <c r="B98" s="3">
        <f t="shared" si="4"/>
        <v>8</v>
      </c>
      <c r="C98" s="3">
        <f>COUNTIF($B$3:B98,B98)-1</f>
        <v>7</v>
      </c>
      <c r="D98" s="3">
        <f t="shared" si="5"/>
        <v>6.139999999999989</v>
      </c>
      <c r="E98" s="8">
        <v>0.02</v>
      </c>
      <c r="F98" s="8">
        <v>4</v>
      </c>
    </row>
    <row r="99" spans="1:6" x14ac:dyDescent="0.15">
      <c r="A99" s="3">
        <v>97</v>
      </c>
      <c r="B99" s="3">
        <f t="shared" si="4"/>
        <v>8</v>
      </c>
      <c r="C99" s="3">
        <f>COUNTIF($B$3:B99,B99)-1</f>
        <v>8</v>
      </c>
      <c r="D99" s="3">
        <f t="shared" si="5"/>
        <v>6.1599999999999886</v>
      </c>
      <c r="E99" s="8">
        <v>0.02</v>
      </c>
      <c r="F99" s="8">
        <v>4</v>
      </c>
    </row>
    <row r="100" spans="1:6" x14ac:dyDescent="0.15">
      <c r="A100" s="3">
        <v>98</v>
      </c>
      <c r="B100" s="3">
        <f t="shared" si="4"/>
        <v>8</v>
      </c>
      <c r="C100" s="3">
        <f>COUNTIF($B$3:B100,B100)-1</f>
        <v>9</v>
      </c>
      <c r="D100" s="3">
        <f t="shared" si="5"/>
        <v>6.1799999999999882</v>
      </c>
      <c r="E100" s="8">
        <v>0.02</v>
      </c>
      <c r="F100" s="8">
        <v>4</v>
      </c>
    </row>
    <row r="101" spans="1:6" x14ac:dyDescent="0.15">
      <c r="A101" s="3">
        <v>99</v>
      </c>
      <c r="B101" s="3">
        <f t="shared" si="4"/>
        <v>8</v>
      </c>
      <c r="C101" s="3">
        <f>COUNTIF($B$3:B101,B101)-1</f>
        <v>10</v>
      </c>
      <c r="D101" s="3">
        <f t="shared" si="5"/>
        <v>6.1999999999999877</v>
      </c>
      <c r="E101" s="8">
        <v>0.02</v>
      </c>
      <c r="F101" s="8">
        <v>4</v>
      </c>
    </row>
    <row r="102" spans="1:6" x14ac:dyDescent="0.15">
      <c r="A102" s="3">
        <v>100</v>
      </c>
      <c r="B102" s="3">
        <f t="shared" si="4"/>
        <v>9</v>
      </c>
      <c r="C102" s="3">
        <f>COUNTIF($B$3:B102,B102)-1</f>
        <v>0</v>
      </c>
      <c r="D102" s="3">
        <f t="shared" si="5"/>
        <v>6.9999999999999876</v>
      </c>
      <c r="E102" s="8">
        <v>0.8</v>
      </c>
      <c r="F102" s="8">
        <v>5</v>
      </c>
    </row>
    <row r="103" spans="1:6" x14ac:dyDescent="0.15">
      <c r="A103" s="3">
        <v>101</v>
      </c>
      <c r="B103" s="3">
        <f t="shared" si="4"/>
        <v>9</v>
      </c>
      <c r="C103" s="3">
        <f>COUNTIF($B$3:B103,B103)-1</f>
        <v>1</v>
      </c>
      <c r="D103" s="3">
        <f t="shared" si="5"/>
        <v>7.0199999999999871</v>
      </c>
      <c r="E103" s="8">
        <v>0.02</v>
      </c>
      <c r="F103" s="8">
        <v>5</v>
      </c>
    </row>
    <row r="104" spans="1:6" x14ac:dyDescent="0.15">
      <c r="A104" s="3">
        <v>102</v>
      </c>
      <c r="B104" s="3">
        <f t="shared" si="4"/>
        <v>9</v>
      </c>
      <c r="C104" s="3">
        <f>COUNTIF($B$3:B104,B104)-1</f>
        <v>2</v>
      </c>
      <c r="D104" s="3">
        <f t="shared" si="5"/>
        <v>7.0399999999999867</v>
      </c>
      <c r="E104" s="8">
        <v>0.02</v>
      </c>
      <c r="F104" s="8">
        <v>5</v>
      </c>
    </row>
    <row r="105" spans="1:6" x14ac:dyDescent="0.15">
      <c r="A105" s="3">
        <v>103</v>
      </c>
      <c r="B105" s="3">
        <f t="shared" si="4"/>
        <v>9</v>
      </c>
      <c r="C105" s="3">
        <f>COUNTIF($B$3:B105,B105)-1</f>
        <v>3</v>
      </c>
      <c r="D105" s="3">
        <f t="shared" si="5"/>
        <v>7.0599999999999863</v>
      </c>
      <c r="E105" s="8">
        <v>0.02</v>
      </c>
      <c r="F105" s="8">
        <v>5</v>
      </c>
    </row>
    <row r="106" spans="1:6" x14ac:dyDescent="0.15">
      <c r="A106" s="3">
        <v>104</v>
      </c>
      <c r="B106" s="3">
        <f t="shared" si="4"/>
        <v>9</v>
      </c>
      <c r="C106" s="3">
        <f>COUNTIF($B$3:B106,B106)-1</f>
        <v>4</v>
      </c>
      <c r="D106" s="3">
        <f t="shared" si="5"/>
        <v>7.0799999999999859</v>
      </c>
      <c r="E106" s="8">
        <v>0.02</v>
      </c>
      <c r="F106" s="8">
        <v>5</v>
      </c>
    </row>
    <row r="107" spans="1:6" x14ac:dyDescent="0.15">
      <c r="A107" s="3">
        <v>105</v>
      </c>
      <c r="B107" s="3">
        <f t="shared" si="4"/>
        <v>9</v>
      </c>
      <c r="C107" s="3">
        <f>COUNTIF($B$3:B107,B107)-1</f>
        <v>5</v>
      </c>
      <c r="D107" s="3">
        <f t="shared" si="5"/>
        <v>7.0999999999999854</v>
      </c>
      <c r="E107" s="8">
        <v>0.02</v>
      </c>
      <c r="F107" s="8">
        <v>5</v>
      </c>
    </row>
    <row r="108" spans="1:6" x14ac:dyDescent="0.15">
      <c r="A108" s="3">
        <v>106</v>
      </c>
      <c r="B108" s="3">
        <f t="shared" si="4"/>
        <v>9</v>
      </c>
      <c r="C108" s="3">
        <f>COUNTIF($B$3:B108,B108)-1</f>
        <v>6</v>
      </c>
      <c r="D108" s="3">
        <f t="shared" si="5"/>
        <v>7.119999999999985</v>
      </c>
      <c r="E108" s="8">
        <v>0.02</v>
      </c>
      <c r="F108" s="8">
        <v>5</v>
      </c>
    </row>
    <row r="109" spans="1:6" x14ac:dyDescent="0.15">
      <c r="A109" s="3">
        <v>107</v>
      </c>
      <c r="B109" s="3">
        <f t="shared" si="4"/>
        <v>9</v>
      </c>
      <c r="C109" s="3">
        <f>COUNTIF($B$3:B109,B109)-1</f>
        <v>7</v>
      </c>
      <c r="D109" s="3">
        <f t="shared" si="5"/>
        <v>7.1399999999999846</v>
      </c>
      <c r="E109" s="8">
        <v>0.02</v>
      </c>
      <c r="F109" s="8">
        <v>5</v>
      </c>
    </row>
    <row r="110" spans="1:6" x14ac:dyDescent="0.15">
      <c r="A110" s="3">
        <v>108</v>
      </c>
      <c r="B110" s="3">
        <f t="shared" si="4"/>
        <v>9</v>
      </c>
      <c r="C110" s="3">
        <f>COUNTIF($B$3:B110,B110)-1</f>
        <v>8</v>
      </c>
      <c r="D110" s="3">
        <f t="shared" si="5"/>
        <v>7.1599999999999842</v>
      </c>
      <c r="E110" s="8">
        <v>0.02</v>
      </c>
      <c r="F110" s="8">
        <v>5</v>
      </c>
    </row>
    <row r="111" spans="1:6" x14ac:dyDescent="0.15">
      <c r="A111" s="3">
        <v>109</v>
      </c>
      <c r="B111" s="3">
        <f t="shared" si="4"/>
        <v>9</v>
      </c>
      <c r="C111" s="3">
        <f>COUNTIF($B$3:B111,B111)-1</f>
        <v>9</v>
      </c>
      <c r="D111" s="3">
        <f t="shared" si="5"/>
        <v>7.1799999999999837</v>
      </c>
      <c r="E111" s="8">
        <v>0.02</v>
      </c>
      <c r="F111" s="8">
        <v>5</v>
      </c>
    </row>
    <row r="112" spans="1:6" x14ac:dyDescent="0.15">
      <c r="A112" s="3">
        <v>110</v>
      </c>
      <c r="B112" s="3">
        <f t="shared" si="4"/>
        <v>9</v>
      </c>
      <c r="C112" s="3">
        <f>COUNTIF($B$3:B112,B112)-1</f>
        <v>10</v>
      </c>
      <c r="D112" s="3">
        <f t="shared" si="5"/>
        <v>7.1999999999999833</v>
      </c>
      <c r="E112" s="8">
        <v>0.02</v>
      </c>
      <c r="F112" s="8">
        <v>5</v>
      </c>
    </row>
    <row r="113" spans="1:6" x14ac:dyDescent="0.15">
      <c r="A113" s="3">
        <v>111</v>
      </c>
      <c r="B113" s="3">
        <f t="shared" si="4"/>
        <v>10</v>
      </c>
      <c r="C113" s="3">
        <f>COUNTIF($B$3:B113,B113)-1</f>
        <v>0</v>
      </c>
      <c r="D113" s="3">
        <f t="shared" si="5"/>
        <v>7.9999999999999831</v>
      </c>
      <c r="E113" s="8">
        <v>0.8</v>
      </c>
      <c r="F113" s="8">
        <v>5</v>
      </c>
    </row>
  </sheetData>
  <phoneticPr fontId="1" type="noConversion"/>
  <conditionalFormatting sqref="T3:T12">
    <cfRule type="expression" dxfId="0" priority="1">
      <formula>IF($T3="魄石",TRUE,FALSE)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N13"/>
  <sheetViews>
    <sheetView workbookViewId="0">
      <selection activeCell="U9" sqref="U9"/>
    </sheetView>
  </sheetViews>
  <sheetFormatPr defaultRowHeight="13.5" x14ac:dyDescent="0.15"/>
  <cols>
    <col min="1" max="1" width="9" style="1"/>
    <col min="2" max="2" width="11.125" style="1" bestFit="1" customWidth="1"/>
    <col min="3" max="16384" width="9" style="1"/>
  </cols>
  <sheetData>
    <row r="1" spans="1:14" x14ac:dyDescent="0.15">
      <c r="C1" s="21">
        <v>0.24</v>
      </c>
      <c r="D1" s="21">
        <v>0.1</v>
      </c>
      <c r="E1" s="21">
        <v>0.2</v>
      </c>
      <c r="F1" s="21">
        <v>0.14000000000000001</v>
      </c>
      <c r="G1" s="21">
        <v>0.16</v>
      </c>
      <c r="H1" s="21">
        <v>0.16</v>
      </c>
      <c r="I1" s="7">
        <v>5</v>
      </c>
      <c r="J1" s="7">
        <v>5</v>
      </c>
      <c r="K1" s="7">
        <v>5</v>
      </c>
      <c r="L1" s="7">
        <v>5</v>
      </c>
      <c r="M1" s="7">
        <v>5</v>
      </c>
      <c r="N1" s="7">
        <v>5</v>
      </c>
    </row>
    <row r="2" spans="1:14" x14ac:dyDescent="0.15">
      <c r="A2" s="5" t="s">
        <v>41</v>
      </c>
      <c r="B2" s="5" t="s">
        <v>42</v>
      </c>
      <c r="C2" s="5" t="s">
        <v>43</v>
      </c>
      <c r="D2" s="5" t="s">
        <v>44</v>
      </c>
      <c r="E2" s="5" t="s">
        <v>45</v>
      </c>
      <c r="F2" s="5" t="s">
        <v>46</v>
      </c>
      <c r="G2" s="5" t="s">
        <v>47</v>
      </c>
      <c r="H2" s="5" t="s">
        <v>48</v>
      </c>
      <c r="I2" s="5" t="s">
        <v>49</v>
      </c>
      <c r="J2" s="5" t="s">
        <v>50</v>
      </c>
      <c r="K2" s="5" t="s">
        <v>51</v>
      </c>
      <c r="L2" s="5" t="s">
        <v>52</v>
      </c>
      <c r="M2" s="5" t="s">
        <v>53</v>
      </c>
      <c r="N2" s="5" t="s">
        <v>54</v>
      </c>
    </row>
    <row r="3" spans="1:14" x14ac:dyDescent="0.15">
      <c r="A3" s="2" t="s">
        <v>11</v>
      </c>
      <c r="B3" s="2">
        <f>系统能力!B5*系统能力!F3</f>
        <v>1500</v>
      </c>
      <c r="C3" s="2">
        <f>C$1*$B3</f>
        <v>360</v>
      </c>
      <c r="D3" s="2">
        <f t="shared" ref="D3:H13" si="0">D$1*$B3</f>
        <v>150</v>
      </c>
      <c r="E3" s="2">
        <f t="shared" si="0"/>
        <v>300</v>
      </c>
      <c r="F3" s="2">
        <f t="shared" si="0"/>
        <v>210.00000000000003</v>
      </c>
      <c r="G3" s="2">
        <f t="shared" si="0"/>
        <v>240</v>
      </c>
      <c r="H3" s="2">
        <f t="shared" si="0"/>
        <v>240</v>
      </c>
      <c r="I3" s="2">
        <f>C3/I$1</f>
        <v>72</v>
      </c>
      <c r="J3" s="2">
        <f t="shared" ref="J3:N3" si="1">D3/J$1</f>
        <v>30</v>
      </c>
      <c r="K3" s="2">
        <f t="shared" si="1"/>
        <v>60</v>
      </c>
      <c r="L3" s="2">
        <f t="shared" si="1"/>
        <v>42.000000000000007</v>
      </c>
      <c r="M3" s="2">
        <f t="shared" si="1"/>
        <v>48</v>
      </c>
      <c r="N3" s="2">
        <f t="shared" si="1"/>
        <v>48</v>
      </c>
    </row>
    <row r="4" spans="1:14" x14ac:dyDescent="0.15">
      <c r="A4" s="2" t="s">
        <v>12</v>
      </c>
      <c r="B4" s="2">
        <f>系统能力!B6*系统能力!F3</f>
        <v>2500</v>
      </c>
      <c r="C4" s="2">
        <f t="shared" ref="C4:C7" si="2">C$1*$B4</f>
        <v>600</v>
      </c>
      <c r="D4" s="2">
        <f t="shared" si="0"/>
        <v>250</v>
      </c>
      <c r="E4" s="2">
        <f t="shared" si="0"/>
        <v>500</v>
      </c>
      <c r="F4" s="2">
        <f t="shared" si="0"/>
        <v>350.00000000000006</v>
      </c>
      <c r="G4" s="2">
        <f t="shared" si="0"/>
        <v>400</v>
      </c>
      <c r="H4" s="2">
        <f t="shared" si="0"/>
        <v>400</v>
      </c>
      <c r="I4" s="2">
        <f t="shared" ref="I4:I7" si="3">C4/I$1</f>
        <v>120</v>
      </c>
      <c r="J4" s="2">
        <f t="shared" ref="J4:J7" si="4">D4/J$1</f>
        <v>50</v>
      </c>
      <c r="K4" s="2">
        <f t="shared" ref="K4:K7" si="5">E4/K$1</f>
        <v>100</v>
      </c>
      <c r="L4" s="2">
        <f t="shared" ref="L4:L7" si="6">F4/L$1</f>
        <v>70.000000000000014</v>
      </c>
      <c r="M4" s="2">
        <f t="shared" ref="M4:M7" si="7">G4/M$1</f>
        <v>80</v>
      </c>
      <c r="N4" s="2">
        <f t="shared" ref="N4:N7" si="8">H4/N$1</f>
        <v>80</v>
      </c>
    </row>
    <row r="5" spans="1:14" x14ac:dyDescent="0.15">
      <c r="A5" s="2" t="s">
        <v>13</v>
      </c>
      <c r="B5" s="2">
        <f>系统能力!B7*系统能力!F3</f>
        <v>4000</v>
      </c>
      <c r="C5" s="2">
        <f t="shared" si="2"/>
        <v>960</v>
      </c>
      <c r="D5" s="2">
        <f t="shared" si="0"/>
        <v>400</v>
      </c>
      <c r="E5" s="2">
        <f t="shared" si="0"/>
        <v>800</v>
      </c>
      <c r="F5" s="2">
        <f t="shared" si="0"/>
        <v>560</v>
      </c>
      <c r="G5" s="2">
        <f t="shared" si="0"/>
        <v>640</v>
      </c>
      <c r="H5" s="2">
        <f t="shared" si="0"/>
        <v>640</v>
      </c>
      <c r="I5" s="2">
        <f t="shared" si="3"/>
        <v>192</v>
      </c>
      <c r="J5" s="2">
        <f t="shared" si="4"/>
        <v>80</v>
      </c>
      <c r="K5" s="2">
        <f t="shared" si="5"/>
        <v>160</v>
      </c>
      <c r="L5" s="2">
        <f t="shared" si="6"/>
        <v>112</v>
      </c>
      <c r="M5" s="2">
        <f t="shared" si="7"/>
        <v>128</v>
      </c>
      <c r="N5" s="2">
        <f t="shared" si="8"/>
        <v>128</v>
      </c>
    </row>
    <row r="6" spans="1:14" x14ac:dyDescent="0.15">
      <c r="A6" s="2" t="s">
        <v>14</v>
      </c>
      <c r="B6" s="2">
        <f>系统能力!B8*系统能力!F3</f>
        <v>6000</v>
      </c>
      <c r="C6" s="2">
        <f t="shared" si="2"/>
        <v>1440</v>
      </c>
      <c r="D6" s="2">
        <f t="shared" si="0"/>
        <v>600</v>
      </c>
      <c r="E6" s="2">
        <f t="shared" si="0"/>
        <v>1200</v>
      </c>
      <c r="F6" s="2">
        <f t="shared" si="0"/>
        <v>840.00000000000011</v>
      </c>
      <c r="G6" s="2">
        <f t="shared" si="0"/>
        <v>960</v>
      </c>
      <c r="H6" s="2">
        <f t="shared" si="0"/>
        <v>960</v>
      </c>
      <c r="I6" s="2">
        <f t="shared" si="3"/>
        <v>288</v>
      </c>
      <c r="J6" s="2">
        <f t="shared" si="4"/>
        <v>120</v>
      </c>
      <c r="K6" s="2">
        <f t="shared" si="5"/>
        <v>240</v>
      </c>
      <c r="L6" s="2">
        <f t="shared" si="6"/>
        <v>168.00000000000003</v>
      </c>
      <c r="M6" s="2">
        <f t="shared" si="7"/>
        <v>192</v>
      </c>
      <c r="N6" s="2">
        <f t="shared" si="8"/>
        <v>192</v>
      </c>
    </row>
    <row r="7" spans="1:14" x14ac:dyDescent="0.15">
      <c r="A7" s="2" t="s">
        <v>15</v>
      </c>
      <c r="B7" s="2">
        <f>系统能力!B9*系统能力!F3</f>
        <v>8000</v>
      </c>
      <c r="C7" s="2">
        <f t="shared" si="2"/>
        <v>1920</v>
      </c>
      <c r="D7" s="2">
        <f t="shared" si="0"/>
        <v>800</v>
      </c>
      <c r="E7" s="2">
        <f t="shared" si="0"/>
        <v>1600</v>
      </c>
      <c r="F7" s="2">
        <f t="shared" si="0"/>
        <v>1120</v>
      </c>
      <c r="G7" s="2">
        <f t="shared" si="0"/>
        <v>1280</v>
      </c>
      <c r="H7" s="2">
        <f t="shared" si="0"/>
        <v>1280</v>
      </c>
      <c r="I7" s="2">
        <f t="shared" si="3"/>
        <v>384</v>
      </c>
      <c r="J7" s="2">
        <f t="shared" si="4"/>
        <v>160</v>
      </c>
      <c r="K7" s="2">
        <f t="shared" si="5"/>
        <v>320</v>
      </c>
      <c r="L7" s="2">
        <f t="shared" si="6"/>
        <v>224</v>
      </c>
      <c r="M7" s="2">
        <f t="shared" si="7"/>
        <v>256</v>
      </c>
      <c r="N7" s="2">
        <f t="shared" si="8"/>
        <v>256</v>
      </c>
    </row>
    <row r="8" spans="1:14" x14ac:dyDescent="0.15">
      <c r="A8" s="5" t="s">
        <v>29</v>
      </c>
      <c r="B8" s="5" t="s">
        <v>103</v>
      </c>
      <c r="C8" s="5" t="s">
        <v>43</v>
      </c>
      <c r="D8" s="5" t="s">
        <v>44</v>
      </c>
      <c r="E8" s="5" t="s">
        <v>45</v>
      </c>
      <c r="F8" s="5" t="s">
        <v>46</v>
      </c>
      <c r="G8" s="5" t="s">
        <v>47</v>
      </c>
      <c r="H8" s="5" t="s">
        <v>48</v>
      </c>
    </row>
    <row r="9" spans="1:14" x14ac:dyDescent="0.15">
      <c r="A9" s="2" t="s">
        <v>11</v>
      </c>
      <c r="B9" s="2">
        <f>系统能力!B5</f>
        <v>150</v>
      </c>
      <c r="C9" s="2">
        <f>C$1*$B9</f>
        <v>36</v>
      </c>
      <c r="D9" s="2">
        <f t="shared" si="0"/>
        <v>15</v>
      </c>
      <c r="E9" s="2">
        <f t="shared" si="0"/>
        <v>30</v>
      </c>
      <c r="F9" s="2">
        <f t="shared" si="0"/>
        <v>21.000000000000004</v>
      </c>
      <c r="G9" s="2">
        <f t="shared" si="0"/>
        <v>24</v>
      </c>
      <c r="H9" s="2">
        <f t="shared" si="0"/>
        <v>24</v>
      </c>
    </row>
    <row r="10" spans="1:14" x14ac:dyDescent="0.15">
      <c r="A10" s="2" t="s">
        <v>12</v>
      </c>
      <c r="B10" s="2">
        <f>系统能力!B6</f>
        <v>250</v>
      </c>
      <c r="C10" s="2">
        <f t="shared" ref="C10:C13" si="9">C$1*$B10</f>
        <v>60</v>
      </c>
      <c r="D10" s="2">
        <f t="shared" si="0"/>
        <v>25</v>
      </c>
      <c r="E10" s="2">
        <f t="shared" si="0"/>
        <v>50</v>
      </c>
      <c r="F10" s="2">
        <f t="shared" si="0"/>
        <v>35</v>
      </c>
      <c r="G10" s="2">
        <f t="shared" si="0"/>
        <v>40</v>
      </c>
      <c r="H10" s="2">
        <f t="shared" si="0"/>
        <v>40</v>
      </c>
    </row>
    <row r="11" spans="1:14" x14ac:dyDescent="0.15">
      <c r="A11" s="2" t="s">
        <v>13</v>
      </c>
      <c r="B11" s="2">
        <f>系统能力!B7</f>
        <v>400</v>
      </c>
      <c r="C11" s="2">
        <f t="shared" si="9"/>
        <v>96</v>
      </c>
      <c r="D11" s="2">
        <f t="shared" si="0"/>
        <v>40</v>
      </c>
      <c r="E11" s="2">
        <f t="shared" si="0"/>
        <v>80</v>
      </c>
      <c r="F11" s="2">
        <f t="shared" si="0"/>
        <v>56.000000000000007</v>
      </c>
      <c r="G11" s="2">
        <f t="shared" si="0"/>
        <v>64</v>
      </c>
      <c r="H11" s="2">
        <f t="shared" si="0"/>
        <v>64</v>
      </c>
    </row>
    <row r="12" spans="1:14" x14ac:dyDescent="0.15">
      <c r="A12" s="2" t="s">
        <v>14</v>
      </c>
      <c r="B12" s="2">
        <f>系统能力!B8</f>
        <v>600</v>
      </c>
      <c r="C12" s="2">
        <f t="shared" si="9"/>
        <v>144</v>
      </c>
      <c r="D12" s="2">
        <f t="shared" si="0"/>
        <v>60</v>
      </c>
      <c r="E12" s="2">
        <f t="shared" si="0"/>
        <v>120</v>
      </c>
      <c r="F12" s="2">
        <f t="shared" si="0"/>
        <v>84.000000000000014</v>
      </c>
      <c r="G12" s="2">
        <f t="shared" si="0"/>
        <v>96</v>
      </c>
      <c r="H12" s="2">
        <f t="shared" si="0"/>
        <v>96</v>
      </c>
    </row>
    <row r="13" spans="1:14" x14ac:dyDescent="0.15">
      <c r="A13" s="2" t="s">
        <v>15</v>
      </c>
      <c r="B13" s="2">
        <f>系统能力!B9</f>
        <v>800</v>
      </c>
      <c r="C13" s="2">
        <f t="shared" si="9"/>
        <v>192</v>
      </c>
      <c r="D13" s="2">
        <f t="shared" si="0"/>
        <v>80</v>
      </c>
      <c r="E13" s="2">
        <f t="shared" si="0"/>
        <v>160</v>
      </c>
      <c r="F13" s="2">
        <f t="shared" si="0"/>
        <v>112.00000000000001</v>
      </c>
      <c r="G13" s="2">
        <f t="shared" si="0"/>
        <v>128</v>
      </c>
      <c r="H13" s="2">
        <f t="shared" si="0"/>
        <v>128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D11"/>
  <sheetViews>
    <sheetView workbookViewId="0">
      <selection activeCell="L17" sqref="L17"/>
    </sheetView>
  </sheetViews>
  <sheetFormatPr defaultRowHeight="13.5" x14ac:dyDescent="0.15"/>
  <cols>
    <col min="1" max="2" width="9" style="1"/>
    <col min="3" max="3" width="12.125" style="1" bestFit="1" customWidth="1"/>
    <col min="4" max="4" width="15.25" style="1" bestFit="1" customWidth="1"/>
    <col min="5" max="16384" width="9" style="1"/>
  </cols>
  <sheetData>
    <row r="1" spans="1:4" x14ac:dyDescent="0.15">
      <c r="B1" s="7">
        <v>5</v>
      </c>
      <c r="C1" s="7">
        <v>2</v>
      </c>
      <c r="D1" s="7">
        <v>16</v>
      </c>
    </row>
    <row r="2" spans="1:4" x14ac:dyDescent="0.15">
      <c r="A2" s="23" t="s">
        <v>60</v>
      </c>
      <c r="B2" s="23" t="s">
        <v>61</v>
      </c>
      <c r="C2" s="23" t="s">
        <v>42</v>
      </c>
      <c r="D2" s="23" t="s">
        <v>62</v>
      </c>
    </row>
    <row r="3" spans="1:4" x14ac:dyDescent="0.15">
      <c r="A3" s="22">
        <v>1</v>
      </c>
      <c r="B3" s="22">
        <f>$B$1^(A3-1)</f>
        <v>1</v>
      </c>
      <c r="C3" s="22">
        <f>B3*$C$1</f>
        <v>2</v>
      </c>
      <c r="D3" s="22">
        <f>C3*$D$1</f>
        <v>32</v>
      </c>
    </row>
    <row r="4" spans="1:4" x14ac:dyDescent="0.15">
      <c r="A4" s="22">
        <v>2</v>
      </c>
      <c r="B4" s="22">
        <f>$B$1^(A4-1)</f>
        <v>5</v>
      </c>
      <c r="C4" s="22">
        <f t="shared" ref="C4:C8" si="0">B4*$C$1</f>
        <v>10</v>
      </c>
      <c r="D4" s="22">
        <f t="shared" ref="D4:D8" si="1">C4*$D$1</f>
        <v>160</v>
      </c>
    </row>
    <row r="5" spans="1:4" x14ac:dyDescent="0.15">
      <c r="A5" s="22">
        <v>3</v>
      </c>
      <c r="B5" s="22">
        <f t="shared" ref="B5:B8" si="2">$B$1^(A5-1)</f>
        <v>25</v>
      </c>
      <c r="C5" s="22">
        <f t="shared" si="0"/>
        <v>50</v>
      </c>
      <c r="D5" s="22">
        <f t="shared" si="1"/>
        <v>800</v>
      </c>
    </row>
    <row r="6" spans="1:4" x14ac:dyDescent="0.15">
      <c r="A6" s="22">
        <v>4</v>
      </c>
      <c r="B6" s="22">
        <f t="shared" si="2"/>
        <v>125</v>
      </c>
      <c r="C6" s="22">
        <f t="shared" si="0"/>
        <v>250</v>
      </c>
      <c r="D6" s="22">
        <f t="shared" si="1"/>
        <v>4000</v>
      </c>
    </row>
    <row r="7" spans="1:4" x14ac:dyDescent="0.15">
      <c r="A7" s="22">
        <v>5</v>
      </c>
      <c r="B7" s="22">
        <f t="shared" si="2"/>
        <v>625</v>
      </c>
      <c r="C7" s="22">
        <f t="shared" si="0"/>
        <v>1250</v>
      </c>
      <c r="D7" s="22">
        <f t="shared" si="1"/>
        <v>20000</v>
      </c>
    </row>
    <row r="8" spans="1:4" x14ac:dyDescent="0.15">
      <c r="A8" s="22">
        <v>6</v>
      </c>
      <c r="B8" s="22">
        <f t="shared" si="2"/>
        <v>3125</v>
      </c>
      <c r="C8" s="22">
        <f t="shared" si="0"/>
        <v>6250</v>
      </c>
      <c r="D8" s="22">
        <f t="shared" si="1"/>
        <v>100000</v>
      </c>
    </row>
    <row r="9" spans="1:4" x14ac:dyDescent="0.15">
      <c r="A9" s="22"/>
      <c r="B9" s="22"/>
      <c r="C9" s="22"/>
      <c r="D9" s="22"/>
    </row>
    <row r="10" spans="1:4" x14ac:dyDescent="0.15">
      <c r="A10" s="22"/>
      <c r="B10" s="22"/>
      <c r="C10" s="22"/>
      <c r="D10" s="22"/>
    </row>
    <row r="11" spans="1:4" x14ac:dyDescent="0.15">
      <c r="A11" s="22"/>
      <c r="B11" s="22"/>
      <c r="C11" s="22"/>
      <c r="D11" s="22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系统能力</vt:lpstr>
      <vt:lpstr>物品价值</vt:lpstr>
      <vt:lpstr>英雄经验</vt:lpstr>
      <vt:lpstr>三魂七魄</vt:lpstr>
      <vt:lpstr>装备</vt:lpstr>
      <vt:lpstr>五色石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2017-04-06T15:34:59Z</dcterms:modified>
</cp:coreProperties>
</file>