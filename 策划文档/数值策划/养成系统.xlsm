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40" yWindow="105" windowWidth="14805" windowHeight="8010" activeTab="1"/>
  </bookViews>
  <sheets>
    <sheet name="系统总览" sheetId="2" r:id="rId1"/>
    <sheet name="物品价值" sheetId="4" r:id="rId2"/>
    <sheet name="怪物经验" sheetId="8" r:id="rId3"/>
    <sheet name="角色升级" sheetId="1" r:id="rId4"/>
    <sheet name="三魂七魄" sheetId="9" r:id="rId5"/>
    <sheet name="角色内丹" sheetId="5" r:id="rId6"/>
    <sheet name="角色装备" sheetId="6" r:id="rId7"/>
    <sheet name="天赋珠" sheetId="7" r:id="rId8"/>
  </sheets>
  <calcPr calcId="144525"/>
</workbook>
</file>

<file path=xl/calcChain.xml><?xml version="1.0" encoding="utf-8"?>
<calcChain xmlns="http://schemas.openxmlformats.org/spreadsheetml/2006/main">
  <c r="D1" i="5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3" i="1"/>
  <c r="E4" i="1"/>
  <c r="E6" i="1"/>
  <c r="E7" i="1"/>
  <c r="E8" i="1"/>
  <c r="E11" i="1"/>
  <c r="E12" i="1"/>
  <c r="E14" i="1"/>
  <c r="E16" i="1"/>
  <c r="E19" i="1"/>
  <c r="E20" i="1"/>
  <c r="E22" i="1"/>
  <c r="E24" i="1"/>
  <c r="E27" i="1"/>
  <c r="E30" i="1"/>
  <c r="E31" i="1"/>
  <c r="C32" i="1"/>
  <c r="E32" i="1" s="1"/>
  <c r="C33" i="1"/>
  <c r="C34" i="1"/>
  <c r="E34" i="1" s="1"/>
  <c r="C35" i="1"/>
  <c r="E35" i="1" s="1"/>
  <c r="C36" i="1"/>
  <c r="C37" i="1"/>
  <c r="C38" i="1"/>
  <c r="E38" i="1" s="1"/>
  <c r="C39" i="1"/>
  <c r="E39" i="1" s="1"/>
  <c r="C40" i="1"/>
  <c r="E40" i="1" s="1"/>
  <c r="C41" i="1"/>
  <c r="C42" i="1"/>
  <c r="C43" i="1"/>
  <c r="E43" i="1" s="1"/>
  <c r="C44" i="1"/>
  <c r="E44" i="1" s="1"/>
  <c r="C45" i="1"/>
  <c r="C46" i="1"/>
  <c r="E46" i="1" s="1"/>
  <c r="C47" i="1"/>
  <c r="C48" i="1"/>
  <c r="E48" i="1" s="1"/>
  <c r="C49" i="1"/>
  <c r="C50" i="1"/>
  <c r="E50" i="1" s="1"/>
  <c r="C51" i="1"/>
  <c r="E51" i="1" s="1"/>
  <c r="C52" i="1"/>
  <c r="C53" i="1"/>
  <c r="C54" i="1"/>
  <c r="E54" i="1" s="1"/>
  <c r="C55" i="1"/>
  <c r="C56" i="1"/>
  <c r="C57" i="1"/>
  <c r="C58" i="1"/>
  <c r="C59" i="1"/>
  <c r="E59" i="1" s="1"/>
  <c r="C60" i="1"/>
  <c r="C61" i="1"/>
  <c r="C62" i="1"/>
  <c r="E62" i="1" s="1"/>
  <c r="E5" i="1"/>
  <c r="E9" i="1"/>
  <c r="E10" i="1"/>
  <c r="E13" i="1"/>
  <c r="E15" i="1"/>
  <c r="E17" i="1"/>
  <c r="E18" i="1"/>
  <c r="E21" i="1"/>
  <c r="E23" i="1"/>
  <c r="E25" i="1"/>
  <c r="E26" i="1"/>
  <c r="E28" i="1"/>
  <c r="E29" i="1"/>
  <c r="E33" i="1"/>
  <c r="E36" i="1"/>
  <c r="E37" i="1"/>
  <c r="E41" i="1"/>
  <c r="E42" i="1"/>
  <c r="E45" i="1"/>
  <c r="E47" i="1"/>
  <c r="E49" i="1"/>
  <c r="E52" i="1"/>
  <c r="E53" i="1"/>
  <c r="E55" i="1"/>
  <c r="E56" i="1"/>
  <c r="E57" i="1"/>
  <c r="E58" i="1"/>
  <c r="E60" i="1"/>
  <c r="E61" i="1"/>
  <c r="E3" i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3" i="8"/>
  <c r="F3" i="7" l="1"/>
  <c r="G3" i="7"/>
  <c r="H3" i="7"/>
  <c r="F4" i="7"/>
  <c r="G4" i="7"/>
  <c r="H4" i="7"/>
  <c r="F5" i="7"/>
  <c r="G5" i="7"/>
  <c r="H5" i="7"/>
  <c r="F6" i="7"/>
  <c r="G6" i="7"/>
  <c r="H6" i="7"/>
  <c r="G2" i="7"/>
  <c r="H2" i="7"/>
  <c r="F2" i="7"/>
  <c r="D6" i="2" l="1"/>
  <c r="C5" i="2" l="1"/>
  <c r="R13" i="5"/>
  <c r="R14" i="5"/>
  <c r="R15" i="5"/>
  <c r="R16" i="5"/>
  <c r="R17" i="5"/>
  <c r="R18" i="5"/>
  <c r="R19" i="5"/>
  <c r="R12" i="5"/>
  <c r="R11" i="5"/>
  <c r="O4" i="5"/>
  <c r="O5" i="5"/>
  <c r="O6" i="5"/>
  <c r="O7" i="5"/>
  <c r="O8" i="5"/>
  <c r="O3" i="5"/>
  <c r="O1" i="5" l="1"/>
  <c r="O24" i="5" s="1"/>
  <c r="E1" i="5"/>
  <c r="N24" i="5" s="1"/>
  <c r="M24" i="5"/>
  <c r="C62" i="5"/>
  <c r="B62" i="5"/>
  <c r="C61" i="5"/>
  <c r="H61" i="5" s="1"/>
  <c r="I61" i="5" s="1"/>
  <c r="B61" i="5"/>
  <c r="C60" i="5"/>
  <c r="H60" i="5" s="1"/>
  <c r="I60" i="5" s="1"/>
  <c r="B60" i="5"/>
  <c r="C59" i="5"/>
  <c r="H59" i="5" s="1"/>
  <c r="I59" i="5" s="1"/>
  <c r="B59" i="5"/>
  <c r="C58" i="5"/>
  <c r="H58" i="5" s="1"/>
  <c r="I58" i="5" s="1"/>
  <c r="B58" i="5"/>
  <c r="C57" i="5"/>
  <c r="H57" i="5" s="1"/>
  <c r="I57" i="5" s="1"/>
  <c r="B57" i="5"/>
  <c r="C56" i="5"/>
  <c r="H56" i="5" s="1"/>
  <c r="I56" i="5" s="1"/>
  <c r="B56" i="5"/>
  <c r="C55" i="5"/>
  <c r="H55" i="5" s="1"/>
  <c r="I55" i="5" s="1"/>
  <c r="B55" i="5"/>
  <c r="C54" i="5"/>
  <c r="B54" i="5"/>
  <c r="C53" i="5"/>
  <c r="B53" i="5"/>
  <c r="C52" i="5"/>
  <c r="B52" i="5"/>
  <c r="C51" i="5"/>
  <c r="H51" i="5" s="1"/>
  <c r="I51" i="5" s="1"/>
  <c r="B51" i="5"/>
  <c r="C50" i="5"/>
  <c r="H50" i="5" s="1"/>
  <c r="I50" i="5" s="1"/>
  <c r="B50" i="5"/>
  <c r="C49" i="5"/>
  <c r="H49" i="5" s="1"/>
  <c r="I49" i="5" s="1"/>
  <c r="B49" i="5"/>
  <c r="C48" i="5"/>
  <c r="H48" i="5" s="1"/>
  <c r="I48" i="5" s="1"/>
  <c r="B48" i="5"/>
  <c r="C47" i="5"/>
  <c r="H47" i="5" s="1"/>
  <c r="I47" i="5" s="1"/>
  <c r="B47" i="5"/>
  <c r="C46" i="5"/>
  <c r="H46" i="5" s="1"/>
  <c r="I46" i="5" s="1"/>
  <c r="B46" i="5"/>
  <c r="C45" i="5"/>
  <c r="H45" i="5" s="1"/>
  <c r="I45" i="5" s="1"/>
  <c r="B45" i="5"/>
  <c r="C44" i="5"/>
  <c r="B44" i="5"/>
  <c r="C43" i="5"/>
  <c r="H43" i="5" s="1"/>
  <c r="I43" i="5" s="1"/>
  <c r="B43" i="5"/>
  <c r="C42" i="5"/>
  <c r="B42" i="5"/>
  <c r="C41" i="5"/>
  <c r="H41" i="5" s="1"/>
  <c r="I41" i="5" s="1"/>
  <c r="B41" i="5"/>
  <c r="C40" i="5"/>
  <c r="H40" i="5" s="1"/>
  <c r="I40" i="5" s="1"/>
  <c r="B40" i="5"/>
  <c r="C39" i="5"/>
  <c r="H39" i="5" s="1"/>
  <c r="I39" i="5" s="1"/>
  <c r="B39" i="5"/>
  <c r="C38" i="5"/>
  <c r="H38" i="5" s="1"/>
  <c r="I38" i="5" s="1"/>
  <c r="B38" i="5"/>
  <c r="C37" i="5"/>
  <c r="H37" i="5" s="1"/>
  <c r="I37" i="5" s="1"/>
  <c r="B37" i="5"/>
  <c r="C36" i="5"/>
  <c r="H36" i="5" s="1"/>
  <c r="I36" i="5" s="1"/>
  <c r="B36" i="5"/>
  <c r="C35" i="5"/>
  <c r="H35" i="5" s="1"/>
  <c r="I35" i="5" s="1"/>
  <c r="B35" i="5"/>
  <c r="C34" i="5"/>
  <c r="B34" i="5"/>
  <c r="C33" i="5"/>
  <c r="B33" i="5"/>
  <c r="C32" i="5"/>
  <c r="B32" i="5"/>
  <c r="C31" i="5"/>
  <c r="H31" i="5" s="1"/>
  <c r="I31" i="5" s="1"/>
  <c r="B31" i="5"/>
  <c r="C30" i="5"/>
  <c r="H30" i="5" s="1"/>
  <c r="I30" i="5" s="1"/>
  <c r="B30" i="5"/>
  <c r="C29" i="5"/>
  <c r="H29" i="5" s="1"/>
  <c r="I29" i="5" s="1"/>
  <c r="B29" i="5"/>
  <c r="C28" i="5"/>
  <c r="H28" i="5" s="1"/>
  <c r="I28" i="5" s="1"/>
  <c r="B28" i="5"/>
  <c r="C27" i="5"/>
  <c r="H27" i="5" s="1"/>
  <c r="I27" i="5" s="1"/>
  <c r="B27" i="5"/>
  <c r="C26" i="5"/>
  <c r="H26" i="5" s="1"/>
  <c r="I26" i="5" s="1"/>
  <c r="B26" i="5"/>
  <c r="C25" i="5"/>
  <c r="H25" i="5" s="1"/>
  <c r="I25" i="5" s="1"/>
  <c r="B25" i="5"/>
  <c r="C24" i="5"/>
  <c r="B24" i="5"/>
  <c r="C23" i="5"/>
  <c r="H23" i="5" s="1"/>
  <c r="I23" i="5" s="1"/>
  <c r="B23" i="5"/>
  <c r="C22" i="5"/>
  <c r="B22" i="5"/>
  <c r="C21" i="5"/>
  <c r="H21" i="5" s="1"/>
  <c r="I21" i="5" s="1"/>
  <c r="B21" i="5"/>
  <c r="C20" i="5"/>
  <c r="H20" i="5" s="1"/>
  <c r="I20" i="5" s="1"/>
  <c r="B20" i="5"/>
  <c r="C19" i="5"/>
  <c r="H19" i="5" s="1"/>
  <c r="I19" i="5" s="1"/>
  <c r="B19" i="5"/>
  <c r="C18" i="5"/>
  <c r="H18" i="5" s="1"/>
  <c r="I18" i="5" s="1"/>
  <c r="B18" i="5"/>
  <c r="C17" i="5"/>
  <c r="H17" i="5" s="1"/>
  <c r="I17" i="5" s="1"/>
  <c r="B17" i="5"/>
  <c r="C16" i="5"/>
  <c r="H16" i="5" s="1"/>
  <c r="I16" i="5" s="1"/>
  <c r="B16" i="5"/>
  <c r="C15" i="5"/>
  <c r="H15" i="5" s="1"/>
  <c r="I15" i="5" s="1"/>
  <c r="B15" i="5"/>
  <c r="C14" i="5"/>
  <c r="B14" i="5"/>
  <c r="C13" i="5"/>
  <c r="B13" i="5"/>
  <c r="C12" i="5"/>
  <c r="B12" i="5"/>
  <c r="C11" i="5"/>
  <c r="H11" i="5" s="1"/>
  <c r="I11" i="5" s="1"/>
  <c r="B11" i="5"/>
  <c r="C10" i="5"/>
  <c r="H10" i="5" s="1"/>
  <c r="I10" i="5" s="1"/>
  <c r="B10" i="5"/>
  <c r="C9" i="5"/>
  <c r="H9" i="5" s="1"/>
  <c r="I9" i="5" s="1"/>
  <c r="B9" i="5"/>
  <c r="C8" i="5"/>
  <c r="H8" i="5" s="1"/>
  <c r="I8" i="5" s="1"/>
  <c r="B8" i="5"/>
  <c r="C7" i="5"/>
  <c r="H7" i="5" s="1"/>
  <c r="I7" i="5" s="1"/>
  <c r="B7" i="5"/>
  <c r="C6" i="5"/>
  <c r="H6" i="5" s="1"/>
  <c r="I6" i="5" s="1"/>
  <c r="B6" i="5"/>
  <c r="C5" i="5"/>
  <c r="H5" i="5" s="1"/>
  <c r="I5" i="5" s="1"/>
  <c r="B5" i="5"/>
  <c r="C4" i="5"/>
  <c r="B4" i="5"/>
  <c r="C3" i="5"/>
  <c r="H3" i="5" s="1"/>
  <c r="I3" i="5" s="1"/>
  <c r="J3" i="5" s="1"/>
  <c r="B3" i="5"/>
  <c r="D5" i="2"/>
  <c r="D7" i="2"/>
  <c r="D8" i="2"/>
  <c r="D9" i="2"/>
  <c r="D10" i="2"/>
  <c r="D11" i="2"/>
  <c r="D12" i="2"/>
  <c r="D13" i="2"/>
  <c r="D14" i="2"/>
  <c r="D15" i="2"/>
  <c r="D16" i="2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3" i="4"/>
  <c r="C2" i="4"/>
  <c r="C2" i="2"/>
  <c r="D2" i="2" s="1"/>
  <c r="H4" i="5" l="1"/>
  <c r="I4" i="5" s="1"/>
  <c r="J8" i="5" s="1"/>
  <c r="H12" i="5"/>
  <c r="I12" i="5" s="1"/>
  <c r="H24" i="5"/>
  <c r="I24" i="5" s="1"/>
  <c r="H32" i="5"/>
  <c r="I32" i="5" s="1"/>
  <c r="H44" i="5"/>
  <c r="I44" i="5" s="1"/>
  <c r="H52" i="5"/>
  <c r="I52" i="5" s="1"/>
  <c r="H13" i="5"/>
  <c r="I13" i="5" s="1"/>
  <c r="H33" i="5"/>
  <c r="I33" i="5" s="1"/>
  <c r="H53" i="5"/>
  <c r="I53" i="5" s="1"/>
  <c r="H14" i="5"/>
  <c r="I14" i="5" s="1"/>
  <c r="H22" i="5"/>
  <c r="I22" i="5" s="1"/>
  <c r="H34" i="5"/>
  <c r="I34" i="5" s="1"/>
  <c r="H42" i="5"/>
  <c r="I42" i="5" s="1"/>
  <c r="H54" i="5"/>
  <c r="I54" i="5" s="1"/>
  <c r="H62" i="5"/>
  <c r="I62" i="5" s="1"/>
  <c r="P24" i="5"/>
  <c r="K3" i="5" s="1"/>
  <c r="G4" i="5"/>
  <c r="F4" i="5"/>
  <c r="F8" i="5"/>
  <c r="G8" i="5"/>
  <c r="G12" i="5"/>
  <c r="F12" i="5"/>
  <c r="F16" i="5"/>
  <c r="G16" i="5"/>
  <c r="G20" i="5"/>
  <c r="F20" i="5"/>
  <c r="F24" i="5"/>
  <c r="G24" i="5"/>
  <c r="G28" i="5"/>
  <c r="F28" i="5"/>
  <c r="F32" i="5"/>
  <c r="G32" i="5"/>
  <c r="G36" i="5"/>
  <c r="F36" i="5"/>
  <c r="F40" i="5"/>
  <c r="G40" i="5"/>
  <c r="G44" i="5"/>
  <c r="F44" i="5"/>
  <c r="F48" i="5"/>
  <c r="G48" i="5"/>
  <c r="G52" i="5"/>
  <c r="F52" i="5"/>
  <c r="F56" i="5"/>
  <c r="G56" i="5"/>
  <c r="G60" i="5"/>
  <c r="F60" i="5"/>
  <c r="G5" i="5"/>
  <c r="F5" i="5"/>
  <c r="F9" i="5"/>
  <c r="G9" i="5"/>
  <c r="G13" i="5"/>
  <c r="F13" i="5"/>
  <c r="F17" i="5"/>
  <c r="G17" i="5"/>
  <c r="G21" i="5"/>
  <c r="F21" i="5"/>
  <c r="F25" i="5"/>
  <c r="G25" i="5"/>
  <c r="G29" i="5"/>
  <c r="F29" i="5"/>
  <c r="F33" i="5"/>
  <c r="G33" i="5"/>
  <c r="G37" i="5"/>
  <c r="F37" i="5"/>
  <c r="F41" i="5"/>
  <c r="G41" i="5"/>
  <c r="G45" i="5"/>
  <c r="F45" i="5"/>
  <c r="F49" i="5"/>
  <c r="G49" i="5"/>
  <c r="G53" i="5"/>
  <c r="F53" i="5"/>
  <c r="F57" i="5"/>
  <c r="G57" i="5"/>
  <c r="G61" i="5"/>
  <c r="F61" i="5"/>
  <c r="G6" i="5"/>
  <c r="F6" i="5"/>
  <c r="F10" i="5"/>
  <c r="G10" i="5"/>
  <c r="G14" i="5"/>
  <c r="F14" i="5"/>
  <c r="F18" i="5"/>
  <c r="G18" i="5"/>
  <c r="G22" i="5"/>
  <c r="F22" i="5"/>
  <c r="F26" i="5"/>
  <c r="G26" i="5"/>
  <c r="G30" i="5"/>
  <c r="F30" i="5"/>
  <c r="F34" i="5"/>
  <c r="G34" i="5"/>
  <c r="G38" i="5"/>
  <c r="F38" i="5"/>
  <c r="F42" i="5"/>
  <c r="G42" i="5"/>
  <c r="G46" i="5"/>
  <c r="F46" i="5"/>
  <c r="F50" i="5"/>
  <c r="G50" i="5"/>
  <c r="G54" i="5"/>
  <c r="F54" i="5"/>
  <c r="F58" i="5"/>
  <c r="G58" i="5"/>
  <c r="G62" i="5"/>
  <c r="F62" i="5"/>
  <c r="F3" i="5"/>
  <c r="G3" i="5"/>
  <c r="G7" i="5"/>
  <c r="F7" i="5"/>
  <c r="F11" i="5"/>
  <c r="G11" i="5"/>
  <c r="G15" i="5"/>
  <c r="F15" i="5"/>
  <c r="G19" i="5"/>
  <c r="F19" i="5"/>
  <c r="G23" i="5"/>
  <c r="F23" i="5"/>
  <c r="F27" i="5"/>
  <c r="G27" i="5"/>
  <c r="G31" i="5"/>
  <c r="F31" i="5"/>
  <c r="G35" i="5"/>
  <c r="F35" i="5"/>
  <c r="G39" i="5"/>
  <c r="F39" i="5"/>
  <c r="F43" i="5"/>
  <c r="G43" i="5"/>
  <c r="G47" i="5"/>
  <c r="F47" i="5"/>
  <c r="F51" i="5"/>
  <c r="G51" i="5"/>
  <c r="G55" i="5"/>
  <c r="F55" i="5"/>
  <c r="G59" i="5"/>
  <c r="F59" i="5"/>
  <c r="J10" i="5" l="1"/>
  <c r="K10" i="5" s="1"/>
  <c r="J5" i="5"/>
  <c r="K5" i="5" s="1"/>
  <c r="J12" i="5"/>
  <c r="K12" i="5" s="1"/>
  <c r="J6" i="5"/>
  <c r="K6" i="5" s="1"/>
  <c r="J4" i="5"/>
  <c r="K4" i="5" s="1"/>
  <c r="J60" i="5"/>
  <c r="K60" i="5" s="1"/>
  <c r="J19" i="5"/>
  <c r="K19" i="5" s="1"/>
  <c r="J33" i="5"/>
  <c r="K33" i="5" s="1"/>
  <c r="J32" i="5"/>
  <c r="K32" i="5" s="1"/>
  <c r="J49" i="5"/>
  <c r="K49" i="5" s="1"/>
  <c r="J17" i="5"/>
  <c r="K17" i="5" s="1"/>
  <c r="J40" i="5"/>
  <c r="K40" i="5" s="1"/>
  <c r="J57" i="5"/>
  <c r="K57" i="5" s="1"/>
  <c r="J24" i="5"/>
  <c r="K24" i="5" s="1"/>
  <c r="J9" i="5"/>
  <c r="K9" i="5" s="1"/>
  <c r="J25" i="5"/>
  <c r="K25" i="5" s="1"/>
  <c r="J16" i="5"/>
  <c r="K16" i="5" s="1"/>
  <c r="J11" i="5"/>
  <c r="K11" i="5" s="1"/>
  <c r="J41" i="5"/>
  <c r="K41" i="5" s="1"/>
  <c r="J26" i="5"/>
  <c r="K26" i="5" s="1"/>
  <c r="J28" i="5"/>
  <c r="K28" i="5" s="1"/>
  <c r="J20" i="5"/>
  <c r="K20" i="5" s="1"/>
  <c r="J37" i="5"/>
  <c r="K37" i="5" s="1"/>
  <c r="J13" i="5"/>
  <c r="K13" i="5" s="1"/>
  <c r="J61" i="5"/>
  <c r="K61" i="5" s="1"/>
  <c r="J46" i="5"/>
  <c r="K46" i="5" s="1"/>
  <c r="J55" i="5"/>
  <c r="K55" i="5" s="1"/>
  <c r="J38" i="5"/>
  <c r="K38" i="5" s="1"/>
  <c r="J21" i="5"/>
  <c r="K21" i="5" s="1"/>
  <c r="J7" i="5"/>
  <c r="K7" i="5" s="1"/>
  <c r="J52" i="5"/>
  <c r="K52" i="5" s="1"/>
  <c r="J59" i="5"/>
  <c r="K59" i="5" s="1"/>
  <c r="J47" i="5"/>
  <c r="K47" i="5" s="1"/>
  <c r="J29" i="5"/>
  <c r="K29" i="5" s="1"/>
  <c r="J50" i="5"/>
  <c r="K50" i="5" s="1"/>
  <c r="J42" i="5"/>
  <c r="K42" i="5" s="1"/>
  <c r="J34" i="5"/>
  <c r="K34" i="5" s="1"/>
  <c r="J62" i="5"/>
  <c r="K62" i="5" s="1"/>
  <c r="J53" i="5"/>
  <c r="K53" i="5" s="1"/>
  <c r="J44" i="5"/>
  <c r="K44" i="5" s="1"/>
  <c r="J58" i="5"/>
  <c r="K58" i="5" s="1"/>
  <c r="J23" i="5"/>
  <c r="K23" i="5" s="1"/>
  <c r="J15" i="5"/>
  <c r="K15" i="5" s="1"/>
  <c r="J27" i="5"/>
  <c r="K27" i="5" s="1"/>
  <c r="J48" i="5"/>
  <c r="K48" i="5" s="1"/>
  <c r="J31" i="5"/>
  <c r="K31" i="5" s="1"/>
  <c r="J22" i="5"/>
  <c r="K22" i="5" s="1"/>
  <c r="J14" i="5"/>
  <c r="K14" i="5" s="1"/>
  <c r="J35" i="5"/>
  <c r="K35" i="5" s="1"/>
  <c r="J18" i="5"/>
  <c r="K18" i="5" s="1"/>
  <c r="J56" i="5"/>
  <c r="K56" i="5" s="1"/>
  <c r="J39" i="5"/>
  <c r="K39" i="5" s="1"/>
  <c r="J30" i="5"/>
  <c r="K30" i="5" s="1"/>
  <c r="J51" i="5"/>
  <c r="K51" i="5" s="1"/>
  <c r="J43" i="5"/>
  <c r="K43" i="5" s="1"/>
  <c r="J54" i="5"/>
  <c r="K54" i="5" s="1"/>
  <c r="J45" i="5"/>
  <c r="K45" i="5" s="1"/>
  <c r="J36" i="5"/>
  <c r="K36" i="5" s="1"/>
  <c r="C4" i="2"/>
  <c r="D4" i="2" s="1"/>
  <c r="K8" i="5"/>
  <c r="C3" i="2"/>
  <c r="D3" i="2" s="1"/>
</calcChain>
</file>

<file path=xl/sharedStrings.xml><?xml version="1.0" encoding="utf-8"?>
<sst xmlns="http://schemas.openxmlformats.org/spreadsheetml/2006/main" count="140" uniqueCount="130">
  <si>
    <t>等级</t>
    <phoneticPr fontId="1" type="noConversion"/>
  </si>
  <si>
    <t>经验</t>
    <phoneticPr fontId="1" type="noConversion"/>
  </si>
  <si>
    <t>英雄-升级</t>
    <phoneticPr fontId="1" type="noConversion"/>
  </si>
  <si>
    <t>系统</t>
    <phoneticPr fontId="1" type="noConversion"/>
  </si>
  <si>
    <t>英雄-突破</t>
    <phoneticPr fontId="1" type="noConversion"/>
  </si>
  <si>
    <t>突破阶段</t>
    <phoneticPr fontId="1" type="noConversion"/>
  </si>
  <si>
    <t>铜币</t>
    <phoneticPr fontId="1" type="noConversion"/>
  </si>
  <si>
    <t>价值(RMB)</t>
    <phoneticPr fontId="1" type="noConversion"/>
  </si>
  <si>
    <t>价值(金币)</t>
    <phoneticPr fontId="1" type="noConversion"/>
  </si>
  <si>
    <t>突破等级</t>
    <phoneticPr fontId="1" type="noConversion"/>
  </si>
  <si>
    <t>阶段等级</t>
    <phoneticPr fontId="1" type="noConversion"/>
  </si>
  <si>
    <t>元神碎片</t>
    <phoneticPr fontId="1" type="noConversion"/>
  </si>
  <si>
    <t>物品</t>
    <phoneticPr fontId="1" type="noConversion"/>
  </si>
  <si>
    <t>价值(RMB)</t>
    <phoneticPr fontId="1" type="noConversion"/>
  </si>
  <si>
    <t>系统价值</t>
    <phoneticPr fontId="1" type="noConversion"/>
  </si>
  <si>
    <t>铜币</t>
    <phoneticPr fontId="1" type="noConversion"/>
  </si>
  <si>
    <t>英雄元神</t>
    <phoneticPr fontId="1" type="noConversion"/>
  </si>
  <si>
    <t>将王精血</t>
    <phoneticPr fontId="1" type="noConversion"/>
  </si>
  <si>
    <t>强化铜币</t>
    <phoneticPr fontId="1" type="noConversion"/>
  </si>
  <si>
    <t>成功概率</t>
    <phoneticPr fontId="1" type="noConversion"/>
  </si>
  <si>
    <t>觉醒内丹</t>
    <phoneticPr fontId="1" type="noConversion"/>
  </si>
  <si>
    <t>将王精血</t>
    <phoneticPr fontId="1" type="noConversion"/>
  </si>
  <si>
    <t>觉醒内丹</t>
    <phoneticPr fontId="1" type="noConversion"/>
  </si>
  <si>
    <t>突破阶段</t>
    <phoneticPr fontId="1" type="noConversion"/>
  </si>
  <si>
    <t>消耗比</t>
    <phoneticPr fontId="1" type="noConversion"/>
  </si>
  <si>
    <t>强化概率</t>
    <phoneticPr fontId="1" type="noConversion"/>
  </si>
  <si>
    <t>阶段等级</t>
    <phoneticPr fontId="1" type="noConversion"/>
  </si>
  <si>
    <t>强化铜币</t>
    <phoneticPr fontId="1" type="noConversion"/>
  </si>
  <si>
    <t>平均次数</t>
    <phoneticPr fontId="1" type="noConversion"/>
  </si>
  <si>
    <t>平均铜币</t>
    <phoneticPr fontId="1" type="noConversion"/>
  </si>
  <si>
    <t>阶段消耗</t>
    <phoneticPr fontId="1" type="noConversion"/>
  </si>
  <si>
    <t>将王精血</t>
    <phoneticPr fontId="1" type="noConversion"/>
  </si>
  <si>
    <t>觉醒内丹</t>
    <phoneticPr fontId="1" type="noConversion"/>
  </si>
  <si>
    <t>英雄-觉醒</t>
    <phoneticPr fontId="1" type="noConversion"/>
  </si>
  <si>
    <t>铜钱消耗</t>
    <phoneticPr fontId="1" type="noConversion"/>
  </si>
  <si>
    <t>递差铜币</t>
    <phoneticPr fontId="1" type="noConversion"/>
  </si>
  <si>
    <t>当前价值</t>
    <phoneticPr fontId="1" type="noConversion"/>
  </si>
  <si>
    <t>累计价值</t>
    <phoneticPr fontId="1" type="noConversion"/>
  </si>
  <si>
    <t>培养进度</t>
    <phoneticPr fontId="1" type="noConversion"/>
  </si>
  <si>
    <t>淬炼神石</t>
    <phoneticPr fontId="1" type="noConversion"/>
  </si>
  <si>
    <t>圣器-淬炼</t>
    <phoneticPr fontId="1" type="noConversion"/>
  </si>
  <si>
    <t>ID</t>
    <phoneticPr fontId="1" type="noConversion"/>
  </si>
  <si>
    <t>天赋珠</t>
    <phoneticPr fontId="1" type="noConversion"/>
  </si>
  <si>
    <t>白</t>
    <phoneticPr fontId="1" type="noConversion"/>
  </si>
  <si>
    <t>蓝</t>
    <phoneticPr fontId="1" type="noConversion"/>
  </si>
  <si>
    <t>绿</t>
    <phoneticPr fontId="1" type="noConversion"/>
  </si>
  <si>
    <t>紫</t>
    <phoneticPr fontId="1" type="noConversion"/>
  </si>
  <si>
    <t>橙</t>
    <phoneticPr fontId="1" type="noConversion"/>
  </si>
  <si>
    <t>攻击</t>
    <phoneticPr fontId="1" type="noConversion"/>
  </si>
  <si>
    <t>防御</t>
    <phoneticPr fontId="1" type="noConversion"/>
  </si>
  <si>
    <t>血量</t>
    <phoneticPr fontId="1" type="noConversion"/>
  </si>
  <si>
    <t>额外上限</t>
    <phoneticPr fontId="1" type="noConversion"/>
  </si>
  <si>
    <t>最大攻击</t>
    <phoneticPr fontId="1" type="noConversion"/>
  </si>
  <si>
    <t>最大防御</t>
    <phoneticPr fontId="1" type="noConversion"/>
  </si>
  <si>
    <t>最大血量</t>
    <phoneticPr fontId="1" type="noConversion"/>
  </si>
  <si>
    <t>等级</t>
    <phoneticPr fontId="1" type="noConversion"/>
  </si>
  <si>
    <t>递进值</t>
    <phoneticPr fontId="1" type="noConversion"/>
  </si>
  <si>
    <t>怪物等级</t>
    <phoneticPr fontId="1" type="noConversion"/>
  </si>
  <si>
    <t>怪物数量</t>
    <phoneticPr fontId="1" type="noConversion"/>
  </si>
  <si>
    <t>升级时长</t>
    <phoneticPr fontId="1" type="noConversion"/>
  </si>
  <si>
    <t>升级经验</t>
    <phoneticPr fontId="1" type="noConversion"/>
  </si>
  <si>
    <t>需要天数</t>
    <phoneticPr fontId="1" type="noConversion"/>
  </si>
  <si>
    <t>魂魄品质</t>
    <phoneticPr fontId="1" type="noConversion"/>
  </si>
  <si>
    <t>升品需求</t>
    <phoneticPr fontId="1" type="noConversion"/>
  </si>
  <si>
    <t>精魄(蓝）1</t>
    <phoneticPr fontId="1" type="noConversion"/>
  </si>
  <si>
    <t>精魄(黄）1</t>
    <phoneticPr fontId="1" type="noConversion"/>
  </si>
  <si>
    <t>精魄(紫）1</t>
    <phoneticPr fontId="1" type="noConversion"/>
  </si>
  <si>
    <t>需求银子</t>
    <phoneticPr fontId="1" type="noConversion"/>
  </si>
  <si>
    <t>5两</t>
    <phoneticPr fontId="1" type="noConversion"/>
  </si>
  <si>
    <t>10两</t>
    <phoneticPr fontId="1" type="noConversion"/>
  </si>
  <si>
    <t>50两</t>
    <phoneticPr fontId="1" type="noConversion"/>
  </si>
  <si>
    <t>魂(白)</t>
    <phoneticPr fontId="1" type="noConversion"/>
  </si>
  <si>
    <t>魂(蓝)</t>
    <phoneticPr fontId="1" type="noConversion"/>
  </si>
  <si>
    <t>魂(黄)</t>
    <phoneticPr fontId="1" type="noConversion"/>
  </si>
  <si>
    <t>魂(绿)</t>
    <phoneticPr fontId="1" type="noConversion"/>
  </si>
  <si>
    <t>魂(紫)</t>
    <phoneticPr fontId="1" type="noConversion"/>
  </si>
  <si>
    <t>魂(完美紫)</t>
    <phoneticPr fontId="1" type="noConversion"/>
  </si>
  <si>
    <t>精魄(绿）1</t>
    <phoneticPr fontId="1" type="noConversion"/>
  </si>
  <si>
    <t>精魄(完美）1</t>
    <phoneticPr fontId="1" type="noConversion"/>
  </si>
  <si>
    <t>200两</t>
    <phoneticPr fontId="1" type="noConversion"/>
  </si>
  <si>
    <t>500两</t>
    <phoneticPr fontId="1" type="noConversion"/>
  </si>
  <si>
    <t>精魂(蓝）1</t>
  </si>
  <si>
    <t>精魂(黄）1</t>
  </si>
  <si>
    <t>精魂(绿）1</t>
  </si>
  <si>
    <t>精魂(紫）1</t>
  </si>
  <si>
    <t>精魂(完美）1</t>
  </si>
  <si>
    <t>魄(白)</t>
  </si>
  <si>
    <t>魄(蓝)</t>
  </si>
  <si>
    <t>魄(黄)</t>
  </si>
  <si>
    <t>魄(绿)</t>
  </si>
  <si>
    <t>魄(紫)</t>
  </si>
  <si>
    <t>魄(完美紫)</t>
  </si>
  <si>
    <t>20两</t>
    <phoneticPr fontId="1" type="noConversion"/>
  </si>
  <si>
    <t>100两</t>
    <phoneticPr fontId="1" type="noConversion"/>
  </si>
  <si>
    <t>400两</t>
    <phoneticPr fontId="1" type="noConversion"/>
  </si>
  <si>
    <t>1锭</t>
    <phoneticPr fontId="1" type="noConversion"/>
  </si>
  <si>
    <t>魂魄ID</t>
    <phoneticPr fontId="1" type="noConversion"/>
  </si>
  <si>
    <t>天魂(白）0001号</t>
    <phoneticPr fontId="1" type="noConversion"/>
  </si>
  <si>
    <t>地魂(白）0001号</t>
    <phoneticPr fontId="1" type="noConversion"/>
  </si>
  <si>
    <t>人魂(白）0001号</t>
    <phoneticPr fontId="1" type="noConversion"/>
  </si>
  <si>
    <t>喜魄(白）0001号</t>
    <phoneticPr fontId="1" type="noConversion"/>
  </si>
  <si>
    <t>怒魄(白）0001号</t>
    <phoneticPr fontId="1" type="noConversion"/>
  </si>
  <si>
    <t>哀魄(白）0001号</t>
    <phoneticPr fontId="1" type="noConversion"/>
  </si>
  <si>
    <t>惧魄(白）0001号</t>
    <phoneticPr fontId="1" type="noConversion"/>
  </si>
  <si>
    <t>爱魄(白）0001号</t>
    <phoneticPr fontId="1" type="noConversion"/>
  </si>
  <si>
    <t>恶魄(白）0001号</t>
    <phoneticPr fontId="1" type="noConversion"/>
  </si>
  <si>
    <t>欲魄(白）0001号</t>
    <phoneticPr fontId="1" type="noConversion"/>
  </si>
  <si>
    <t>内丹评分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</si>
  <si>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</si>
  <si>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</si>
  <si>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</si>
  <si>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SS</t>
    <phoneticPr fontId="1" type="noConversion"/>
  </si>
  <si>
    <t>SSS</t>
    <phoneticPr fontId="1" type="noConversion"/>
  </si>
  <si>
    <t>C</t>
    <phoneticPr fontId="1" type="noConversion"/>
  </si>
  <si>
    <t>消耗百分比</t>
    <phoneticPr fontId="1" type="noConversion"/>
  </si>
  <si>
    <t>装备</t>
    <phoneticPr fontId="1" type="noConversion"/>
  </si>
  <si>
    <t>武器</t>
    <phoneticPr fontId="1" type="noConversion"/>
  </si>
  <si>
    <t>数量</t>
    <phoneticPr fontId="1" type="noConversion"/>
  </si>
  <si>
    <t>副手</t>
    <phoneticPr fontId="1" type="noConversion"/>
  </si>
  <si>
    <t>衣服</t>
    <phoneticPr fontId="1" type="noConversion"/>
  </si>
  <si>
    <t>头盔</t>
    <phoneticPr fontId="1" type="noConversion"/>
  </si>
  <si>
    <t>腰带</t>
    <phoneticPr fontId="1" type="noConversion"/>
  </si>
  <si>
    <t>靴子</t>
    <phoneticPr fontId="1" type="noConversion"/>
  </si>
  <si>
    <t>项链</t>
    <phoneticPr fontId="1" type="noConversion"/>
  </si>
  <si>
    <t>戒指</t>
    <phoneticPr fontId="1" type="noConversion"/>
  </si>
  <si>
    <t>护腕</t>
    <phoneticPr fontId="1" type="noConversion"/>
  </si>
  <si>
    <t>位置</t>
    <phoneticPr fontId="1" type="noConversion"/>
  </si>
  <si>
    <t>左边</t>
    <phoneticPr fontId="1" type="noConversion"/>
  </si>
  <si>
    <t>玉佩</t>
    <phoneticPr fontId="1" type="noConversion"/>
  </si>
  <si>
    <t>右边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</si>
</sst>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0.0000%"/>
    <numFmt numFmtId="178" formatCode="0.00000%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002060"/>
      <name val="宋体"/>
      <family val="3"/>
      <charset val="134"/>
      <scheme val="minor"/>
    </font>
    <font>
      <sz val="11"/>
      <color rgb="FFFF0000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3" fillId="0" borderId="1" xfId="1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center" vertical="center"/>
    </xf>
    <xf numFmtId="176" fontId="4" fillId="0" borderId="2" xfId="1" applyNumberFormat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178" fontId="0" fillId="0" borderId="0" xfId="1" applyNumberFormat="1" applyFont="1" applyAlignment="1">
      <alignment horizontal="center" vertical="center"/>
    </xf>
    <xf numFmtId="177" fontId="4" fillId="0" borderId="2" xfId="1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76" fontId="3" fillId="0" borderId="0" xfId="1" applyNumberFormat="1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系统总览!$C$1</c:f>
              <c:strCache>
                <c:ptCount val="1"/>
                <c:pt idx="0">
                  <c:v>价值(RMB)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系统总览!$B$2:$B$16</c:f>
              <c:strCache>
                <c:ptCount val="4"/>
                <c:pt idx="0">
                  <c:v>英雄-升级</c:v>
                </c:pt>
                <c:pt idx="1">
                  <c:v>英雄-突破</c:v>
                </c:pt>
                <c:pt idx="2">
                  <c:v>英雄-觉醒</c:v>
                </c:pt>
                <c:pt idx="3">
                  <c:v>圣器-淬炼</c:v>
                </c:pt>
              </c:strCache>
            </c:strRef>
          </c:cat>
          <c:val>
            <c:numRef>
              <c:f>系统总览!$C$2:$C$16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7305.97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1920"/>
        <c:axId val="20394752"/>
      </c:barChart>
      <c:catAx>
        <c:axId val="19921920"/>
        <c:scaling>
          <c:orientation val="minMax"/>
        </c:scaling>
        <c:delete val="0"/>
        <c:axPos val="l"/>
        <c:majorTickMark val="out"/>
        <c:minorTickMark val="none"/>
        <c:tickLblPos val="nextTo"/>
        <c:crossAx val="20394752"/>
        <c:crosses val="autoZero"/>
        <c:auto val="1"/>
        <c:lblAlgn val="ctr"/>
        <c:lblOffset val="100"/>
        <c:noMultiLvlLbl val="0"/>
      </c:catAx>
      <c:valAx>
        <c:axId val="2039475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921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角色内丹!$K$2</c:f>
              <c:strCache>
                <c:ptCount val="1"/>
                <c:pt idx="0">
                  <c:v>培养进度</c:v>
                </c:pt>
              </c:strCache>
            </c:strRef>
          </c:tx>
          <c:invertIfNegative val="0"/>
          <c:val>
            <c:numRef>
              <c:f>角色内丹!$K$3:$K$62</c:f>
              <c:numCache>
                <c:formatCode>0.0000%</c:formatCode>
                <c:ptCount val="60"/>
                <c:pt idx="0">
                  <c:v>2.2584270124295611E-4</c:v>
                </c:pt>
                <c:pt idx="1">
                  <c:v>6.3441267894612209E-4</c:v>
                </c:pt>
                <c:pt idx="2">
                  <c:v>1.2811440506873145E-3</c:v>
                </c:pt>
                <c:pt idx="3">
                  <c:v>2.4103575569020949E-3</c:v>
                </c:pt>
                <c:pt idx="4">
                  <c:v>4.3320736329330667E-3</c:v>
                </c:pt>
                <c:pt idx="5">
                  <c:v>7.7607764608943102E-3</c:v>
                </c:pt>
                <c:pt idx="6">
                  <c:v>1.4330745951598486E-2</c:v>
                </c:pt>
                <c:pt idx="7">
                  <c:v>3.0468233513140625E-2</c:v>
                </c:pt>
                <c:pt idx="8">
                  <c:v>6.3112769420077E-2</c:v>
                </c:pt>
                <c:pt idx="9">
                  <c:v>6.9956487639560527E-2</c:v>
                </c:pt>
                <c:pt idx="10">
                  <c:v>7.0227498881052078E-2</c:v>
                </c:pt>
                <c:pt idx="11">
                  <c:v>7.0717782854295877E-2</c:v>
                </c:pt>
                <c:pt idx="12">
                  <c:v>7.1493860500385295E-2</c:v>
                </c:pt>
                <c:pt idx="13">
                  <c:v>7.2848916707843034E-2</c:v>
                </c:pt>
                <c:pt idx="14">
                  <c:v>7.5154975999080192E-2</c:v>
                </c:pt>
                <c:pt idx="15">
                  <c:v>7.9269419392633669E-2</c:v>
                </c:pt>
                <c:pt idx="16">
                  <c:v>8.7153382781478689E-2</c:v>
                </c:pt>
                <c:pt idx="17">
                  <c:v>0.10651836785532925</c:v>
                </c:pt>
                <c:pt idx="18">
                  <c:v>0.14569181094365291</c:v>
                </c:pt>
                <c:pt idx="19">
                  <c:v>0.15937924738261994</c:v>
                </c:pt>
                <c:pt idx="20">
                  <c:v>0.15971801143448436</c:v>
                </c:pt>
                <c:pt idx="21">
                  <c:v>0.16033086640103911</c:v>
                </c:pt>
                <c:pt idx="22">
                  <c:v>0.16130096345865091</c:v>
                </c:pt>
                <c:pt idx="23">
                  <c:v>0.16299478371797307</c:v>
                </c:pt>
                <c:pt idx="24">
                  <c:v>0.16587735783201954</c:v>
                </c:pt>
                <c:pt idx="25">
                  <c:v>0.1710204120739614</c:v>
                </c:pt>
                <c:pt idx="26">
                  <c:v>0.18087536631001766</c:v>
                </c:pt>
                <c:pt idx="27">
                  <c:v>0.20508159765233086</c:v>
                </c:pt>
                <c:pt idx="28">
                  <c:v>0.25404840151273544</c:v>
                </c:pt>
                <c:pt idx="29">
                  <c:v>0.27457955617118596</c:v>
                </c:pt>
                <c:pt idx="30">
                  <c:v>0.27503124157367187</c:v>
                </c:pt>
                <c:pt idx="31">
                  <c:v>0.2758483815290782</c:v>
                </c:pt>
                <c:pt idx="32">
                  <c:v>0.27714184427256061</c:v>
                </c:pt>
                <c:pt idx="33">
                  <c:v>0.27940027128499018</c:v>
                </c:pt>
                <c:pt idx="34">
                  <c:v>0.28324370343705213</c:v>
                </c:pt>
                <c:pt idx="35">
                  <c:v>0.2901011090929746</c:v>
                </c:pt>
                <c:pt idx="36">
                  <c:v>0.30324104807438296</c:v>
                </c:pt>
                <c:pt idx="37">
                  <c:v>0.33551602319746726</c:v>
                </c:pt>
                <c:pt idx="38">
                  <c:v>0.40080509501134004</c:v>
                </c:pt>
                <c:pt idx="39">
                  <c:v>0.43502368610875763</c:v>
                </c:pt>
                <c:pt idx="40">
                  <c:v>0.43570121421248648</c:v>
                </c:pt>
                <c:pt idx="41">
                  <c:v>0.43692692414559597</c:v>
                </c:pt>
                <c:pt idx="42">
                  <c:v>0.43886711826081953</c:v>
                </c:pt>
                <c:pt idx="43">
                  <c:v>0.44225475877946391</c:v>
                </c:pt>
                <c:pt idx="44">
                  <c:v>0.44801990700755678</c:v>
                </c:pt>
                <c:pt idx="45">
                  <c:v>0.45830601549144051</c:v>
                </c:pt>
                <c:pt idx="46">
                  <c:v>0.47801592396355308</c:v>
                </c:pt>
                <c:pt idx="47">
                  <c:v>0.52642838664817948</c:v>
                </c:pt>
                <c:pt idx="48">
                  <c:v>0.62436199436898854</c:v>
                </c:pt>
                <c:pt idx="49">
                  <c:v>0.67911174012485676</c:v>
                </c:pt>
                <c:pt idx="50">
                  <c:v>0.68001511092982858</c:v>
                </c:pt>
                <c:pt idx="51">
                  <c:v>0.68164939084064124</c:v>
                </c:pt>
                <c:pt idx="52">
                  <c:v>0.68423631632760595</c:v>
                </c:pt>
                <c:pt idx="53">
                  <c:v>0.68875317035246508</c:v>
                </c:pt>
                <c:pt idx="54">
                  <c:v>0.69644003465658888</c:v>
                </c:pt>
                <c:pt idx="55">
                  <c:v>0.71015484596843392</c:v>
                </c:pt>
                <c:pt idx="56">
                  <c:v>0.73643472393125053</c:v>
                </c:pt>
                <c:pt idx="57">
                  <c:v>0.80098467417741914</c:v>
                </c:pt>
                <c:pt idx="58">
                  <c:v>0.9315628178051647</c:v>
                </c:pt>
                <c:pt idx="59">
                  <c:v>0.99999999999999989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40768"/>
        <c:axId val="21487616"/>
      </c:barChart>
      <c:catAx>
        <c:axId val="21440768"/>
        <c:scaling>
          <c:orientation val="minMax"/>
        </c:scaling>
        <c:delete val="0"/>
        <c:axPos val="b"/>
        <c:majorTickMark val="out"/>
        <c:minorTickMark val="none"/>
        <c:tickLblPos val="nextTo"/>
        <c:crossAx val="21487616"/>
        <c:crosses val="autoZero"/>
        <c:auto val="1"/>
        <c:lblAlgn val="ctr"/>
        <c:lblOffset val="100"/>
        <c:noMultiLvlLbl val="0"/>
      </c:catAx>
      <c:valAx>
        <c:axId val="214876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1440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角色内丹!$I$2</c:f>
              <c:strCache>
                <c:ptCount val="1"/>
                <c:pt idx="0">
                  <c:v>当前价值</c:v>
                </c:pt>
              </c:strCache>
            </c:strRef>
          </c:tx>
          <c:invertIfNegative val="0"/>
          <c:val>
            <c:numRef>
              <c:f>角色内丹!$I$3:$I$62</c:f>
              <c:numCache>
                <c:formatCode>General</c:formatCode>
                <c:ptCount val="60"/>
                <c:pt idx="0">
                  <c:v>1.6500000000000001</c:v>
                </c:pt>
                <c:pt idx="1">
                  <c:v>2.9849999999999999</c:v>
                </c:pt>
                <c:pt idx="2">
                  <c:v>4.7250000000000005</c:v>
                </c:pt>
                <c:pt idx="3">
                  <c:v>8.25</c:v>
                </c:pt>
                <c:pt idx="4">
                  <c:v>14.040000000000001</c:v>
                </c:pt>
                <c:pt idx="5">
                  <c:v>25.05</c:v>
                </c:pt>
                <c:pt idx="6">
                  <c:v>48</c:v>
                </c:pt>
                <c:pt idx="7">
                  <c:v>117.9</c:v>
                </c:pt>
                <c:pt idx="8">
                  <c:v>238.5</c:v>
                </c:pt>
                <c:pt idx="9">
                  <c:v>50</c:v>
                </c:pt>
                <c:pt idx="10">
                  <c:v>1.98</c:v>
                </c:pt>
                <c:pt idx="11">
                  <c:v>3.5820000000000003</c:v>
                </c:pt>
                <c:pt idx="12">
                  <c:v>5.67</c:v>
                </c:pt>
                <c:pt idx="13">
                  <c:v>9.9</c:v>
                </c:pt>
                <c:pt idx="14">
                  <c:v>16.847999999999999</c:v>
                </c:pt>
                <c:pt idx="15">
                  <c:v>30.060000000000002</c:v>
                </c:pt>
                <c:pt idx="16">
                  <c:v>57.6</c:v>
                </c:pt>
                <c:pt idx="17">
                  <c:v>141.47999999999999</c:v>
                </c:pt>
                <c:pt idx="18">
                  <c:v>286.2</c:v>
                </c:pt>
                <c:pt idx="19">
                  <c:v>100</c:v>
                </c:pt>
                <c:pt idx="20">
                  <c:v>2.4750000000000001</c:v>
                </c:pt>
                <c:pt idx="21">
                  <c:v>4.4775</c:v>
                </c:pt>
                <c:pt idx="22">
                  <c:v>7.0875000000000004</c:v>
                </c:pt>
                <c:pt idx="23">
                  <c:v>12.375</c:v>
                </c:pt>
                <c:pt idx="24">
                  <c:v>21.06</c:v>
                </c:pt>
                <c:pt idx="25">
                  <c:v>37.575000000000003</c:v>
                </c:pt>
                <c:pt idx="26">
                  <c:v>72</c:v>
                </c:pt>
                <c:pt idx="27">
                  <c:v>176.85</c:v>
                </c:pt>
                <c:pt idx="28">
                  <c:v>357.75</c:v>
                </c:pt>
                <c:pt idx="29">
                  <c:v>150</c:v>
                </c:pt>
                <c:pt idx="30">
                  <c:v>3.3000000000000003</c:v>
                </c:pt>
                <c:pt idx="31">
                  <c:v>5.97</c:v>
                </c:pt>
                <c:pt idx="32">
                  <c:v>9.4500000000000011</c:v>
                </c:pt>
                <c:pt idx="33">
                  <c:v>16.5</c:v>
                </c:pt>
                <c:pt idx="34">
                  <c:v>28.080000000000002</c:v>
                </c:pt>
                <c:pt idx="35">
                  <c:v>50.1</c:v>
                </c:pt>
                <c:pt idx="36">
                  <c:v>96</c:v>
                </c:pt>
                <c:pt idx="37">
                  <c:v>235.8</c:v>
                </c:pt>
                <c:pt idx="38">
                  <c:v>477</c:v>
                </c:pt>
                <c:pt idx="39">
                  <c:v>250</c:v>
                </c:pt>
                <c:pt idx="40">
                  <c:v>4.95</c:v>
                </c:pt>
                <c:pt idx="41">
                  <c:v>8.9550000000000001</c:v>
                </c:pt>
                <c:pt idx="42">
                  <c:v>14.175000000000001</c:v>
                </c:pt>
                <c:pt idx="43">
                  <c:v>24.75</c:v>
                </c:pt>
                <c:pt idx="44">
                  <c:v>42.12</c:v>
                </c:pt>
                <c:pt idx="45">
                  <c:v>75.150000000000006</c:v>
                </c:pt>
                <c:pt idx="46">
                  <c:v>144</c:v>
                </c:pt>
                <c:pt idx="47">
                  <c:v>353.7</c:v>
                </c:pt>
                <c:pt idx="48">
                  <c:v>715.5</c:v>
                </c:pt>
                <c:pt idx="49">
                  <c:v>400</c:v>
                </c:pt>
                <c:pt idx="50">
                  <c:v>6.6000000000000005</c:v>
                </c:pt>
                <c:pt idx="51">
                  <c:v>11.94</c:v>
                </c:pt>
                <c:pt idx="52">
                  <c:v>18.900000000000002</c:v>
                </c:pt>
                <c:pt idx="53">
                  <c:v>33</c:v>
                </c:pt>
                <c:pt idx="54">
                  <c:v>56.160000000000004</c:v>
                </c:pt>
                <c:pt idx="55">
                  <c:v>100.2</c:v>
                </c:pt>
                <c:pt idx="56">
                  <c:v>192</c:v>
                </c:pt>
                <c:pt idx="57">
                  <c:v>471.6</c:v>
                </c:pt>
                <c:pt idx="58">
                  <c:v>954</c:v>
                </c:pt>
                <c:pt idx="59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00416"/>
        <c:axId val="167101952"/>
      </c:barChart>
      <c:catAx>
        <c:axId val="167100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67101952"/>
        <c:crosses val="autoZero"/>
        <c:auto val="1"/>
        <c:lblAlgn val="ctr"/>
        <c:lblOffset val="100"/>
        <c:noMultiLvlLbl val="0"/>
      </c:catAx>
      <c:valAx>
        <c:axId val="16710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100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685799</xdr:colOff>
      <xdr:row>0</xdr:row>
      <xdr:rowOff>28575</xdr:rowOff>
    </xdr:from>
    <xdr:to>
      <xdr:col>17</xdr:col>
      <xdr:colOff>9525</xdr:colOff>
      <xdr:row>35</xdr:row>
      <xdr:rowOff>76200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25</xdr:row>
      <xdr:rowOff>19050</xdr:rowOff>
    </xdr:from>
    <xdr:to>
      <xdr:col>18</xdr:col>
      <xdr:colOff>152400</xdr:colOff>
      <xdr:row>41</xdr:row>
      <xdr:rowOff>19050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42</xdr:row>
      <xdr:rowOff>28575</xdr:rowOff>
    </xdr:from>
    <xdr:to>
      <xdr:col>18</xdr:col>
      <xdr:colOff>152400</xdr:colOff>
      <xdr:row>58</xdr:row>
      <xdr:rowOff>28575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D16"/>
  <sheetViews>
    <sheetView workbookViewId="0">
      <selection activeCell="D28" sqref="D28"/>
    </sheetView>
  </sheetViews>
  <sheetFormatPr defaultRowHeight="13.5" x14ac:dyDescent="0.15"/>
  <cols>
    <col min="1" max="1" width="10.625" style="1" customWidth="1"/>
    <col min="2" max="2" width="10.875" style="1" bestFit="1" customWidth="1"/>
    <col min="3" max="4" width="11.5" style="1" bestFit="1" customWidth="1"/>
    <col min="5" max="16384" width="9" style="1"/>
  </cols>
  <sheetData>
    <row r="1" spans="1:4" x14ac:dyDescent="0.15">
      <c r="A1" s="5" t="s">
        <v>41</v>
      </c>
      <c r="B1" s="5" t="s">
        <v>3</v>
      </c>
      <c r="C1" s="5" t="s">
        <v>7</v>
      </c>
      <c r="D1" s="5" t="s">
        <v>8</v>
      </c>
    </row>
    <row r="2" spans="1:4" x14ac:dyDescent="0.15">
      <c r="A2" s="4">
        <v>1</v>
      </c>
      <c r="B2" s="4" t="s">
        <v>2</v>
      </c>
      <c r="C2" s="4" t="e">
        <f>角色升级!#REF!</f>
        <v>#REF!</v>
      </c>
      <c r="D2" s="4" t="e">
        <f>$C2*角色升级!#REF!</f>
        <v>#REF!</v>
      </c>
    </row>
    <row r="3" spans="1:4" x14ac:dyDescent="0.15">
      <c r="A3" s="4">
        <v>2</v>
      </c>
      <c r="B3" s="4" t="s">
        <v>4</v>
      </c>
      <c r="C3" s="4" t="e">
        <f>#REF!</f>
        <v>#REF!</v>
      </c>
      <c r="D3" s="4" t="e">
        <f>$C3*角色升级!#REF!</f>
        <v>#REF!</v>
      </c>
    </row>
    <row r="4" spans="1:4" x14ac:dyDescent="0.15">
      <c r="A4" s="4">
        <v>3</v>
      </c>
      <c r="B4" s="4" t="s">
        <v>33</v>
      </c>
      <c r="C4" s="4">
        <f>角色内丹!P24</f>
        <v>7305.97</v>
      </c>
      <c r="D4" s="4" t="e">
        <f>$C4*角色升级!#REF!</f>
        <v>#REF!</v>
      </c>
    </row>
    <row r="5" spans="1:4" x14ac:dyDescent="0.15">
      <c r="A5" s="4">
        <v>4</v>
      </c>
      <c r="B5" s="4" t="s">
        <v>40</v>
      </c>
      <c r="C5" s="4" t="e">
        <f>角色装备!#REF!</f>
        <v>#REF!</v>
      </c>
      <c r="D5" s="4" t="e">
        <f>$C5*角色升级!#REF!</f>
        <v>#REF!</v>
      </c>
    </row>
    <row r="6" spans="1:4" x14ac:dyDescent="0.15">
      <c r="A6" s="4">
        <v>5</v>
      </c>
      <c r="B6" s="4"/>
      <c r="C6" s="4"/>
      <c r="D6" s="4" t="e">
        <f>$C6*角色升级!#REF!</f>
        <v>#REF!</v>
      </c>
    </row>
    <row r="7" spans="1:4" x14ac:dyDescent="0.15">
      <c r="A7" s="4">
        <v>6</v>
      </c>
      <c r="B7" s="4"/>
      <c r="C7" s="4"/>
      <c r="D7" s="4" t="e">
        <f>$C7*角色升级!#REF!</f>
        <v>#REF!</v>
      </c>
    </row>
    <row r="8" spans="1:4" x14ac:dyDescent="0.15">
      <c r="A8" s="4">
        <v>7</v>
      </c>
      <c r="B8" s="4"/>
      <c r="C8" s="4"/>
      <c r="D8" s="4" t="e">
        <f>$C8*角色升级!#REF!</f>
        <v>#REF!</v>
      </c>
    </row>
    <row r="9" spans="1:4" x14ac:dyDescent="0.15">
      <c r="A9" s="4">
        <v>8</v>
      </c>
      <c r="B9" s="4"/>
      <c r="C9" s="4"/>
      <c r="D9" s="4" t="e">
        <f>$C9*角色升级!#REF!</f>
        <v>#REF!</v>
      </c>
    </row>
    <row r="10" spans="1:4" x14ac:dyDescent="0.15">
      <c r="A10" s="4">
        <v>9</v>
      </c>
      <c r="B10" s="4"/>
      <c r="C10" s="4"/>
      <c r="D10" s="4" t="e">
        <f>$C10*角色升级!#REF!</f>
        <v>#REF!</v>
      </c>
    </row>
    <row r="11" spans="1:4" x14ac:dyDescent="0.15">
      <c r="A11" s="4">
        <v>10</v>
      </c>
      <c r="B11" s="4"/>
      <c r="C11" s="4"/>
      <c r="D11" s="4" t="e">
        <f>$C11*角色升级!#REF!</f>
        <v>#REF!</v>
      </c>
    </row>
    <row r="12" spans="1:4" x14ac:dyDescent="0.15">
      <c r="A12" s="4">
        <v>11</v>
      </c>
      <c r="B12" s="4"/>
      <c r="C12" s="4"/>
      <c r="D12" s="4" t="e">
        <f>$C12*角色升级!#REF!</f>
        <v>#REF!</v>
      </c>
    </row>
    <row r="13" spans="1:4" x14ac:dyDescent="0.15">
      <c r="A13" s="4">
        <v>12</v>
      </c>
      <c r="B13" s="4"/>
      <c r="C13" s="4"/>
      <c r="D13" s="4" t="e">
        <f>$C13*角色升级!#REF!</f>
        <v>#REF!</v>
      </c>
    </row>
    <row r="14" spans="1:4" x14ac:dyDescent="0.15">
      <c r="A14" s="4">
        <v>13</v>
      </c>
      <c r="B14" s="4"/>
      <c r="C14" s="4"/>
      <c r="D14" s="4" t="e">
        <f>$C14*角色升级!#REF!</f>
        <v>#REF!</v>
      </c>
    </row>
    <row r="15" spans="1:4" x14ac:dyDescent="0.15">
      <c r="A15" s="4">
        <v>14</v>
      </c>
      <c r="B15" s="4"/>
      <c r="C15" s="4"/>
      <c r="D15" s="4" t="e">
        <f>$C15*角色升级!#REF!</f>
        <v>#REF!</v>
      </c>
    </row>
    <row r="16" spans="1:4" x14ac:dyDescent="0.15">
      <c r="A16" s="4">
        <v>15</v>
      </c>
      <c r="B16" s="4"/>
      <c r="C16" s="4"/>
      <c r="D16" s="4" t="e">
        <f>$C16*角色升级!#REF!</f>
        <v>#REF!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44"/>
  <sheetViews>
    <sheetView tabSelected="1" workbookViewId="0">
      <selection activeCell="K7" sqref="K7"/>
    </sheetView>
  </sheetViews>
  <sheetFormatPr defaultRowHeight="13.5" x14ac:dyDescent="0.15"/>
  <cols>
    <col min="1" max="1" width="9" style="1"/>
    <col min="2" max="3" width="10.25" style="1" bestFit="1" customWidth="1"/>
    <col min="4" max="16384" width="9" style="1"/>
  </cols>
  <sheetData>
    <row r="1" spans="1:3" x14ac:dyDescent="0.15">
      <c r="A1" s="7" t="s">
        <v>12</v>
      </c>
      <c r="B1" s="7" t="s">
        <v>13</v>
      </c>
      <c r="C1" s="7" t="s">
        <v>8</v>
      </c>
    </row>
    <row r="2" spans="1:3" x14ac:dyDescent="0.15">
      <c r="A2" s="6" t="s">
        <v>16</v>
      </c>
      <c r="B2" s="12">
        <v>1000</v>
      </c>
      <c r="C2" s="6" t="e">
        <f>B2*角色升级!#REF!</f>
        <v>#REF!</v>
      </c>
    </row>
    <row r="3" spans="1:3" x14ac:dyDescent="0.15">
      <c r="A3" s="6" t="s">
        <v>11</v>
      </c>
      <c r="B3" s="12">
        <v>20</v>
      </c>
      <c r="C3" s="6" t="e">
        <f>B3*角色升级!#REF!</f>
        <v>#REF!</v>
      </c>
    </row>
    <row r="4" spans="1:3" x14ac:dyDescent="0.15">
      <c r="A4" s="6" t="s">
        <v>6</v>
      </c>
      <c r="B4" s="12">
        <v>1E-3</v>
      </c>
      <c r="C4" s="6" t="e">
        <f>B4*角色升级!#REF!</f>
        <v>#REF!</v>
      </c>
    </row>
    <row r="5" spans="1:3" x14ac:dyDescent="0.15">
      <c r="A5" s="6" t="s">
        <v>21</v>
      </c>
      <c r="B5" s="12">
        <v>500</v>
      </c>
      <c r="C5" s="6" t="e">
        <f>B5*角色升级!#REF!</f>
        <v>#REF!</v>
      </c>
    </row>
    <row r="6" spans="1:3" x14ac:dyDescent="0.15">
      <c r="A6" s="6" t="s">
        <v>22</v>
      </c>
      <c r="B6" s="12">
        <v>5</v>
      </c>
      <c r="C6" s="6" t="e">
        <f>B6*角色升级!#REF!</f>
        <v>#REF!</v>
      </c>
    </row>
    <row r="7" spans="1:3" x14ac:dyDescent="0.15">
      <c r="A7" s="6" t="s">
        <v>39</v>
      </c>
      <c r="B7" s="12">
        <v>500</v>
      </c>
      <c r="C7" s="6" t="e">
        <f>B7*角色升级!#REF!</f>
        <v>#REF!</v>
      </c>
    </row>
    <row r="8" spans="1:3" x14ac:dyDescent="0.15">
      <c r="A8" s="6"/>
      <c r="B8" s="12"/>
      <c r="C8" s="6" t="e">
        <f>B8*角色升级!#REF!</f>
        <v>#REF!</v>
      </c>
    </row>
    <row r="9" spans="1:3" x14ac:dyDescent="0.15">
      <c r="A9" s="6"/>
      <c r="B9" s="12"/>
      <c r="C9" s="6" t="e">
        <f>B9*角色升级!#REF!</f>
        <v>#REF!</v>
      </c>
    </row>
    <row r="10" spans="1:3" x14ac:dyDescent="0.15">
      <c r="A10" s="6"/>
      <c r="B10" s="12"/>
      <c r="C10" s="6" t="e">
        <f>B10*角色升级!#REF!</f>
        <v>#REF!</v>
      </c>
    </row>
    <row r="11" spans="1:3" x14ac:dyDescent="0.15">
      <c r="A11" s="6"/>
      <c r="B11" s="12"/>
      <c r="C11" s="6" t="e">
        <f>B11*角色升级!#REF!</f>
        <v>#REF!</v>
      </c>
    </row>
    <row r="12" spans="1:3" x14ac:dyDescent="0.15">
      <c r="A12" s="6"/>
      <c r="B12" s="12"/>
      <c r="C12" s="6" t="e">
        <f>B12*角色升级!#REF!</f>
        <v>#REF!</v>
      </c>
    </row>
    <row r="13" spans="1:3" x14ac:dyDescent="0.15">
      <c r="A13" s="6"/>
      <c r="B13" s="12"/>
      <c r="C13" s="6" t="e">
        <f>B13*角色升级!#REF!</f>
        <v>#REF!</v>
      </c>
    </row>
    <row r="14" spans="1:3" x14ac:dyDescent="0.15">
      <c r="A14" s="6"/>
      <c r="B14" s="12"/>
      <c r="C14" s="6" t="e">
        <f>B14*角色升级!#REF!</f>
        <v>#REF!</v>
      </c>
    </row>
    <row r="15" spans="1:3" x14ac:dyDescent="0.15">
      <c r="A15" s="6"/>
      <c r="B15" s="12"/>
      <c r="C15" s="6" t="e">
        <f>B15*角色升级!#REF!</f>
        <v>#REF!</v>
      </c>
    </row>
    <row r="16" spans="1:3" x14ac:dyDescent="0.15">
      <c r="A16" s="6"/>
      <c r="B16" s="12"/>
      <c r="C16" s="6" t="e">
        <f>B16*角色升级!#REF!</f>
        <v>#REF!</v>
      </c>
    </row>
    <row r="17" spans="1:3" x14ac:dyDescent="0.15">
      <c r="A17" s="6"/>
      <c r="B17" s="12"/>
      <c r="C17" s="6" t="e">
        <f>B17*角色升级!#REF!</f>
        <v>#REF!</v>
      </c>
    </row>
    <row r="18" spans="1:3" x14ac:dyDescent="0.15">
      <c r="A18" s="6"/>
      <c r="B18" s="12"/>
      <c r="C18" s="6" t="e">
        <f>B18*角色升级!#REF!</f>
        <v>#REF!</v>
      </c>
    </row>
    <row r="19" spans="1:3" x14ac:dyDescent="0.15">
      <c r="A19" s="6"/>
      <c r="B19" s="12"/>
      <c r="C19" s="6" t="e">
        <f>B19*角色升级!#REF!</f>
        <v>#REF!</v>
      </c>
    </row>
    <row r="20" spans="1:3" x14ac:dyDescent="0.15">
      <c r="A20" s="6"/>
      <c r="B20" s="12"/>
      <c r="C20" s="6" t="e">
        <f>B20*角色升级!#REF!</f>
        <v>#REF!</v>
      </c>
    </row>
    <row r="21" spans="1:3" x14ac:dyDescent="0.15">
      <c r="A21" s="6"/>
      <c r="B21" s="12"/>
      <c r="C21" s="6" t="e">
        <f>B21*角色升级!#REF!</f>
        <v>#REF!</v>
      </c>
    </row>
    <row r="22" spans="1:3" x14ac:dyDescent="0.15">
      <c r="A22" s="6"/>
      <c r="B22" s="12"/>
      <c r="C22" s="6" t="e">
        <f>B22*角色升级!#REF!</f>
        <v>#REF!</v>
      </c>
    </row>
    <row r="23" spans="1:3" x14ac:dyDescent="0.15">
      <c r="A23" s="6"/>
      <c r="B23" s="12"/>
      <c r="C23" s="6" t="e">
        <f>B23*角色升级!#REF!</f>
        <v>#REF!</v>
      </c>
    </row>
    <row r="24" spans="1:3" x14ac:dyDescent="0.15">
      <c r="A24" s="6"/>
      <c r="B24" s="12"/>
      <c r="C24" s="6" t="e">
        <f>B24*角色升级!#REF!</f>
        <v>#REF!</v>
      </c>
    </row>
    <row r="25" spans="1:3" x14ac:dyDescent="0.15">
      <c r="A25" s="6"/>
      <c r="B25" s="12"/>
      <c r="C25" s="6" t="e">
        <f>B25*角色升级!#REF!</f>
        <v>#REF!</v>
      </c>
    </row>
    <row r="26" spans="1:3" x14ac:dyDescent="0.15">
      <c r="A26" s="6"/>
      <c r="B26" s="12"/>
      <c r="C26" s="6" t="e">
        <f>B26*角色升级!#REF!</f>
        <v>#REF!</v>
      </c>
    </row>
    <row r="27" spans="1:3" x14ac:dyDescent="0.15">
      <c r="A27" s="6"/>
      <c r="B27" s="12"/>
      <c r="C27" s="6" t="e">
        <f>B27*角色升级!#REF!</f>
        <v>#REF!</v>
      </c>
    </row>
    <row r="28" spans="1:3" x14ac:dyDescent="0.15">
      <c r="A28" s="6"/>
      <c r="B28" s="12"/>
      <c r="C28" s="6" t="e">
        <f>B28*角色升级!#REF!</f>
        <v>#REF!</v>
      </c>
    </row>
    <row r="29" spans="1:3" x14ac:dyDescent="0.15">
      <c r="A29" s="6"/>
      <c r="B29" s="12"/>
      <c r="C29" s="6" t="e">
        <f>B29*角色升级!#REF!</f>
        <v>#REF!</v>
      </c>
    </row>
    <row r="30" spans="1:3" x14ac:dyDescent="0.15">
      <c r="A30" s="6"/>
      <c r="B30" s="12"/>
      <c r="C30" s="6" t="e">
        <f>B30*角色升级!#REF!</f>
        <v>#REF!</v>
      </c>
    </row>
    <row r="31" spans="1:3" x14ac:dyDescent="0.15">
      <c r="A31" s="6"/>
      <c r="B31" s="12"/>
      <c r="C31" s="6" t="e">
        <f>B31*角色升级!#REF!</f>
        <v>#REF!</v>
      </c>
    </row>
    <row r="32" spans="1:3" x14ac:dyDescent="0.15">
      <c r="A32" s="6"/>
      <c r="B32" s="12"/>
      <c r="C32" s="6" t="e">
        <f>B32*角色升级!#REF!</f>
        <v>#REF!</v>
      </c>
    </row>
    <row r="33" spans="1:3" x14ac:dyDescent="0.15">
      <c r="A33" s="6"/>
      <c r="B33" s="12"/>
      <c r="C33" s="6" t="e">
        <f>B33*角色升级!#REF!</f>
        <v>#REF!</v>
      </c>
    </row>
    <row r="34" spans="1:3" x14ac:dyDescent="0.15">
      <c r="A34" s="6"/>
      <c r="B34" s="12"/>
      <c r="C34" s="6" t="e">
        <f>B34*角色升级!#REF!</f>
        <v>#REF!</v>
      </c>
    </row>
    <row r="35" spans="1:3" x14ac:dyDescent="0.15">
      <c r="A35" s="6"/>
      <c r="B35" s="12"/>
      <c r="C35" s="6" t="e">
        <f>B35*角色升级!#REF!</f>
        <v>#REF!</v>
      </c>
    </row>
    <row r="36" spans="1:3" x14ac:dyDescent="0.15">
      <c r="A36" s="6"/>
      <c r="B36" s="12"/>
      <c r="C36" s="6" t="e">
        <f>B36*角色升级!#REF!</f>
        <v>#REF!</v>
      </c>
    </row>
    <row r="37" spans="1:3" x14ac:dyDescent="0.15">
      <c r="A37" s="6"/>
      <c r="B37" s="12"/>
      <c r="C37" s="6" t="e">
        <f>B37*角色升级!#REF!</f>
        <v>#REF!</v>
      </c>
    </row>
    <row r="38" spans="1:3" x14ac:dyDescent="0.15">
      <c r="A38" s="6"/>
      <c r="B38" s="12"/>
      <c r="C38" s="6" t="e">
        <f>B38*角色升级!#REF!</f>
        <v>#REF!</v>
      </c>
    </row>
    <row r="39" spans="1:3" x14ac:dyDescent="0.15">
      <c r="A39" s="6"/>
      <c r="B39" s="12"/>
      <c r="C39" s="6" t="e">
        <f>B39*角色升级!#REF!</f>
        <v>#REF!</v>
      </c>
    </row>
    <row r="40" spans="1:3" x14ac:dyDescent="0.15">
      <c r="A40" s="6"/>
      <c r="B40" s="12"/>
      <c r="C40" s="6" t="e">
        <f>B40*角色升级!#REF!</f>
        <v>#REF!</v>
      </c>
    </row>
    <row r="41" spans="1:3" x14ac:dyDescent="0.15">
      <c r="A41" s="6"/>
      <c r="B41" s="12"/>
      <c r="C41" s="6" t="e">
        <f>B41*角色升级!#REF!</f>
        <v>#REF!</v>
      </c>
    </row>
    <row r="42" spans="1:3" x14ac:dyDescent="0.15">
      <c r="A42" s="6"/>
      <c r="B42" s="12"/>
      <c r="C42" s="6" t="e">
        <f>B42*角色升级!#REF!</f>
        <v>#REF!</v>
      </c>
    </row>
    <row r="43" spans="1:3" x14ac:dyDescent="0.15">
      <c r="A43" s="6"/>
      <c r="B43" s="12"/>
      <c r="C43" s="6" t="e">
        <f>B43*角色升级!#REF!</f>
        <v>#REF!</v>
      </c>
    </row>
    <row r="44" spans="1:3" x14ac:dyDescent="0.15">
      <c r="A44" s="6"/>
      <c r="B44" s="12"/>
      <c r="C44" s="6" t="e">
        <f>B44*角色升级!#REF!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1"/>
  <sheetViews>
    <sheetView topLeftCell="A19" workbookViewId="0">
      <selection activeCell="B60" sqref="B60"/>
    </sheetView>
  </sheetViews>
  <sheetFormatPr defaultRowHeight="13.5" x14ac:dyDescent="0.15"/>
  <cols>
    <col min="1" max="16384" width="9" style="1"/>
  </cols>
  <sheetData>
    <row r="1" spans="1:3" x14ac:dyDescent="0.15">
      <c r="A1" s="1" t="s">
        <v>55</v>
      </c>
      <c r="B1" s="1" t="s">
        <v>1</v>
      </c>
      <c r="C1" s="1" t="s">
        <v>56</v>
      </c>
    </row>
    <row r="2" spans="1:3" x14ac:dyDescent="0.15">
      <c r="A2" s="1">
        <v>1</v>
      </c>
      <c r="B2" s="25">
        <v>10</v>
      </c>
    </row>
    <row r="3" spans="1:3" x14ac:dyDescent="0.15">
      <c r="A3" s="1">
        <v>2</v>
      </c>
      <c r="B3" s="1">
        <f>B2+C3</f>
        <v>20</v>
      </c>
      <c r="C3" s="25">
        <v>10</v>
      </c>
    </row>
    <row r="4" spans="1:3" x14ac:dyDescent="0.15">
      <c r="A4" s="1">
        <v>3</v>
      </c>
      <c r="B4" s="1">
        <f t="shared" ref="B4:B61" si="0">B3+C4</f>
        <v>30</v>
      </c>
      <c r="C4" s="25">
        <v>10</v>
      </c>
    </row>
    <row r="5" spans="1:3" x14ac:dyDescent="0.15">
      <c r="A5" s="1">
        <v>4</v>
      </c>
      <c r="B5" s="1">
        <f t="shared" si="0"/>
        <v>40</v>
      </c>
      <c r="C5" s="25">
        <v>10</v>
      </c>
    </row>
    <row r="6" spans="1:3" x14ac:dyDescent="0.15">
      <c r="A6" s="1">
        <v>5</v>
      </c>
      <c r="B6" s="1">
        <f t="shared" si="0"/>
        <v>50</v>
      </c>
      <c r="C6" s="25">
        <v>10</v>
      </c>
    </row>
    <row r="7" spans="1:3" x14ac:dyDescent="0.15">
      <c r="A7" s="1">
        <v>6</v>
      </c>
      <c r="B7" s="1">
        <f t="shared" si="0"/>
        <v>60</v>
      </c>
      <c r="C7" s="25">
        <v>10</v>
      </c>
    </row>
    <row r="8" spans="1:3" x14ac:dyDescent="0.15">
      <c r="A8" s="1">
        <v>7</v>
      </c>
      <c r="B8" s="1">
        <f t="shared" si="0"/>
        <v>70</v>
      </c>
      <c r="C8" s="25">
        <v>10</v>
      </c>
    </row>
    <row r="9" spans="1:3" x14ac:dyDescent="0.15">
      <c r="A9" s="1">
        <v>8</v>
      </c>
      <c r="B9" s="1">
        <f t="shared" si="0"/>
        <v>80</v>
      </c>
      <c r="C9" s="25">
        <v>10</v>
      </c>
    </row>
    <row r="10" spans="1:3" x14ac:dyDescent="0.15">
      <c r="A10" s="1">
        <v>9</v>
      </c>
      <c r="B10" s="1">
        <f t="shared" si="0"/>
        <v>90</v>
      </c>
      <c r="C10" s="25">
        <v>10</v>
      </c>
    </row>
    <row r="11" spans="1:3" x14ac:dyDescent="0.15">
      <c r="A11" s="1">
        <v>10</v>
      </c>
      <c r="B11" s="1">
        <f t="shared" si="0"/>
        <v>100</v>
      </c>
      <c r="C11" s="25">
        <v>10</v>
      </c>
    </row>
    <row r="12" spans="1:3" x14ac:dyDescent="0.15">
      <c r="A12" s="1">
        <v>11</v>
      </c>
      <c r="B12" s="1">
        <f t="shared" si="0"/>
        <v>120</v>
      </c>
      <c r="C12" s="25">
        <v>20</v>
      </c>
    </row>
    <row r="13" spans="1:3" x14ac:dyDescent="0.15">
      <c r="A13" s="1">
        <v>12</v>
      </c>
      <c r="B13" s="1">
        <f t="shared" si="0"/>
        <v>140</v>
      </c>
      <c r="C13" s="25">
        <v>20</v>
      </c>
    </row>
    <row r="14" spans="1:3" x14ac:dyDescent="0.15">
      <c r="A14" s="1">
        <v>13</v>
      </c>
      <c r="B14" s="1">
        <f t="shared" si="0"/>
        <v>160</v>
      </c>
      <c r="C14" s="25">
        <v>20</v>
      </c>
    </row>
    <row r="15" spans="1:3" x14ac:dyDescent="0.15">
      <c r="A15" s="1">
        <v>14</v>
      </c>
      <c r="B15" s="1">
        <f t="shared" si="0"/>
        <v>180</v>
      </c>
      <c r="C15" s="25">
        <v>20</v>
      </c>
    </row>
    <row r="16" spans="1:3" x14ac:dyDescent="0.15">
      <c r="A16" s="1">
        <v>15</v>
      </c>
      <c r="B16" s="1">
        <f t="shared" si="0"/>
        <v>200</v>
      </c>
      <c r="C16" s="25">
        <v>20</v>
      </c>
    </row>
    <row r="17" spans="1:3" x14ac:dyDescent="0.15">
      <c r="A17" s="1">
        <v>16</v>
      </c>
      <c r="B17" s="1">
        <f t="shared" si="0"/>
        <v>220</v>
      </c>
      <c r="C17" s="25">
        <v>20</v>
      </c>
    </row>
    <row r="18" spans="1:3" x14ac:dyDescent="0.15">
      <c r="A18" s="1">
        <v>17</v>
      </c>
      <c r="B18" s="1">
        <f t="shared" si="0"/>
        <v>240</v>
      </c>
      <c r="C18" s="25">
        <v>20</v>
      </c>
    </row>
    <row r="19" spans="1:3" x14ac:dyDescent="0.15">
      <c r="A19" s="1">
        <v>18</v>
      </c>
      <c r="B19" s="1">
        <f t="shared" si="0"/>
        <v>260</v>
      </c>
      <c r="C19" s="25">
        <v>20</v>
      </c>
    </row>
    <row r="20" spans="1:3" x14ac:dyDescent="0.15">
      <c r="A20" s="1">
        <v>19</v>
      </c>
      <c r="B20" s="1">
        <f t="shared" si="0"/>
        <v>280</v>
      </c>
      <c r="C20" s="25">
        <v>20</v>
      </c>
    </row>
    <row r="21" spans="1:3" x14ac:dyDescent="0.15">
      <c r="A21" s="1">
        <v>20</v>
      </c>
      <c r="B21" s="1">
        <f t="shared" si="0"/>
        <v>300</v>
      </c>
      <c r="C21" s="25">
        <v>20</v>
      </c>
    </row>
    <row r="22" spans="1:3" x14ac:dyDescent="0.15">
      <c r="A22" s="1">
        <v>21</v>
      </c>
      <c r="B22" s="1">
        <f t="shared" si="0"/>
        <v>340</v>
      </c>
      <c r="C22" s="25">
        <v>40</v>
      </c>
    </row>
    <row r="23" spans="1:3" x14ac:dyDescent="0.15">
      <c r="A23" s="1">
        <v>22</v>
      </c>
      <c r="B23" s="1">
        <f t="shared" si="0"/>
        <v>380</v>
      </c>
      <c r="C23" s="25">
        <v>40</v>
      </c>
    </row>
    <row r="24" spans="1:3" x14ac:dyDescent="0.15">
      <c r="A24" s="1">
        <v>23</v>
      </c>
      <c r="B24" s="1">
        <f t="shared" si="0"/>
        <v>420</v>
      </c>
      <c r="C24" s="25">
        <v>40</v>
      </c>
    </row>
    <row r="25" spans="1:3" x14ac:dyDescent="0.15">
      <c r="A25" s="1">
        <v>24</v>
      </c>
      <c r="B25" s="1">
        <f t="shared" si="0"/>
        <v>460</v>
      </c>
      <c r="C25" s="25">
        <v>40</v>
      </c>
    </row>
    <row r="26" spans="1:3" x14ac:dyDescent="0.15">
      <c r="A26" s="1">
        <v>25</v>
      </c>
      <c r="B26" s="1">
        <f t="shared" si="0"/>
        <v>500</v>
      </c>
      <c r="C26" s="25">
        <v>40</v>
      </c>
    </row>
    <row r="27" spans="1:3" x14ac:dyDescent="0.15">
      <c r="A27" s="1">
        <v>26</v>
      </c>
      <c r="B27" s="1">
        <f t="shared" si="0"/>
        <v>540</v>
      </c>
      <c r="C27" s="25">
        <v>40</v>
      </c>
    </row>
    <row r="28" spans="1:3" x14ac:dyDescent="0.15">
      <c r="A28" s="1">
        <v>27</v>
      </c>
      <c r="B28" s="1">
        <f t="shared" si="0"/>
        <v>580</v>
      </c>
      <c r="C28" s="25">
        <v>40</v>
      </c>
    </row>
    <row r="29" spans="1:3" x14ac:dyDescent="0.15">
      <c r="A29" s="1">
        <v>28</v>
      </c>
      <c r="B29" s="1">
        <f t="shared" si="0"/>
        <v>620</v>
      </c>
      <c r="C29" s="25">
        <v>40</v>
      </c>
    </row>
    <row r="30" spans="1:3" x14ac:dyDescent="0.15">
      <c r="A30" s="1">
        <v>29</v>
      </c>
      <c r="B30" s="1">
        <f t="shared" si="0"/>
        <v>660</v>
      </c>
      <c r="C30" s="25">
        <v>40</v>
      </c>
    </row>
    <row r="31" spans="1:3" x14ac:dyDescent="0.15">
      <c r="A31" s="1">
        <v>30</v>
      </c>
      <c r="B31" s="1">
        <f t="shared" si="0"/>
        <v>700</v>
      </c>
      <c r="C31" s="25">
        <v>40</v>
      </c>
    </row>
    <row r="32" spans="1:3" x14ac:dyDescent="0.15">
      <c r="A32" s="1">
        <v>31</v>
      </c>
      <c r="B32" s="1">
        <f t="shared" si="0"/>
        <v>780</v>
      </c>
      <c r="C32" s="25">
        <v>80</v>
      </c>
    </row>
    <row r="33" spans="1:3" x14ac:dyDescent="0.15">
      <c r="A33" s="1">
        <v>32</v>
      </c>
      <c r="B33" s="1">
        <f t="shared" si="0"/>
        <v>860</v>
      </c>
      <c r="C33" s="25">
        <v>80</v>
      </c>
    </row>
    <row r="34" spans="1:3" x14ac:dyDescent="0.15">
      <c r="A34" s="1">
        <v>33</v>
      </c>
      <c r="B34" s="1">
        <f t="shared" si="0"/>
        <v>940</v>
      </c>
      <c r="C34" s="25">
        <v>80</v>
      </c>
    </row>
    <row r="35" spans="1:3" x14ac:dyDescent="0.15">
      <c r="A35" s="1">
        <v>34</v>
      </c>
      <c r="B35" s="1">
        <f t="shared" si="0"/>
        <v>1020</v>
      </c>
      <c r="C35" s="25">
        <v>80</v>
      </c>
    </row>
    <row r="36" spans="1:3" x14ac:dyDescent="0.15">
      <c r="A36" s="1">
        <v>35</v>
      </c>
      <c r="B36" s="1">
        <f t="shared" si="0"/>
        <v>1100</v>
      </c>
      <c r="C36" s="25">
        <v>80</v>
      </c>
    </row>
    <row r="37" spans="1:3" x14ac:dyDescent="0.15">
      <c r="A37" s="1">
        <v>36</v>
      </c>
      <c r="B37" s="1">
        <f t="shared" si="0"/>
        <v>1180</v>
      </c>
      <c r="C37" s="25">
        <v>80</v>
      </c>
    </row>
    <row r="38" spans="1:3" x14ac:dyDescent="0.15">
      <c r="A38" s="1">
        <v>37</v>
      </c>
      <c r="B38" s="1">
        <f t="shared" si="0"/>
        <v>1260</v>
      </c>
      <c r="C38" s="25">
        <v>80</v>
      </c>
    </row>
    <row r="39" spans="1:3" x14ac:dyDescent="0.15">
      <c r="A39" s="1">
        <v>38</v>
      </c>
      <c r="B39" s="1">
        <f t="shared" si="0"/>
        <v>1340</v>
      </c>
      <c r="C39" s="25">
        <v>80</v>
      </c>
    </row>
    <row r="40" spans="1:3" x14ac:dyDescent="0.15">
      <c r="A40" s="1">
        <v>39</v>
      </c>
      <c r="B40" s="1">
        <f t="shared" si="0"/>
        <v>1420</v>
      </c>
      <c r="C40" s="25">
        <v>80</v>
      </c>
    </row>
    <row r="41" spans="1:3" x14ac:dyDescent="0.15">
      <c r="A41" s="1">
        <v>40</v>
      </c>
      <c r="B41" s="1">
        <f t="shared" si="0"/>
        <v>1500</v>
      </c>
      <c r="C41" s="25">
        <v>80</v>
      </c>
    </row>
    <row r="42" spans="1:3" x14ac:dyDescent="0.15">
      <c r="A42" s="1">
        <v>41</v>
      </c>
      <c r="B42" s="1">
        <f t="shared" si="0"/>
        <v>1660</v>
      </c>
      <c r="C42" s="25">
        <v>160</v>
      </c>
    </row>
    <row r="43" spans="1:3" x14ac:dyDescent="0.15">
      <c r="A43" s="1">
        <v>42</v>
      </c>
      <c r="B43" s="1">
        <f t="shared" si="0"/>
        <v>1820</v>
      </c>
      <c r="C43" s="25">
        <v>160</v>
      </c>
    </row>
    <row r="44" spans="1:3" x14ac:dyDescent="0.15">
      <c r="A44" s="1">
        <v>43</v>
      </c>
      <c r="B44" s="1">
        <f t="shared" si="0"/>
        <v>1980</v>
      </c>
      <c r="C44" s="25">
        <v>160</v>
      </c>
    </row>
    <row r="45" spans="1:3" x14ac:dyDescent="0.15">
      <c r="A45" s="1">
        <v>44</v>
      </c>
      <c r="B45" s="1">
        <f t="shared" si="0"/>
        <v>2140</v>
      </c>
      <c r="C45" s="25">
        <v>160</v>
      </c>
    </row>
    <row r="46" spans="1:3" x14ac:dyDescent="0.15">
      <c r="A46" s="1">
        <v>45</v>
      </c>
      <c r="B46" s="1">
        <f t="shared" si="0"/>
        <v>2300</v>
      </c>
      <c r="C46" s="25">
        <v>160</v>
      </c>
    </row>
    <row r="47" spans="1:3" x14ac:dyDescent="0.15">
      <c r="A47" s="1">
        <v>46</v>
      </c>
      <c r="B47" s="1">
        <f t="shared" si="0"/>
        <v>2460</v>
      </c>
      <c r="C47" s="25">
        <v>160</v>
      </c>
    </row>
    <row r="48" spans="1:3" x14ac:dyDescent="0.15">
      <c r="A48" s="1">
        <v>47</v>
      </c>
      <c r="B48" s="1">
        <f t="shared" si="0"/>
        <v>2620</v>
      </c>
      <c r="C48" s="25">
        <v>160</v>
      </c>
    </row>
    <row r="49" spans="1:3" x14ac:dyDescent="0.15">
      <c r="A49" s="1">
        <v>48</v>
      </c>
      <c r="B49" s="1">
        <f t="shared" si="0"/>
        <v>2780</v>
      </c>
      <c r="C49" s="25">
        <v>160</v>
      </c>
    </row>
    <row r="50" spans="1:3" x14ac:dyDescent="0.15">
      <c r="A50" s="1">
        <v>49</v>
      </c>
      <c r="B50" s="1">
        <f t="shared" si="0"/>
        <v>2940</v>
      </c>
      <c r="C50" s="25">
        <v>160</v>
      </c>
    </row>
    <row r="51" spans="1:3" x14ac:dyDescent="0.15">
      <c r="A51" s="1">
        <v>50</v>
      </c>
      <c r="B51" s="1">
        <f t="shared" si="0"/>
        <v>3100</v>
      </c>
      <c r="C51" s="25">
        <v>160</v>
      </c>
    </row>
    <row r="52" spans="1:3" x14ac:dyDescent="0.15">
      <c r="A52" s="1">
        <v>51</v>
      </c>
      <c r="B52" s="1">
        <f t="shared" si="0"/>
        <v>3420</v>
      </c>
      <c r="C52" s="25">
        <v>320</v>
      </c>
    </row>
    <row r="53" spans="1:3" x14ac:dyDescent="0.15">
      <c r="A53" s="1">
        <v>52</v>
      </c>
      <c r="B53" s="1">
        <f t="shared" si="0"/>
        <v>3740</v>
      </c>
      <c r="C53" s="25">
        <v>320</v>
      </c>
    </row>
    <row r="54" spans="1:3" x14ac:dyDescent="0.15">
      <c r="A54" s="1">
        <v>53</v>
      </c>
      <c r="B54" s="1">
        <f t="shared" si="0"/>
        <v>4060</v>
      </c>
      <c r="C54" s="25">
        <v>320</v>
      </c>
    </row>
    <row r="55" spans="1:3" x14ac:dyDescent="0.15">
      <c r="A55" s="1">
        <v>54</v>
      </c>
      <c r="B55" s="1">
        <f t="shared" si="0"/>
        <v>4380</v>
      </c>
      <c r="C55" s="25">
        <v>320</v>
      </c>
    </row>
    <row r="56" spans="1:3" x14ac:dyDescent="0.15">
      <c r="A56" s="1">
        <v>55</v>
      </c>
      <c r="B56" s="1">
        <f t="shared" si="0"/>
        <v>4700</v>
      </c>
      <c r="C56" s="25">
        <v>320</v>
      </c>
    </row>
    <row r="57" spans="1:3" x14ac:dyDescent="0.15">
      <c r="A57" s="1">
        <v>56</v>
      </c>
      <c r="B57" s="1">
        <f t="shared" si="0"/>
        <v>5020</v>
      </c>
      <c r="C57" s="25">
        <v>320</v>
      </c>
    </row>
    <row r="58" spans="1:3" x14ac:dyDescent="0.15">
      <c r="A58" s="1">
        <v>57</v>
      </c>
      <c r="B58" s="1">
        <f t="shared" si="0"/>
        <v>5340</v>
      </c>
      <c r="C58" s="25">
        <v>320</v>
      </c>
    </row>
    <row r="59" spans="1:3" x14ac:dyDescent="0.15">
      <c r="A59" s="1">
        <v>58</v>
      </c>
      <c r="B59" s="1">
        <f t="shared" si="0"/>
        <v>5660</v>
      </c>
      <c r="C59" s="25">
        <v>320</v>
      </c>
    </row>
    <row r="60" spans="1:3" x14ac:dyDescent="0.15">
      <c r="A60" s="1">
        <v>59</v>
      </c>
      <c r="B60" s="1">
        <f t="shared" si="0"/>
        <v>5980</v>
      </c>
      <c r="C60" s="25">
        <v>320</v>
      </c>
    </row>
    <row r="61" spans="1:3" x14ac:dyDescent="0.15">
      <c r="A61" s="1">
        <v>60</v>
      </c>
      <c r="B61" s="1">
        <f t="shared" si="0"/>
        <v>6300</v>
      </c>
      <c r="C61" s="25">
        <v>320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F62"/>
  <sheetViews>
    <sheetView topLeftCell="A16" workbookViewId="0">
      <selection activeCell="J16" sqref="J16"/>
    </sheetView>
  </sheetViews>
  <sheetFormatPr defaultRowHeight="13.5" x14ac:dyDescent="0.15"/>
  <cols>
    <col min="1" max="4" width="9" style="1"/>
    <col min="5" max="5" width="11.625" style="1" bestFit="1" customWidth="1"/>
    <col min="6" max="6" width="12.75" style="1" bestFit="1" customWidth="1"/>
    <col min="7" max="16384" width="9" style="1"/>
  </cols>
  <sheetData>
    <row r="1" spans="1:6" x14ac:dyDescent="0.15">
      <c r="D1" s="25">
        <v>1800</v>
      </c>
    </row>
    <row r="2" spans="1:6" x14ac:dyDescent="0.15">
      <c r="A2" s="7" t="s">
        <v>0</v>
      </c>
      <c r="B2" s="7" t="s">
        <v>57</v>
      </c>
      <c r="C2" s="7" t="s">
        <v>58</v>
      </c>
      <c r="D2" s="7" t="s">
        <v>59</v>
      </c>
      <c r="E2" s="7" t="s">
        <v>60</v>
      </c>
      <c r="F2" s="7" t="s">
        <v>61</v>
      </c>
    </row>
    <row r="3" spans="1:6" x14ac:dyDescent="0.15">
      <c r="A3" s="6">
        <v>1</v>
      </c>
      <c r="B3" s="25">
        <v>1</v>
      </c>
      <c r="C3" s="25">
        <v>10</v>
      </c>
      <c r="D3" s="25"/>
      <c r="E3" s="6">
        <f ca="1">$C3*OFFSET(怪物经验!$B$1,MATCH($B3,怪物经验!$A$2:$A$61,0),)</f>
        <v>100</v>
      </c>
      <c r="F3" s="1">
        <f>ROUNDDOWN(SUM($D$3:$D3)/24,1)+1</f>
        <v>1</v>
      </c>
    </row>
    <row r="4" spans="1:6" x14ac:dyDescent="0.15">
      <c r="A4" s="6">
        <v>2</v>
      </c>
      <c r="B4" s="25">
        <v>2</v>
      </c>
      <c r="C4" s="25">
        <v>10</v>
      </c>
      <c r="D4" s="25"/>
      <c r="E4" s="6">
        <f ca="1">$C4*OFFSET(怪物经验!$B$1,MATCH($B4,怪物经验!$A$2:$A$61,0),)</f>
        <v>200</v>
      </c>
      <c r="F4" s="1">
        <f>ROUNDDOWN(SUM($D$3:$D4)/24,1)+1</f>
        <v>1</v>
      </c>
    </row>
    <row r="5" spans="1:6" x14ac:dyDescent="0.15">
      <c r="A5" s="6">
        <v>3</v>
      </c>
      <c r="B5" s="25">
        <v>3</v>
      </c>
      <c r="C5" s="25">
        <v>10</v>
      </c>
      <c r="D5" s="25"/>
      <c r="E5" s="6">
        <f ca="1">$C5*OFFSET(怪物经验!$B$1,MATCH($B5,怪物经验!$A$2:$A$61,0),)</f>
        <v>300</v>
      </c>
      <c r="F5" s="1">
        <f>ROUNDDOWN(SUM($D$3:$D5)/24,1)+1</f>
        <v>1</v>
      </c>
    </row>
    <row r="6" spans="1:6" x14ac:dyDescent="0.15">
      <c r="A6" s="6">
        <v>4</v>
      </c>
      <c r="B6" s="25">
        <v>4</v>
      </c>
      <c r="C6" s="25">
        <v>10</v>
      </c>
      <c r="D6" s="25"/>
      <c r="E6" s="6">
        <f ca="1">$C6*OFFSET(怪物经验!$B$1,MATCH($B6,怪物经验!$A$2:$A$61,0),)</f>
        <v>400</v>
      </c>
      <c r="F6" s="1">
        <f>ROUNDDOWN(SUM($D$3:$D6)/24,1)+1</f>
        <v>1</v>
      </c>
    </row>
    <row r="7" spans="1:6" x14ac:dyDescent="0.15">
      <c r="A7" s="6">
        <v>5</v>
      </c>
      <c r="B7" s="25">
        <v>5</v>
      </c>
      <c r="C7" s="25">
        <v>10</v>
      </c>
      <c r="D7" s="25"/>
      <c r="E7" s="6">
        <f ca="1">$C7*OFFSET(怪物经验!$B$1,MATCH($B7,怪物经验!$A$2:$A$61,0),)</f>
        <v>500</v>
      </c>
      <c r="F7" s="1">
        <f>ROUNDDOWN(SUM($D$3:$D7)/24,1)+1</f>
        <v>1</v>
      </c>
    </row>
    <row r="8" spans="1:6" x14ac:dyDescent="0.15">
      <c r="A8" s="6">
        <v>6</v>
      </c>
      <c r="B8" s="25">
        <v>6</v>
      </c>
      <c r="C8" s="25">
        <v>10</v>
      </c>
      <c r="D8" s="25"/>
      <c r="E8" s="6">
        <f ca="1">$C8*OFFSET(怪物经验!$B$1,MATCH($B8,怪物经验!$A$2:$A$61,0),)</f>
        <v>600</v>
      </c>
      <c r="F8" s="1">
        <f>ROUNDDOWN(SUM($D$3:$D8)/24,1)+1</f>
        <v>1</v>
      </c>
    </row>
    <row r="9" spans="1:6" x14ac:dyDescent="0.15">
      <c r="A9" s="6">
        <v>7</v>
      </c>
      <c r="B9" s="25">
        <v>7</v>
      </c>
      <c r="C9" s="25">
        <v>10</v>
      </c>
      <c r="D9" s="25"/>
      <c r="E9" s="6">
        <f ca="1">$C9*OFFSET(怪物经验!$B$1,MATCH($B9,怪物经验!$A$2:$A$61,0),)</f>
        <v>700</v>
      </c>
      <c r="F9" s="1">
        <f>ROUNDDOWN(SUM($D$3:$D9)/24,1)+1</f>
        <v>1</v>
      </c>
    </row>
    <row r="10" spans="1:6" x14ac:dyDescent="0.15">
      <c r="A10" s="6">
        <v>8</v>
      </c>
      <c r="B10" s="25">
        <v>8</v>
      </c>
      <c r="C10" s="25">
        <v>10</v>
      </c>
      <c r="D10" s="25"/>
      <c r="E10" s="6">
        <f ca="1">$C10*OFFSET(怪物经验!$B$1,MATCH($B10,怪物经验!$A$2:$A$61,0),)</f>
        <v>800</v>
      </c>
      <c r="F10" s="1">
        <f>ROUNDDOWN(SUM($D$3:$D10)/24,1)+1</f>
        <v>1</v>
      </c>
    </row>
    <row r="11" spans="1:6" x14ac:dyDescent="0.15">
      <c r="A11" s="6">
        <v>9</v>
      </c>
      <c r="B11" s="25">
        <v>9</v>
      </c>
      <c r="C11" s="25">
        <v>10</v>
      </c>
      <c r="D11" s="25"/>
      <c r="E11" s="6">
        <f ca="1">$C11*OFFSET(怪物经验!$B$1,MATCH($B11,怪物经验!$A$2:$A$61,0),)</f>
        <v>900</v>
      </c>
      <c r="F11" s="1">
        <f>ROUNDDOWN(SUM($D$3:$D11)/24,1)+1</f>
        <v>1</v>
      </c>
    </row>
    <row r="12" spans="1:6" x14ac:dyDescent="0.15">
      <c r="A12" s="6">
        <v>10</v>
      </c>
      <c r="B12" s="25">
        <v>10</v>
      </c>
      <c r="C12" s="25">
        <v>10</v>
      </c>
      <c r="D12" s="25"/>
      <c r="E12" s="6">
        <f ca="1">$C12*OFFSET(怪物经验!$B$1,MATCH($B12,怪物经验!$A$2:$A$61,0),)</f>
        <v>1000</v>
      </c>
      <c r="F12" s="1">
        <f>ROUNDDOWN(SUM($D$3:$D12)/24,1)+1</f>
        <v>1</v>
      </c>
    </row>
    <row r="13" spans="1:6" x14ac:dyDescent="0.15">
      <c r="A13" s="6">
        <v>11</v>
      </c>
      <c r="B13" s="25">
        <v>11</v>
      </c>
      <c r="C13" s="25">
        <v>30</v>
      </c>
      <c r="D13" s="25"/>
      <c r="E13" s="6">
        <f ca="1">$C13*OFFSET(怪物经验!$B$1,MATCH($B13,怪物经验!$A$2:$A$61,0),)</f>
        <v>3600</v>
      </c>
      <c r="F13" s="1">
        <f>ROUNDDOWN(SUM($D$3:$D13)/24,1)+1</f>
        <v>1</v>
      </c>
    </row>
    <row r="14" spans="1:6" x14ac:dyDescent="0.15">
      <c r="A14" s="6">
        <v>12</v>
      </c>
      <c r="B14" s="25">
        <v>12</v>
      </c>
      <c r="C14" s="25">
        <v>30</v>
      </c>
      <c r="D14" s="25"/>
      <c r="E14" s="6">
        <f ca="1">$C14*OFFSET(怪物经验!$B$1,MATCH($B14,怪物经验!$A$2:$A$61,0),)</f>
        <v>4200</v>
      </c>
      <c r="F14" s="1">
        <f>ROUNDDOWN(SUM($D$3:$D14)/24,1)+1</f>
        <v>1</v>
      </c>
    </row>
    <row r="15" spans="1:6" x14ac:dyDescent="0.15">
      <c r="A15" s="6">
        <v>13</v>
      </c>
      <c r="B15" s="25">
        <v>13</v>
      </c>
      <c r="C15" s="25">
        <v>30</v>
      </c>
      <c r="D15" s="25"/>
      <c r="E15" s="6">
        <f ca="1">$C15*OFFSET(怪物经验!$B$1,MATCH($B15,怪物经验!$A$2:$A$61,0),)</f>
        <v>4800</v>
      </c>
      <c r="F15" s="1">
        <f>ROUNDDOWN(SUM($D$3:$D15)/24,1)+1</f>
        <v>1</v>
      </c>
    </row>
    <row r="16" spans="1:6" x14ac:dyDescent="0.15">
      <c r="A16" s="6">
        <v>14</v>
      </c>
      <c r="B16" s="25">
        <v>14</v>
      </c>
      <c r="C16" s="25">
        <v>30</v>
      </c>
      <c r="D16" s="25"/>
      <c r="E16" s="6">
        <f ca="1">$C16*OFFSET(怪物经验!$B$1,MATCH($B16,怪物经验!$A$2:$A$61,0),)</f>
        <v>5400</v>
      </c>
      <c r="F16" s="1">
        <f>ROUNDDOWN(SUM($D$3:$D16)/24,1)+1</f>
        <v>1</v>
      </c>
    </row>
    <row r="17" spans="1:6" x14ac:dyDescent="0.15">
      <c r="A17" s="6">
        <v>15</v>
      </c>
      <c r="B17" s="25">
        <v>15</v>
      </c>
      <c r="C17" s="25">
        <v>30</v>
      </c>
      <c r="D17" s="25"/>
      <c r="E17" s="6">
        <f ca="1">$C17*OFFSET(怪物经验!$B$1,MATCH($B17,怪物经验!$A$2:$A$61,0),)</f>
        <v>6000</v>
      </c>
      <c r="F17" s="1">
        <f>ROUNDDOWN(SUM($D$3:$D17)/24,1)+1</f>
        <v>1</v>
      </c>
    </row>
    <row r="18" spans="1:6" x14ac:dyDescent="0.15">
      <c r="A18" s="6">
        <v>16</v>
      </c>
      <c r="B18" s="25">
        <v>16</v>
      </c>
      <c r="C18" s="25">
        <v>100</v>
      </c>
      <c r="D18" s="25"/>
      <c r="E18" s="6">
        <f ca="1">$C18*OFFSET(怪物经验!$B$1,MATCH($B18,怪物经验!$A$2:$A$61,0),)</f>
        <v>22000</v>
      </c>
      <c r="F18" s="1">
        <f>ROUNDDOWN(SUM($D$3:$D18)/24,1)+1</f>
        <v>1</v>
      </c>
    </row>
    <row r="19" spans="1:6" x14ac:dyDescent="0.15">
      <c r="A19" s="6">
        <v>17</v>
      </c>
      <c r="B19" s="25">
        <v>17</v>
      </c>
      <c r="C19" s="25">
        <v>100</v>
      </c>
      <c r="D19" s="25"/>
      <c r="E19" s="6">
        <f ca="1">$C19*OFFSET(怪物经验!$B$1,MATCH($B19,怪物经验!$A$2:$A$61,0),)</f>
        <v>24000</v>
      </c>
      <c r="F19" s="1">
        <f>ROUNDDOWN(SUM($D$3:$D19)/24,1)+1</f>
        <v>1</v>
      </c>
    </row>
    <row r="20" spans="1:6" x14ac:dyDescent="0.15">
      <c r="A20" s="6">
        <v>18</v>
      </c>
      <c r="B20" s="25">
        <v>18</v>
      </c>
      <c r="C20" s="25">
        <v>100</v>
      </c>
      <c r="D20" s="25"/>
      <c r="E20" s="6">
        <f ca="1">$C20*OFFSET(怪物经验!$B$1,MATCH($B20,怪物经验!$A$2:$A$61,0),)</f>
        <v>26000</v>
      </c>
      <c r="F20" s="1">
        <f>ROUNDDOWN(SUM($D$3:$D20)/24,1)+1</f>
        <v>1</v>
      </c>
    </row>
    <row r="21" spans="1:6" x14ac:dyDescent="0.15">
      <c r="A21" s="6">
        <v>19</v>
      </c>
      <c r="B21" s="25">
        <v>19</v>
      </c>
      <c r="C21" s="25">
        <v>100</v>
      </c>
      <c r="D21" s="25"/>
      <c r="E21" s="6">
        <f ca="1">$C21*OFFSET(怪物经验!$B$1,MATCH($B21,怪物经验!$A$2:$A$61,0),)</f>
        <v>28000</v>
      </c>
      <c r="F21" s="1">
        <f>ROUNDDOWN(SUM($D$3:$D21)/24,1)+1</f>
        <v>1</v>
      </c>
    </row>
    <row r="22" spans="1:6" x14ac:dyDescent="0.15">
      <c r="A22" s="6">
        <v>20</v>
      </c>
      <c r="B22" s="25">
        <v>20</v>
      </c>
      <c r="C22" s="25">
        <v>100</v>
      </c>
      <c r="D22" s="25"/>
      <c r="E22" s="6">
        <f ca="1">$C22*OFFSET(怪物经验!$B$1,MATCH($B22,怪物经验!$A$2:$A$61,0),)</f>
        <v>30000</v>
      </c>
      <c r="F22" s="1">
        <f>ROUNDDOWN(SUM($D$3:$D22)/24,1)+1</f>
        <v>1</v>
      </c>
    </row>
    <row r="23" spans="1:6" x14ac:dyDescent="0.15">
      <c r="A23" s="6">
        <v>21</v>
      </c>
      <c r="B23" s="25">
        <v>21</v>
      </c>
      <c r="C23" s="25">
        <v>200</v>
      </c>
      <c r="D23" s="25"/>
      <c r="E23" s="6">
        <f ca="1">$C23*OFFSET(怪物经验!$B$1,MATCH($B23,怪物经验!$A$2:$A$61,0),)</f>
        <v>68000</v>
      </c>
      <c r="F23" s="1">
        <f>ROUNDDOWN(SUM($D$3:$D23)/24,1)+1</f>
        <v>1</v>
      </c>
    </row>
    <row r="24" spans="1:6" x14ac:dyDescent="0.15">
      <c r="A24" s="6">
        <v>22</v>
      </c>
      <c r="B24" s="25">
        <v>22</v>
      </c>
      <c r="C24" s="25">
        <v>200</v>
      </c>
      <c r="D24" s="25"/>
      <c r="E24" s="6">
        <f ca="1">$C24*OFFSET(怪物经验!$B$1,MATCH($B24,怪物经验!$A$2:$A$61,0),)</f>
        <v>76000</v>
      </c>
      <c r="F24" s="1">
        <f>ROUNDDOWN(SUM($D$3:$D24)/24,1)+1</f>
        <v>1</v>
      </c>
    </row>
    <row r="25" spans="1:6" x14ac:dyDescent="0.15">
      <c r="A25" s="6">
        <v>23</v>
      </c>
      <c r="B25" s="25">
        <v>23</v>
      </c>
      <c r="C25" s="25">
        <v>200</v>
      </c>
      <c r="D25" s="25"/>
      <c r="E25" s="6">
        <f ca="1">$C25*OFFSET(怪物经验!$B$1,MATCH($B25,怪物经验!$A$2:$A$61,0),)</f>
        <v>84000</v>
      </c>
      <c r="F25" s="1">
        <f>ROUNDDOWN(SUM($D$3:$D25)/24,1)+1</f>
        <v>1</v>
      </c>
    </row>
    <row r="26" spans="1:6" x14ac:dyDescent="0.15">
      <c r="A26" s="6">
        <v>24</v>
      </c>
      <c r="B26" s="25">
        <v>24</v>
      </c>
      <c r="C26" s="25">
        <v>200</v>
      </c>
      <c r="D26" s="25"/>
      <c r="E26" s="6">
        <f ca="1">$C26*OFFSET(怪物经验!$B$1,MATCH($B26,怪物经验!$A$2:$A$61,0),)</f>
        <v>92000</v>
      </c>
      <c r="F26" s="1">
        <f>ROUNDDOWN(SUM($D$3:$D26)/24,1)+1</f>
        <v>1</v>
      </c>
    </row>
    <row r="27" spans="1:6" x14ac:dyDescent="0.15">
      <c r="A27" s="6">
        <v>25</v>
      </c>
      <c r="B27" s="25">
        <v>25</v>
      </c>
      <c r="C27" s="25">
        <v>200</v>
      </c>
      <c r="D27" s="25"/>
      <c r="E27" s="6">
        <f ca="1">$C27*OFFSET(怪物经验!$B$1,MATCH($B27,怪物经验!$A$2:$A$61,0),)</f>
        <v>100000</v>
      </c>
      <c r="F27" s="1">
        <f>ROUNDDOWN(SUM($D$3:$D27)/24,1)+1</f>
        <v>1</v>
      </c>
    </row>
    <row r="28" spans="1:6" x14ac:dyDescent="0.15">
      <c r="A28" s="6">
        <v>26</v>
      </c>
      <c r="B28" s="25">
        <v>26</v>
      </c>
      <c r="C28" s="25">
        <v>500</v>
      </c>
      <c r="D28" s="25"/>
      <c r="E28" s="6">
        <f ca="1">$C28*OFFSET(怪物经验!$B$1,MATCH($B28,怪物经验!$A$2:$A$61,0),)</f>
        <v>270000</v>
      </c>
      <c r="F28" s="1">
        <f>ROUNDDOWN(SUM($D$3:$D28)/24,1)+1</f>
        <v>1</v>
      </c>
    </row>
    <row r="29" spans="1:6" x14ac:dyDescent="0.15">
      <c r="A29" s="6">
        <v>27</v>
      </c>
      <c r="B29" s="25">
        <v>27</v>
      </c>
      <c r="C29" s="25">
        <v>500</v>
      </c>
      <c r="D29" s="25"/>
      <c r="E29" s="6">
        <f ca="1">$C29*OFFSET(怪物经验!$B$1,MATCH($B29,怪物经验!$A$2:$A$61,0),)</f>
        <v>290000</v>
      </c>
      <c r="F29" s="1">
        <f>ROUNDDOWN(SUM($D$3:$D29)/24,1)+1</f>
        <v>1</v>
      </c>
    </row>
    <row r="30" spans="1:6" x14ac:dyDescent="0.15">
      <c r="A30" s="6">
        <v>28</v>
      </c>
      <c r="B30" s="25">
        <v>28</v>
      </c>
      <c r="C30" s="25">
        <v>500</v>
      </c>
      <c r="D30" s="25"/>
      <c r="E30" s="6">
        <f ca="1">$C30*OFFSET(怪物经验!$B$1,MATCH($B30,怪物经验!$A$2:$A$61,0),)</f>
        <v>310000</v>
      </c>
      <c r="F30" s="1">
        <f>ROUNDDOWN(SUM($D$3:$D30)/24,1)+1</f>
        <v>1</v>
      </c>
    </row>
    <row r="31" spans="1:6" x14ac:dyDescent="0.15">
      <c r="A31" s="6">
        <v>29</v>
      </c>
      <c r="B31" s="25">
        <v>29</v>
      </c>
      <c r="C31" s="25">
        <v>500</v>
      </c>
      <c r="D31" s="25"/>
      <c r="E31" s="6">
        <f ca="1">$C31*OFFSET(怪物经验!$B$1,MATCH($B31,怪物经验!$A$2:$A$61,0),)</f>
        <v>330000</v>
      </c>
      <c r="F31" s="1">
        <f>ROUNDDOWN(SUM($D$3:$D31)/24,1)+1</f>
        <v>1</v>
      </c>
    </row>
    <row r="32" spans="1:6" x14ac:dyDescent="0.15">
      <c r="A32" s="6">
        <v>30</v>
      </c>
      <c r="B32" s="25">
        <v>30</v>
      </c>
      <c r="C32" s="26">
        <f t="shared" ref="C32:C62" si="0">$D$1*$D32</f>
        <v>7200</v>
      </c>
      <c r="D32" s="25">
        <v>4</v>
      </c>
      <c r="E32" s="6">
        <f ca="1">$C32*OFFSET(怪物经验!$B$1,MATCH($B32,怪物经验!$A$2:$A$61,0),)</f>
        <v>5040000</v>
      </c>
      <c r="F32" s="1">
        <f>ROUNDDOWN(SUM($D$3:$D32)/24,1)+1</f>
        <v>1.1000000000000001</v>
      </c>
    </row>
    <row r="33" spans="1:6" x14ac:dyDescent="0.15">
      <c r="A33" s="6">
        <v>31</v>
      </c>
      <c r="B33" s="25">
        <v>31</v>
      </c>
      <c r="C33" s="26">
        <f t="shared" si="0"/>
        <v>7200</v>
      </c>
      <c r="D33" s="25">
        <v>4</v>
      </c>
      <c r="E33" s="6">
        <f ca="1">$C33*OFFSET(怪物经验!$B$1,MATCH($B33,怪物经验!$A$2:$A$61,0),)</f>
        <v>5616000</v>
      </c>
      <c r="F33" s="1">
        <f>ROUNDDOWN(SUM($D$3:$D33)/24,1)+1</f>
        <v>1.3</v>
      </c>
    </row>
    <row r="34" spans="1:6" x14ac:dyDescent="0.15">
      <c r="A34" s="6">
        <v>32</v>
      </c>
      <c r="B34" s="25">
        <v>32</v>
      </c>
      <c r="C34" s="26">
        <f t="shared" si="0"/>
        <v>7200</v>
      </c>
      <c r="D34" s="25">
        <v>4</v>
      </c>
      <c r="E34" s="6">
        <f ca="1">$C34*OFFSET(怪物经验!$B$1,MATCH($B34,怪物经验!$A$2:$A$61,0),)</f>
        <v>6192000</v>
      </c>
      <c r="F34" s="1">
        <f>ROUNDDOWN(SUM($D$3:$D34)/24,1)+1</f>
        <v>1.5</v>
      </c>
    </row>
    <row r="35" spans="1:6" x14ac:dyDescent="0.15">
      <c r="A35" s="6">
        <v>33</v>
      </c>
      <c r="B35" s="25">
        <v>33</v>
      </c>
      <c r="C35" s="26">
        <f t="shared" si="0"/>
        <v>7200</v>
      </c>
      <c r="D35" s="25">
        <v>4</v>
      </c>
      <c r="E35" s="6">
        <f ca="1">$C35*OFFSET(怪物经验!$B$1,MATCH($B35,怪物经验!$A$2:$A$61,0),)</f>
        <v>6768000</v>
      </c>
      <c r="F35" s="1">
        <f>ROUNDDOWN(SUM($D$3:$D35)/24,1)+1</f>
        <v>1.6</v>
      </c>
    </row>
    <row r="36" spans="1:6" x14ac:dyDescent="0.15">
      <c r="A36" s="6">
        <v>34</v>
      </c>
      <c r="B36" s="25">
        <v>34</v>
      </c>
      <c r="C36" s="26">
        <f t="shared" si="0"/>
        <v>7200</v>
      </c>
      <c r="D36" s="25">
        <v>4</v>
      </c>
      <c r="E36" s="6">
        <f ca="1">$C36*OFFSET(怪物经验!$B$1,MATCH($B36,怪物经验!$A$2:$A$61,0),)</f>
        <v>7344000</v>
      </c>
      <c r="F36" s="1">
        <f>ROUNDDOWN(SUM($D$3:$D36)/24,1)+1</f>
        <v>1.8</v>
      </c>
    </row>
    <row r="37" spans="1:6" x14ac:dyDescent="0.15">
      <c r="A37" s="6">
        <v>35</v>
      </c>
      <c r="B37" s="25">
        <v>35</v>
      </c>
      <c r="C37" s="26">
        <f t="shared" si="0"/>
        <v>14400</v>
      </c>
      <c r="D37" s="25">
        <v>8</v>
      </c>
      <c r="E37" s="6">
        <f ca="1">$C37*OFFSET(怪物经验!$B$1,MATCH($B37,怪物经验!$A$2:$A$61,0),)</f>
        <v>15840000</v>
      </c>
      <c r="F37" s="1">
        <f>ROUNDDOWN(SUM($D$3:$D37)/24,1)+1</f>
        <v>2.1</v>
      </c>
    </row>
    <row r="38" spans="1:6" x14ac:dyDescent="0.15">
      <c r="A38" s="6">
        <v>36</v>
      </c>
      <c r="B38" s="25">
        <v>36</v>
      </c>
      <c r="C38" s="26">
        <f t="shared" si="0"/>
        <v>14400</v>
      </c>
      <c r="D38" s="25">
        <v>8</v>
      </c>
      <c r="E38" s="6">
        <f ca="1">$C38*OFFSET(怪物经验!$B$1,MATCH($B38,怪物经验!$A$2:$A$61,0),)</f>
        <v>16992000</v>
      </c>
      <c r="F38" s="1">
        <f>ROUNDDOWN(SUM($D$3:$D38)/24,1)+1</f>
        <v>2.5</v>
      </c>
    </row>
    <row r="39" spans="1:6" x14ac:dyDescent="0.15">
      <c r="A39" s="6">
        <v>37</v>
      </c>
      <c r="B39" s="25">
        <v>37</v>
      </c>
      <c r="C39" s="26">
        <f t="shared" si="0"/>
        <v>14400</v>
      </c>
      <c r="D39" s="25">
        <v>8</v>
      </c>
      <c r="E39" s="6">
        <f ca="1">$C39*OFFSET(怪物经验!$B$1,MATCH($B39,怪物经验!$A$2:$A$61,0),)</f>
        <v>18144000</v>
      </c>
      <c r="F39" s="1">
        <f>ROUNDDOWN(SUM($D$3:$D39)/24,1)+1</f>
        <v>2.8</v>
      </c>
    </row>
    <row r="40" spans="1:6" x14ac:dyDescent="0.15">
      <c r="A40" s="6">
        <v>38</v>
      </c>
      <c r="B40" s="25">
        <v>38</v>
      </c>
      <c r="C40" s="26">
        <f t="shared" si="0"/>
        <v>14400</v>
      </c>
      <c r="D40" s="25">
        <v>8</v>
      </c>
      <c r="E40" s="6">
        <f ca="1">$C40*OFFSET(怪物经验!$B$1,MATCH($B40,怪物经验!$A$2:$A$61,0),)</f>
        <v>19296000</v>
      </c>
      <c r="F40" s="1">
        <f>ROUNDDOWN(SUM($D$3:$D40)/24,1)+1</f>
        <v>3.1</v>
      </c>
    </row>
    <row r="41" spans="1:6" x14ac:dyDescent="0.15">
      <c r="A41" s="6">
        <v>39</v>
      </c>
      <c r="B41" s="25">
        <v>39</v>
      </c>
      <c r="C41" s="26">
        <f t="shared" si="0"/>
        <v>14400</v>
      </c>
      <c r="D41" s="25">
        <v>8</v>
      </c>
      <c r="E41" s="6">
        <f ca="1">$C41*OFFSET(怪物经验!$B$1,MATCH($B41,怪物经验!$A$2:$A$61,0),)</f>
        <v>20448000</v>
      </c>
      <c r="F41" s="1">
        <f>ROUNDDOWN(SUM($D$3:$D41)/24,1)+1</f>
        <v>3.5</v>
      </c>
    </row>
    <row r="42" spans="1:6" x14ac:dyDescent="0.15">
      <c r="A42" s="6">
        <v>40</v>
      </c>
      <c r="B42" s="25">
        <v>40</v>
      </c>
      <c r="C42" s="26">
        <f t="shared" si="0"/>
        <v>21600</v>
      </c>
      <c r="D42" s="25">
        <v>12</v>
      </c>
      <c r="E42" s="6">
        <f ca="1">$C42*OFFSET(怪物经验!$B$1,MATCH($B42,怪物经验!$A$2:$A$61,0),)</f>
        <v>32400000</v>
      </c>
      <c r="F42" s="1">
        <f>ROUNDDOWN(SUM($D$3:$D42)/24,1)+1</f>
        <v>4</v>
      </c>
    </row>
    <row r="43" spans="1:6" x14ac:dyDescent="0.15">
      <c r="A43" s="6">
        <v>41</v>
      </c>
      <c r="B43" s="25">
        <v>41</v>
      </c>
      <c r="C43" s="26">
        <f t="shared" si="0"/>
        <v>21600</v>
      </c>
      <c r="D43" s="25">
        <v>12</v>
      </c>
      <c r="E43" s="6">
        <f ca="1">$C43*OFFSET(怪物经验!$B$1,MATCH($B43,怪物经验!$A$2:$A$61,0),)</f>
        <v>35856000</v>
      </c>
      <c r="F43" s="1">
        <f>ROUNDDOWN(SUM($D$3:$D43)/24,1)+1</f>
        <v>4.5</v>
      </c>
    </row>
    <row r="44" spans="1:6" x14ac:dyDescent="0.15">
      <c r="A44" s="6">
        <v>42</v>
      </c>
      <c r="B44" s="25">
        <v>42</v>
      </c>
      <c r="C44" s="26">
        <f t="shared" si="0"/>
        <v>21600</v>
      </c>
      <c r="D44" s="25">
        <v>12</v>
      </c>
      <c r="E44" s="6">
        <f ca="1">$C44*OFFSET(怪物经验!$B$1,MATCH($B44,怪物经验!$A$2:$A$61,0),)</f>
        <v>39312000</v>
      </c>
      <c r="F44" s="1">
        <f>ROUNDDOWN(SUM($D$3:$D44)/24,1)+1</f>
        <v>5</v>
      </c>
    </row>
    <row r="45" spans="1:6" x14ac:dyDescent="0.15">
      <c r="A45" s="6">
        <v>43</v>
      </c>
      <c r="B45" s="25">
        <v>43</v>
      </c>
      <c r="C45" s="26">
        <f t="shared" si="0"/>
        <v>21600</v>
      </c>
      <c r="D45" s="25">
        <v>12</v>
      </c>
      <c r="E45" s="6">
        <f ca="1">$C45*OFFSET(怪物经验!$B$1,MATCH($B45,怪物经验!$A$2:$A$61,0),)</f>
        <v>42768000</v>
      </c>
      <c r="F45" s="1">
        <f>ROUNDDOWN(SUM($D$3:$D45)/24,1)+1</f>
        <v>5.5</v>
      </c>
    </row>
    <row r="46" spans="1:6" x14ac:dyDescent="0.15">
      <c r="A46" s="6">
        <v>44</v>
      </c>
      <c r="B46" s="25">
        <v>44</v>
      </c>
      <c r="C46" s="26">
        <f t="shared" si="0"/>
        <v>21600</v>
      </c>
      <c r="D46" s="25">
        <v>12</v>
      </c>
      <c r="E46" s="6">
        <f ca="1">$C46*OFFSET(怪物经验!$B$1,MATCH($B46,怪物经验!$A$2:$A$61,0),)</f>
        <v>46224000</v>
      </c>
      <c r="F46" s="1">
        <f>ROUNDDOWN(SUM($D$3:$D46)/24,1)+1</f>
        <v>6</v>
      </c>
    </row>
    <row r="47" spans="1:6" x14ac:dyDescent="0.15">
      <c r="A47" s="6">
        <v>45</v>
      </c>
      <c r="B47" s="25">
        <v>45</v>
      </c>
      <c r="C47" s="26">
        <f t="shared" si="0"/>
        <v>28800</v>
      </c>
      <c r="D47" s="25">
        <v>16</v>
      </c>
      <c r="E47" s="6">
        <f ca="1">$C47*OFFSET(怪物经验!$B$1,MATCH($B47,怪物经验!$A$2:$A$61,0),)</f>
        <v>66240000</v>
      </c>
      <c r="F47" s="1">
        <f>ROUNDDOWN(SUM($D$3:$D47)/24,1)+1</f>
        <v>6.6</v>
      </c>
    </row>
    <row r="48" spans="1:6" x14ac:dyDescent="0.15">
      <c r="A48" s="6">
        <v>46</v>
      </c>
      <c r="B48" s="25">
        <v>46</v>
      </c>
      <c r="C48" s="26">
        <f t="shared" si="0"/>
        <v>28800</v>
      </c>
      <c r="D48" s="25">
        <v>16</v>
      </c>
      <c r="E48" s="6">
        <f ca="1">$C48*OFFSET(怪物经验!$B$1,MATCH($B48,怪物经验!$A$2:$A$61,0),)</f>
        <v>70848000</v>
      </c>
      <c r="F48" s="1">
        <f>ROUNDDOWN(SUM($D$3:$D48)/24,1)+1</f>
        <v>7.3</v>
      </c>
    </row>
    <row r="49" spans="1:6" x14ac:dyDescent="0.15">
      <c r="A49" s="6">
        <v>47</v>
      </c>
      <c r="B49" s="25">
        <v>47</v>
      </c>
      <c r="C49" s="26">
        <f t="shared" si="0"/>
        <v>28800</v>
      </c>
      <c r="D49" s="25">
        <v>16</v>
      </c>
      <c r="E49" s="6">
        <f ca="1">$C49*OFFSET(怪物经验!$B$1,MATCH($B49,怪物经验!$A$2:$A$61,0),)</f>
        <v>75456000</v>
      </c>
      <c r="F49" s="1">
        <f>ROUNDDOWN(SUM($D$3:$D49)/24,1)+1</f>
        <v>8</v>
      </c>
    </row>
    <row r="50" spans="1:6" x14ac:dyDescent="0.15">
      <c r="A50" s="6">
        <v>48</v>
      </c>
      <c r="B50" s="25">
        <v>48</v>
      </c>
      <c r="C50" s="26">
        <f t="shared" si="0"/>
        <v>43200</v>
      </c>
      <c r="D50" s="25">
        <v>24</v>
      </c>
      <c r="E50" s="6">
        <f ca="1">$C50*OFFSET(怪物经验!$B$1,MATCH($B50,怪物经验!$A$2:$A$61,0),)</f>
        <v>120096000</v>
      </c>
      <c r="F50" s="1">
        <f>ROUNDDOWN(SUM($D$3:$D50)/24,1)+1</f>
        <v>9</v>
      </c>
    </row>
    <row r="51" spans="1:6" x14ac:dyDescent="0.15">
      <c r="A51" s="6">
        <v>49</v>
      </c>
      <c r="B51" s="25">
        <v>49</v>
      </c>
      <c r="C51" s="26">
        <f t="shared" si="0"/>
        <v>43200</v>
      </c>
      <c r="D51" s="25">
        <v>24</v>
      </c>
      <c r="E51" s="6">
        <f ca="1">$C51*OFFSET(怪物经验!$B$1,MATCH($B51,怪物经验!$A$2:$A$61,0),)</f>
        <v>127008000</v>
      </c>
      <c r="F51" s="1">
        <f>ROUNDDOWN(SUM($D$3:$D51)/24,1)+1</f>
        <v>10</v>
      </c>
    </row>
    <row r="52" spans="1:6" x14ac:dyDescent="0.15">
      <c r="A52" s="6">
        <v>50</v>
      </c>
      <c r="B52" s="25">
        <v>50</v>
      </c>
      <c r="C52" s="26">
        <f t="shared" si="0"/>
        <v>64800</v>
      </c>
      <c r="D52" s="25">
        <v>36</v>
      </c>
      <c r="E52" s="6">
        <f ca="1">$C52*OFFSET(怪物经验!$B$1,MATCH($B52,怪物经验!$A$2:$A$61,0),)</f>
        <v>200880000</v>
      </c>
      <c r="F52" s="1">
        <f>ROUNDDOWN(SUM($D$3:$D52)/24,1)+1</f>
        <v>11.5</v>
      </c>
    </row>
    <row r="53" spans="1:6" x14ac:dyDescent="0.15">
      <c r="A53" s="6">
        <v>51</v>
      </c>
      <c r="B53" s="25">
        <v>51</v>
      </c>
      <c r="C53" s="26">
        <f t="shared" si="0"/>
        <v>86400</v>
      </c>
      <c r="D53" s="25">
        <v>48</v>
      </c>
      <c r="E53" s="6">
        <f ca="1">$C53*OFFSET(怪物经验!$B$1,MATCH($B53,怪物经验!$A$2:$A$61,0),)</f>
        <v>295488000</v>
      </c>
      <c r="F53" s="1">
        <f>ROUNDDOWN(SUM($D$3:$D53)/24,1)+1</f>
        <v>13.5</v>
      </c>
    </row>
    <row r="54" spans="1:6" x14ac:dyDescent="0.15">
      <c r="A54" s="6">
        <v>52</v>
      </c>
      <c r="B54" s="25">
        <v>52</v>
      </c>
      <c r="C54" s="26">
        <f t="shared" si="0"/>
        <v>108000</v>
      </c>
      <c r="D54" s="25">
        <v>60</v>
      </c>
      <c r="E54" s="6">
        <f ca="1">$C54*OFFSET(怪物经验!$B$1,MATCH($B54,怪物经验!$A$2:$A$61,0),)</f>
        <v>403920000</v>
      </c>
      <c r="F54" s="1">
        <f>ROUNDDOWN(SUM($D$3:$D54)/24,1)+1</f>
        <v>16</v>
      </c>
    </row>
    <row r="55" spans="1:6" x14ac:dyDescent="0.15">
      <c r="A55" s="6">
        <v>53</v>
      </c>
      <c r="B55" s="25">
        <v>53</v>
      </c>
      <c r="C55" s="26">
        <f t="shared" si="0"/>
        <v>129600</v>
      </c>
      <c r="D55" s="25">
        <v>72</v>
      </c>
      <c r="E55" s="6">
        <f ca="1">$C55*OFFSET(怪物经验!$B$1,MATCH($B55,怪物经验!$A$2:$A$61,0),)</f>
        <v>526176000</v>
      </c>
      <c r="F55" s="1">
        <f>ROUNDDOWN(SUM($D$3:$D55)/24,1)+1</f>
        <v>19</v>
      </c>
    </row>
    <row r="56" spans="1:6" x14ac:dyDescent="0.15">
      <c r="A56" s="6">
        <v>54</v>
      </c>
      <c r="B56" s="25">
        <v>54</v>
      </c>
      <c r="C56" s="26">
        <f t="shared" si="0"/>
        <v>172800</v>
      </c>
      <c r="D56" s="25">
        <v>96</v>
      </c>
      <c r="E56" s="6">
        <f ca="1">$C56*OFFSET(怪物经验!$B$1,MATCH($B56,怪物经验!$A$2:$A$61,0),)</f>
        <v>756864000</v>
      </c>
      <c r="F56" s="1">
        <f>ROUNDDOWN(SUM($D$3:$D56)/24,1)+1</f>
        <v>23</v>
      </c>
    </row>
    <row r="57" spans="1:6" x14ac:dyDescent="0.15">
      <c r="A57" s="6">
        <v>55</v>
      </c>
      <c r="B57" s="25">
        <v>55</v>
      </c>
      <c r="C57" s="26">
        <f t="shared" si="0"/>
        <v>216000</v>
      </c>
      <c r="D57" s="25">
        <v>120</v>
      </c>
      <c r="E57" s="6">
        <f ca="1">$C57*OFFSET(怪物经验!$B$1,MATCH($B57,怪物经验!$A$2:$A$61,0),)</f>
        <v>1015200000</v>
      </c>
      <c r="F57" s="1">
        <f>ROUNDDOWN(SUM($D$3:$D57)/24,1)+1</f>
        <v>28</v>
      </c>
    </row>
    <row r="58" spans="1:6" x14ac:dyDescent="0.15">
      <c r="A58" s="6">
        <v>56</v>
      </c>
      <c r="B58" s="25">
        <v>56</v>
      </c>
      <c r="C58" s="26">
        <f t="shared" si="0"/>
        <v>216000</v>
      </c>
      <c r="D58" s="25">
        <v>120</v>
      </c>
      <c r="E58" s="6">
        <f ca="1">$C58*OFFSET(怪物经验!$B$1,MATCH($B58,怪物经验!$A$2:$A$61,0),)</f>
        <v>1084320000</v>
      </c>
      <c r="F58" s="1">
        <f>ROUNDDOWN(SUM($D$3:$D58)/24,1)+1</f>
        <v>33</v>
      </c>
    </row>
    <row r="59" spans="1:6" x14ac:dyDescent="0.15">
      <c r="A59" s="6">
        <v>57</v>
      </c>
      <c r="B59" s="25">
        <v>57</v>
      </c>
      <c r="C59" s="26">
        <f t="shared" si="0"/>
        <v>216000</v>
      </c>
      <c r="D59" s="25">
        <v>120</v>
      </c>
      <c r="E59" s="6">
        <f ca="1">$C59*OFFSET(怪物经验!$B$1,MATCH($B59,怪物经验!$A$2:$A$61,0),)</f>
        <v>1153440000</v>
      </c>
      <c r="F59" s="1">
        <f>ROUNDDOWN(SUM($D$3:$D59)/24,1)+1</f>
        <v>38</v>
      </c>
    </row>
    <row r="60" spans="1:6" x14ac:dyDescent="0.15">
      <c r="A60" s="6">
        <v>58</v>
      </c>
      <c r="B60" s="25">
        <v>58</v>
      </c>
      <c r="C60" s="26">
        <f t="shared" si="0"/>
        <v>432000</v>
      </c>
      <c r="D60" s="25">
        <v>240</v>
      </c>
      <c r="E60" s="6">
        <f ca="1">$C60*OFFSET(怪物经验!$B$1,MATCH($B60,怪物经验!$A$2:$A$61,0),)</f>
        <v>2445120000</v>
      </c>
      <c r="F60" s="1">
        <f>ROUNDDOWN(SUM($D$3:$D60)/24,1)+1</f>
        <v>48</v>
      </c>
    </row>
    <row r="61" spans="1:6" x14ac:dyDescent="0.15">
      <c r="A61" s="6">
        <v>59</v>
      </c>
      <c r="B61" s="25">
        <v>59</v>
      </c>
      <c r="C61" s="26">
        <f t="shared" si="0"/>
        <v>864000</v>
      </c>
      <c r="D61" s="25">
        <v>480</v>
      </c>
      <c r="E61" s="6">
        <f ca="1">$C61*OFFSET(怪物经验!$B$1,MATCH($B61,怪物经验!$A$2:$A$61,0),)</f>
        <v>5166720000</v>
      </c>
      <c r="F61" s="1">
        <f>ROUNDDOWN(SUM($D$3:$D61)/24,1)+1</f>
        <v>68</v>
      </c>
    </row>
    <row r="62" spans="1:6" x14ac:dyDescent="0.15">
      <c r="A62" s="6">
        <v>60</v>
      </c>
      <c r="B62" s="25">
        <v>60</v>
      </c>
      <c r="C62" s="26">
        <f t="shared" si="0"/>
        <v>1080000</v>
      </c>
      <c r="D62" s="25">
        <v>600</v>
      </c>
      <c r="E62" s="6">
        <f ca="1">$C62*OFFSET(怪物经验!$B$1,MATCH($B62,怪物经验!$A$2:$A$61,0),)</f>
        <v>6804000000</v>
      </c>
      <c r="F62" s="1">
        <f>ROUNDDOWN(SUM($D$3:$D62)/24,1)+1</f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13"/>
  <sheetViews>
    <sheetView workbookViewId="0">
      <selection activeCell="L15" sqref="L15"/>
    </sheetView>
  </sheetViews>
  <sheetFormatPr defaultRowHeight="13.5" x14ac:dyDescent="0.15"/>
  <cols>
    <col min="1" max="1" width="11.125" style="1" bestFit="1" customWidth="1"/>
    <col min="2" max="2" width="13.125" style="1" bestFit="1" customWidth="1"/>
    <col min="3" max="7" width="9" style="1"/>
    <col min="8" max="8" width="15.5" style="1" bestFit="1" customWidth="1"/>
    <col min="9" max="16384" width="9" style="1"/>
  </cols>
  <sheetData>
    <row r="1" spans="1:8" x14ac:dyDescent="0.15">
      <c r="A1" s="8" t="s">
        <v>62</v>
      </c>
      <c r="B1" s="8" t="s">
        <v>63</v>
      </c>
      <c r="C1" s="8" t="s">
        <v>67</v>
      </c>
      <c r="G1" s="1" t="s">
        <v>96</v>
      </c>
    </row>
    <row r="2" spans="1:8" x14ac:dyDescent="0.15">
      <c r="A2" s="2" t="s">
        <v>71</v>
      </c>
      <c r="B2" s="2" t="s">
        <v>81</v>
      </c>
      <c r="C2" s="2" t="s">
        <v>69</v>
      </c>
      <c r="G2" s="1">
        <v>110001</v>
      </c>
      <c r="H2" s="1" t="s">
        <v>97</v>
      </c>
    </row>
    <row r="3" spans="1:8" x14ac:dyDescent="0.15">
      <c r="A3" s="2" t="s">
        <v>72</v>
      </c>
      <c r="B3" s="2" t="s">
        <v>82</v>
      </c>
      <c r="C3" s="2" t="s">
        <v>92</v>
      </c>
      <c r="G3" s="1">
        <v>120001</v>
      </c>
      <c r="H3" s="1" t="s">
        <v>98</v>
      </c>
    </row>
    <row r="4" spans="1:8" x14ac:dyDescent="0.15">
      <c r="A4" s="2" t="s">
        <v>73</v>
      </c>
      <c r="B4" s="2" t="s">
        <v>83</v>
      </c>
      <c r="C4" s="2" t="s">
        <v>93</v>
      </c>
      <c r="G4" s="1">
        <v>130001</v>
      </c>
      <c r="H4" s="1" t="s">
        <v>99</v>
      </c>
    </row>
    <row r="5" spans="1:8" x14ac:dyDescent="0.15">
      <c r="A5" s="2" t="s">
        <v>74</v>
      </c>
      <c r="B5" s="2" t="s">
        <v>84</v>
      </c>
      <c r="C5" s="2" t="s">
        <v>94</v>
      </c>
      <c r="G5" s="1">
        <v>210001</v>
      </c>
      <c r="H5" s="1" t="s">
        <v>100</v>
      </c>
    </row>
    <row r="6" spans="1:8" x14ac:dyDescent="0.15">
      <c r="A6" s="2" t="s">
        <v>75</v>
      </c>
      <c r="B6" s="2" t="s">
        <v>85</v>
      </c>
      <c r="C6" s="2" t="s">
        <v>95</v>
      </c>
      <c r="G6" s="1">
        <v>220001</v>
      </c>
      <c r="H6" s="1" t="s">
        <v>101</v>
      </c>
    </row>
    <row r="7" spans="1:8" x14ac:dyDescent="0.15">
      <c r="A7" s="23" t="s">
        <v>76</v>
      </c>
      <c r="B7" s="2"/>
      <c r="C7" s="2"/>
      <c r="G7" s="1">
        <v>230001</v>
      </c>
      <c r="H7" s="1" t="s">
        <v>102</v>
      </c>
    </row>
    <row r="8" spans="1:8" x14ac:dyDescent="0.15">
      <c r="A8" s="2" t="s">
        <v>86</v>
      </c>
      <c r="B8" s="2" t="s">
        <v>64</v>
      </c>
      <c r="C8" s="2" t="s">
        <v>68</v>
      </c>
      <c r="G8" s="1">
        <v>240001</v>
      </c>
      <c r="H8" s="1" t="s">
        <v>103</v>
      </c>
    </row>
    <row r="9" spans="1:8" x14ac:dyDescent="0.15">
      <c r="A9" s="2" t="s">
        <v>87</v>
      </c>
      <c r="B9" s="2" t="s">
        <v>65</v>
      </c>
      <c r="C9" s="2" t="s">
        <v>69</v>
      </c>
      <c r="G9" s="1">
        <v>250001</v>
      </c>
      <c r="H9" s="1" t="s">
        <v>104</v>
      </c>
    </row>
    <row r="10" spans="1:8" x14ac:dyDescent="0.15">
      <c r="A10" s="2" t="s">
        <v>88</v>
      </c>
      <c r="B10" s="2" t="s">
        <v>77</v>
      </c>
      <c r="C10" s="2" t="s">
        <v>70</v>
      </c>
      <c r="G10" s="1">
        <v>260001</v>
      </c>
      <c r="H10" s="1" t="s">
        <v>105</v>
      </c>
    </row>
    <row r="11" spans="1:8" x14ac:dyDescent="0.15">
      <c r="A11" s="2" t="s">
        <v>89</v>
      </c>
      <c r="B11" s="2" t="s">
        <v>66</v>
      </c>
      <c r="C11" s="2" t="s">
        <v>79</v>
      </c>
      <c r="G11" s="1">
        <v>270001</v>
      </c>
      <c r="H11" s="1" t="s">
        <v>106</v>
      </c>
    </row>
    <row r="12" spans="1:8" x14ac:dyDescent="0.15">
      <c r="A12" s="2" t="s">
        <v>90</v>
      </c>
      <c r="B12" s="2" t="s">
        <v>78</v>
      </c>
      <c r="C12" s="2" t="s">
        <v>80</v>
      </c>
    </row>
    <row r="13" spans="1:8" x14ac:dyDescent="0.15">
      <c r="A13" s="23" t="s">
        <v>91</v>
      </c>
      <c r="B13" s="2"/>
      <c r="C13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V62"/>
  <sheetViews>
    <sheetView topLeftCell="A19" workbookViewId="0">
      <selection activeCell="L23" sqref="L23"/>
    </sheetView>
  </sheetViews>
  <sheetFormatPr defaultRowHeight="13.5" x14ac:dyDescent="0.15"/>
  <cols>
    <col min="1" max="6" width="9" style="1"/>
    <col min="7" max="7" width="9" style="1" bestFit="1" customWidth="1"/>
    <col min="8" max="10" width="9" style="1"/>
    <col min="11" max="11" width="12" style="1" bestFit="1" customWidth="1"/>
    <col min="12" max="12" width="11.625" style="1" customWidth="1"/>
    <col min="13" max="14" width="9" style="1"/>
    <col min="15" max="15" width="9.625" style="1" bestFit="1" customWidth="1"/>
    <col min="16" max="17" width="10.75" style="1" bestFit="1" customWidth="1"/>
    <col min="18" max="21" width="9" style="1"/>
    <col min="22" max="22" width="11" style="1" bestFit="1" customWidth="1"/>
    <col min="23" max="16384" width="9" style="1"/>
  </cols>
  <sheetData>
    <row r="1" spans="1:22" x14ac:dyDescent="0.15">
      <c r="A1" s="11">
        <v>10</v>
      </c>
      <c r="D1" s="13">
        <f>SUM(D$3:D$62)*物品价值!$B$5</f>
        <v>0</v>
      </c>
      <c r="E1" s="13">
        <f>SUM(E$3:E$62)*物品价值!$B$6</f>
        <v>1450</v>
      </c>
      <c r="L1" s="21"/>
      <c r="O1" s="13">
        <f>SUM(O3:O9)</f>
        <v>5855970</v>
      </c>
      <c r="U1" s="1" t="s">
        <v>107</v>
      </c>
      <c r="V1" s="1" t="s">
        <v>114</v>
      </c>
    </row>
    <row r="2" spans="1:22" x14ac:dyDescent="0.15">
      <c r="A2" s="9" t="s">
        <v>9</v>
      </c>
      <c r="B2" s="9" t="s">
        <v>5</v>
      </c>
      <c r="C2" s="9" t="s">
        <v>10</v>
      </c>
      <c r="D2" s="9" t="s">
        <v>17</v>
      </c>
      <c r="E2" s="9" t="s">
        <v>20</v>
      </c>
      <c r="F2" s="9" t="s">
        <v>18</v>
      </c>
      <c r="G2" s="9" t="s">
        <v>19</v>
      </c>
      <c r="H2" s="9" t="s">
        <v>34</v>
      </c>
      <c r="I2" s="9" t="s">
        <v>36</v>
      </c>
      <c r="J2" s="9" t="s">
        <v>37</v>
      </c>
      <c r="K2" s="9" t="s">
        <v>38</v>
      </c>
      <c r="L2" s="21"/>
      <c r="M2" s="8" t="s">
        <v>23</v>
      </c>
      <c r="N2" s="8" t="s">
        <v>24</v>
      </c>
      <c r="O2" s="8" t="s">
        <v>30</v>
      </c>
      <c r="U2" s="1" t="s">
        <v>113</v>
      </c>
      <c r="V2" s="27">
        <v>0.3</v>
      </c>
    </row>
    <row r="3" spans="1:22" x14ac:dyDescent="0.15">
      <c r="A3" s="6">
        <v>1</v>
      </c>
      <c r="B3" s="10">
        <f>QUOTIENT($A3,$A$1)</f>
        <v>0</v>
      </c>
      <c r="C3" s="10">
        <f>MOD($A3,$A$1)</f>
        <v>1</v>
      </c>
      <c r="D3" s="12"/>
      <c r="E3" s="12"/>
      <c r="F3" s="10">
        <f t="shared" ref="F3:F34" ca="1" si="0">OFFSET($N$10,MATCH($C3,$M$11:$M$20,0),)*OFFSET($N$2,MATCH($B3,$M$3:$M$9,0),)</f>
        <v>1500</v>
      </c>
      <c r="G3" s="16">
        <f t="shared" ref="G3:G34" ca="1" si="1">OFFSET($O$10,MATCH($C3,$M$11:$M$20,0),)</f>
        <v>0.9</v>
      </c>
      <c r="H3" s="20">
        <f t="shared" ref="H3:H34" ca="1" si="2">OFFSET($R$10,MATCH(C3,$M$11:$M$20,0),)*OFFSET($N$2,MATCH(B3,$M$3:$M$9,0),)</f>
        <v>1650</v>
      </c>
      <c r="I3" s="10">
        <f ca="1">H3*物品价值!$B$4+D3*物品价值!$B$5+物品价值!$B$6*E3</f>
        <v>1.6500000000000001</v>
      </c>
      <c r="J3" s="10">
        <f ca="1">SUM($I$3:I3)</f>
        <v>1.6500000000000001</v>
      </c>
      <c r="K3" s="22">
        <f ca="1">J3/$P$24</f>
        <v>2.2584270124295611E-4</v>
      </c>
      <c r="L3" s="21"/>
      <c r="M3" s="2">
        <v>0</v>
      </c>
      <c r="N3" s="14">
        <v>3</v>
      </c>
      <c r="O3" s="4">
        <f t="shared" ref="O3:O8" si="3">N3*$Q$19</f>
        <v>461100</v>
      </c>
      <c r="U3" s="1" t="s">
        <v>108</v>
      </c>
      <c r="V3" s="27">
        <v>0.5</v>
      </c>
    </row>
    <row r="4" spans="1:22" x14ac:dyDescent="0.15">
      <c r="A4" s="6">
        <v>2</v>
      </c>
      <c r="B4" s="10">
        <f t="shared" ref="B4:B62" si="4">QUOTIENT($A4,$A$1)</f>
        <v>0</v>
      </c>
      <c r="C4" s="10">
        <f t="shared" ref="C4:C62" si="5">MOD($A4,$A$1)</f>
        <v>2</v>
      </c>
      <c r="D4" s="12"/>
      <c r="E4" s="12"/>
      <c r="F4" s="10">
        <f t="shared" ca="1" si="0"/>
        <v>2250</v>
      </c>
      <c r="G4" s="16">
        <f t="shared" ca="1" si="1"/>
        <v>0.85</v>
      </c>
      <c r="H4" s="20">
        <f t="shared" ca="1" si="2"/>
        <v>2985</v>
      </c>
      <c r="I4" s="10">
        <f ca="1">H4*物品价值!$B$4+D4*物品价值!$B$5+物品价值!$B$6*E4</f>
        <v>2.9849999999999999</v>
      </c>
      <c r="J4" s="10">
        <f ca="1">SUM($I$3:I4)</f>
        <v>4.6349999999999998</v>
      </c>
      <c r="K4" s="22">
        <f t="shared" ref="K4:K62" ca="1" si="6">J4/$P$24</f>
        <v>6.3441267894612209E-4</v>
      </c>
      <c r="L4" s="21"/>
      <c r="M4" s="2">
        <v>1</v>
      </c>
      <c r="N4" s="14">
        <v>3.6</v>
      </c>
      <c r="O4" s="4">
        <f t="shared" si="3"/>
        <v>553320</v>
      </c>
      <c r="U4" s="1" t="s">
        <v>109</v>
      </c>
      <c r="V4" s="27">
        <v>0.7</v>
      </c>
    </row>
    <row r="5" spans="1:22" x14ac:dyDescent="0.15">
      <c r="A5" s="6">
        <v>3</v>
      </c>
      <c r="B5" s="10">
        <f t="shared" si="4"/>
        <v>0</v>
      </c>
      <c r="C5" s="10">
        <f t="shared" si="5"/>
        <v>3</v>
      </c>
      <c r="D5" s="12"/>
      <c r="E5" s="12"/>
      <c r="F5" s="10">
        <f t="shared" ca="1" si="0"/>
        <v>3000</v>
      </c>
      <c r="G5" s="16">
        <f t="shared" ca="1" si="1"/>
        <v>0.8</v>
      </c>
      <c r="H5" s="20">
        <f t="shared" ca="1" si="2"/>
        <v>4725</v>
      </c>
      <c r="I5" s="10">
        <f ca="1">H5*物品价值!$B$4+D5*物品价值!$B$5+物品价值!$B$6*E5</f>
        <v>4.7250000000000005</v>
      </c>
      <c r="J5" s="10">
        <f ca="1">SUM($I$3:I5)</f>
        <v>9.36</v>
      </c>
      <c r="K5" s="22">
        <f t="shared" ca="1" si="6"/>
        <v>1.2811440506873145E-3</v>
      </c>
      <c r="L5" s="21"/>
      <c r="M5" s="2">
        <v>2</v>
      </c>
      <c r="N5" s="14">
        <v>4.5</v>
      </c>
      <c r="O5" s="4">
        <f t="shared" si="3"/>
        <v>691650</v>
      </c>
      <c r="U5" s="1" t="s">
        <v>110</v>
      </c>
      <c r="V5" s="27">
        <v>1</v>
      </c>
    </row>
    <row r="6" spans="1:22" x14ac:dyDescent="0.15">
      <c r="A6" s="6">
        <v>4</v>
      </c>
      <c r="B6" s="10">
        <f t="shared" si="4"/>
        <v>0</v>
      </c>
      <c r="C6" s="10">
        <f t="shared" si="5"/>
        <v>4</v>
      </c>
      <c r="D6" s="12"/>
      <c r="E6" s="12"/>
      <c r="F6" s="10">
        <f t="shared" ca="1" si="0"/>
        <v>3750</v>
      </c>
      <c r="G6" s="16">
        <f t="shared" ca="1" si="1"/>
        <v>0.75</v>
      </c>
      <c r="H6" s="20">
        <f t="shared" ca="1" si="2"/>
        <v>8250</v>
      </c>
      <c r="I6" s="10">
        <f ca="1">H6*物品价值!$B$4+D6*物品价值!$B$5+物品价值!$B$6*E6</f>
        <v>8.25</v>
      </c>
      <c r="J6" s="10">
        <f ca="1">SUM($I$3:I6)</f>
        <v>17.61</v>
      </c>
      <c r="K6" s="22">
        <f t="shared" ca="1" si="6"/>
        <v>2.4103575569020949E-3</v>
      </c>
      <c r="L6" s="21"/>
      <c r="M6" s="2">
        <v>3</v>
      </c>
      <c r="N6" s="14">
        <v>6</v>
      </c>
      <c r="O6" s="4">
        <f t="shared" si="3"/>
        <v>922200</v>
      </c>
      <c r="U6" s="1" t="s">
        <v>111</v>
      </c>
      <c r="V6" s="27">
        <v>1.2</v>
      </c>
    </row>
    <row r="7" spans="1:22" x14ac:dyDescent="0.15">
      <c r="A7" s="6">
        <v>5</v>
      </c>
      <c r="B7" s="10">
        <f t="shared" si="4"/>
        <v>0</v>
      </c>
      <c r="C7" s="10">
        <f t="shared" si="5"/>
        <v>5</v>
      </c>
      <c r="D7" s="12"/>
      <c r="E7" s="12"/>
      <c r="F7" s="10">
        <f t="shared" ca="1" si="0"/>
        <v>4500</v>
      </c>
      <c r="G7" s="16">
        <f t="shared" ca="1" si="1"/>
        <v>0.7</v>
      </c>
      <c r="H7" s="20">
        <f t="shared" ca="1" si="2"/>
        <v>14040</v>
      </c>
      <c r="I7" s="10">
        <f ca="1">H7*物品价值!$B$4+D7*物品价值!$B$5+物品价值!$B$6*E7</f>
        <v>14.040000000000001</v>
      </c>
      <c r="J7" s="10">
        <f ca="1">SUM($I$3:I7)</f>
        <v>31.65</v>
      </c>
      <c r="K7" s="22">
        <f t="shared" ca="1" si="6"/>
        <v>4.3320736329330667E-3</v>
      </c>
      <c r="L7" s="21"/>
      <c r="M7" s="2">
        <v>4</v>
      </c>
      <c r="N7" s="14">
        <v>9</v>
      </c>
      <c r="O7" s="4">
        <f t="shared" si="3"/>
        <v>1383300</v>
      </c>
      <c r="U7" s="1" t="s">
        <v>112</v>
      </c>
      <c r="V7" s="27">
        <v>1.5</v>
      </c>
    </row>
    <row r="8" spans="1:22" x14ac:dyDescent="0.15">
      <c r="A8" s="6">
        <v>6</v>
      </c>
      <c r="B8" s="10">
        <f t="shared" si="4"/>
        <v>0</v>
      </c>
      <c r="C8" s="10">
        <f t="shared" si="5"/>
        <v>6</v>
      </c>
      <c r="D8" s="12"/>
      <c r="E8" s="12"/>
      <c r="F8" s="10">
        <f t="shared" ca="1" si="0"/>
        <v>5250</v>
      </c>
      <c r="G8" s="16">
        <f t="shared" ca="1" si="1"/>
        <v>0.65</v>
      </c>
      <c r="H8" s="20">
        <f t="shared" ca="1" si="2"/>
        <v>25050</v>
      </c>
      <c r="I8" s="10">
        <f ca="1">H8*物品价值!$B$4+D8*物品价值!$B$5+物品价值!$B$6*E8</f>
        <v>25.05</v>
      </c>
      <c r="J8" s="10">
        <f ca="1">SUM($I$3:I8)</f>
        <v>56.7</v>
      </c>
      <c r="K8" s="22">
        <f t="shared" ca="1" si="6"/>
        <v>7.7607764608943102E-3</v>
      </c>
      <c r="L8" s="21"/>
      <c r="M8" s="2">
        <v>5</v>
      </c>
      <c r="N8" s="14">
        <v>12</v>
      </c>
      <c r="O8" s="4">
        <f t="shared" si="3"/>
        <v>1844400</v>
      </c>
    </row>
    <row r="9" spans="1:22" x14ac:dyDescent="0.15">
      <c r="A9" s="6">
        <v>7</v>
      </c>
      <c r="B9" s="10">
        <f t="shared" si="4"/>
        <v>0</v>
      </c>
      <c r="C9" s="10">
        <f t="shared" si="5"/>
        <v>7</v>
      </c>
      <c r="D9" s="12"/>
      <c r="E9" s="12"/>
      <c r="F9" s="10">
        <f t="shared" ca="1" si="0"/>
        <v>6000</v>
      </c>
      <c r="G9" s="16">
        <f t="shared" ca="1" si="1"/>
        <v>0.6</v>
      </c>
      <c r="H9" s="20">
        <f t="shared" ca="1" si="2"/>
        <v>48000</v>
      </c>
      <c r="I9" s="10">
        <f ca="1">H9*物品价值!$B$4+D9*物品价值!$B$5+物品价值!$B$6*E9</f>
        <v>48</v>
      </c>
      <c r="J9" s="10">
        <f ca="1">SUM($I$3:I9)</f>
        <v>104.7</v>
      </c>
      <c r="K9" s="22">
        <f t="shared" ca="1" si="6"/>
        <v>1.4330745951598486E-2</v>
      </c>
      <c r="L9" s="21"/>
      <c r="M9" s="2">
        <v>6</v>
      </c>
      <c r="N9" s="14"/>
      <c r="O9" s="4"/>
    </row>
    <row r="10" spans="1:22" x14ac:dyDescent="0.15">
      <c r="A10" s="6">
        <v>8</v>
      </c>
      <c r="B10" s="10">
        <f t="shared" si="4"/>
        <v>0</v>
      </c>
      <c r="C10" s="10">
        <f t="shared" si="5"/>
        <v>8</v>
      </c>
      <c r="D10" s="12"/>
      <c r="E10" s="12"/>
      <c r="F10" s="10">
        <f t="shared" ca="1" si="0"/>
        <v>6750</v>
      </c>
      <c r="G10" s="16">
        <f t="shared" ca="1" si="1"/>
        <v>0.5</v>
      </c>
      <c r="H10" s="20">
        <f t="shared" ca="1" si="2"/>
        <v>117900</v>
      </c>
      <c r="I10" s="10">
        <f ca="1">H10*物品价值!$B$4+D10*物品价值!$B$5+物品价值!$B$6*E10</f>
        <v>117.9</v>
      </c>
      <c r="J10" s="10">
        <f ca="1">SUM($I$3:I10)</f>
        <v>222.60000000000002</v>
      </c>
      <c r="K10" s="22">
        <f t="shared" ca="1" si="6"/>
        <v>3.0468233513140625E-2</v>
      </c>
      <c r="L10" s="21"/>
      <c r="M10" s="8" t="s">
        <v>26</v>
      </c>
      <c r="N10" s="8" t="s">
        <v>27</v>
      </c>
      <c r="O10" s="8" t="s">
        <v>25</v>
      </c>
      <c r="P10" s="8" t="s">
        <v>28</v>
      </c>
      <c r="Q10" s="8" t="s">
        <v>29</v>
      </c>
      <c r="R10" s="8" t="s">
        <v>35</v>
      </c>
    </row>
    <row r="11" spans="1:22" x14ac:dyDescent="0.15">
      <c r="A11" s="6">
        <v>9</v>
      </c>
      <c r="B11" s="10">
        <f t="shared" si="4"/>
        <v>0</v>
      </c>
      <c r="C11" s="10">
        <f t="shared" si="5"/>
        <v>9</v>
      </c>
      <c r="D11" s="12"/>
      <c r="E11" s="12"/>
      <c r="F11" s="10">
        <f t="shared" ca="1" si="0"/>
        <v>7500</v>
      </c>
      <c r="G11" s="16">
        <f t="shared" ca="1" si="1"/>
        <v>0.5</v>
      </c>
      <c r="H11" s="20">
        <f t="shared" ca="1" si="2"/>
        <v>238500</v>
      </c>
      <c r="I11" s="10">
        <f ca="1">H11*物品价值!$B$4+D11*物品价值!$B$5+物品价值!$B$6*E11</f>
        <v>238.5</v>
      </c>
      <c r="J11" s="10">
        <f ca="1">SUM($I$3:I11)</f>
        <v>461.1</v>
      </c>
      <c r="K11" s="22">
        <f t="shared" ca="1" si="6"/>
        <v>6.3112769420077E-2</v>
      </c>
      <c r="L11" s="21"/>
      <c r="M11" s="2">
        <v>1</v>
      </c>
      <c r="N11" s="3">
        <v>500</v>
      </c>
      <c r="O11" s="15">
        <v>0.9</v>
      </c>
      <c r="P11" s="18">
        <v>1.1000000000000001</v>
      </c>
      <c r="Q11" s="19">
        <v>550</v>
      </c>
      <c r="R11" s="2">
        <f>Q11</f>
        <v>550</v>
      </c>
    </row>
    <row r="12" spans="1:22" x14ac:dyDescent="0.15">
      <c r="A12" s="6">
        <v>10</v>
      </c>
      <c r="B12" s="10">
        <f t="shared" si="4"/>
        <v>1</v>
      </c>
      <c r="C12" s="10">
        <f t="shared" si="5"/>
        <v>0</v>
      </c>
      <c r="D12" s="12"/>
      <c r="E12" s="12">
        <v>10</v>
      </c>
      <c r="F12" s="10">
        <f t="shared" ca="1" si="0"/>
        <v>0</v>
      </c>
      <c r="G12" s="16">
        <f t="shared" ca="1" si="1"/>
        <v>1</v>
      </c>
      <c r="H12" s="20">
        <f t="shared" ca="1" si="2"/>
        <v>0</v>
      </c>
      <c r="I12" s="10">
        <f ca="1">H12*物品价值!$B$4+D12*物品价值!$B$5+物品价值!$B$6*E12</f>
        <v>50</v>
      </c>
      <c r="J12" s="10">
        <f ca="1">SUM($I$3:I12)</f>
        <v>511.1</v>
      </c>
      <c r="K12" s="22">
        <f t="shared" ca="1" si="6"/>
        <v>6.9956487639560527E-2</v>
      </c>
      <c r="L12" s="21"/>
      <c r="M12" s="2">
        <v>2</v>
      </c>
      <c r="N12" s="3">
        <v>750</v>
      </c>
      <c r="O12" s="15">
        <v>0.85</v>
      </c>
      <c r="P12" s="18">
        <v>2.5</v>
      </c>
      <c r="Q12" s="19">
        <v>1545</v>
      </c>
      <c r="R12" s="2">
        <f>Q12-Q11</f>
        <v>995</v>
      </c>
    </row>
    <row r="13" spans="1:22" x14ac:dyDescent="0.15">
      <c r="A13" s="6">
        <v>11</v>
      </c>
      <c r="B13" s="10">
        <f t="shared" si="4"/>
        <v>1</v>
      </c>
      <c r="C13" s="10">
        <f t="shared" si="5"/>
        <v>1</v>
      </c>
      <c r="D13" s="12"/>
      <c r="E13" s="12"/>
      <c r="F13" s="10">
        <f t="shared" ca="1" si="0"/>
        <v>1800</v>
      </c>
      <c r="G13" s="16">
        <f t="shared" ca="1" si="1"/>
        <v>0.9</v>
      </c>
      <c r="H13" s="20">
        <f t="shared" ca="1" si="2"/>
        <v>1980</v>
      </c>
      <c r="I13" s="10">
        <f ca="1">H13*物品价值!$B$4+D13*物品价值!$B$5+物品价值!$B$6*E13</f>
        <v>1.98</v>
      </c>
      <c r="J13" s="10">
        <f ca="1">SUM($I$3:I13)</f>
        <v>513.08000000000004</v>
      </c>
      <c r="K13" s="22">
        <f t="shared" ca="1" si="6"/>
        <v>7.0227498881052078E-2</v>
      </c>
      <c r="L13" s="21"/>
      <c r="M13" s="2">
        <v>3</v>
      </c>
      <c r="N13" s="3">
        <v>1000</v>
      </c>
      <c r="O13" s="15">
        <v>0.8</v>
      </c>
      <c r="P13" s="18">
        <v>4.4000000000000004</v>
      </c>
      <c r="Q13" s="19">
        <v>3120</v>
      </c>
      <c r="R13" s="2">
        <f t="shared" ref="R13:R19" si="7">Q13-Q12</f>
        <v>1575</v>
      </c>
    </row>
    <row r="14" spans="1:22" x14ac:dyDescent="0.15">
      <c r="A14" s="6">
        <v>12</v>
      </c>
      <c r="B14" s="10">
        <f t="shared" si="4"/>
        <v>1</v>
      </c>
      <c r="C14" s="10">
        <f t="shared" si="5"/>
        <v>2</v>
      </c>
      <c r="D14" s="12"/>
      <c r="E14" s="12"/>
      <c r="F14" s="10">
        <f t="shared" ca="1" si="0"/>
        <v>2700</v>
      </c>
      <c r="G14" s="16">
        <f t="shared" ca="1" si="1"/>
        <v>0.85</v>
      </c>
      <c r="H14" s="20">
        <f t="shared" ca="1" si="2"/>
        <v>3582</v>
      </c>
      <c r="I14" s="10">
        <f ca="1">H14*物品价值!$B$4+D14*物品价值!$B$5+物品价值!$B$6*E14</f>
        <v>3.5820000000000003</v>
      </c>
      <c r="J14" s="10">
        <f ca="1">SUM($I$3:I14)</f>
        <v>516.66200000000003</v>
      </c>
      <c r="K14" s="22">
        <f t="shared" ca="1" si="6"/>
        <v>7.0717782854295877E-2</v>
      </c>
      <c r="L14" s="21"/>
      <c r="M14" s="2">
        <v>4</v>
      </c>
      <c r="N14" s="3">
        <v>1250</v>
      </c>
      <c r="O14" s="15">
        <v>0.75</v>
      </c>
      <c r="P14" s="18">
        <v>7.1</v>
      </c>
      <c r="Q14" s="19">
        <v>5870</v>
      </c>
      <c r="R14" s="2">
        <f t="shared" si="7"/>
        <v>2750</v>
      </c>
    </row>
    <row r="15" spans="1:22" x14ac:dyDescent="0.15">
      <c r="A15" s="6">
        <v>13</v>
      </c>
      <c r="B15" s="10">
        <f t="shared" si="4"/>
        <v>1</v>
      </c>
      <c r="C15" s="10">
        <f t="shared" si="5"/>
        <v>3</v>
      </c>
      <c r="D15" s="12"/>
      <c r="E15" s="12"/>
      <c r="F15" s="10">
        <f t="shared" ca="1" si="0"/>
        <v>3600</v>
      </c>
      <c r="G15" s="16">
        <f t="shared" ca="1" si="1"/>
        <v>0.8</v>
      </c>
      <c r="H15" s="20">
        <f t="shared" ca="1" si="2"/>
        <v>5670</v>
      </c>
      <c r="I15" s="10">
        <f ca="1">H15*物品价值!$B$4+D15*物品价值!$B$5+物品价值!$B$6*E15</f>
        <v>5.67</v>
      </c>
      <c r="J15" s="10">
        <f ca="1">SUM($I$3:I15)</f>
        <v>522.33199999999999</v>
      </c>
      <c r="K15" s="22">
        <f t="shared" ca="1" si="6"/>
        <v>7.1493860500385295E-2</v>
      </c>
      <c r="L15" s="21"/>
      <c r="M15" s="2">
        <v>5</v>
      </c>
      <c r="N15" s="3">
        <v>1500</v>
      </c>
      <c r="O15" s="15">
        <v>0.7</v>
      </c>
      <c r="P15" s="18">
        <v>11.6</v>
      </c>
      <c r="Q15" s="19">
        <v>10550</v>
      </c>
      <c r="R15" s="2">
        <f t="shared" si="7"/>
        <v>4680</v>
      </c>
    </row>
    <row r="16" spans="1:22" x14ac:dyDescent="0.15">
      <c r="A16" s="6">
        <v>14</v>
      </c>
      <c r="B16" s="10">
        <f t="shared" si="4"/>
        <v>1</v>
      </c>
      <c r="C16" s="10">
        <f t="shared" si="5"/>
        <v>4</v>
      </c>
      <c r="D16" s="12"/>
      <c r="E16" s="12"/>
      <c r="F16" s="10">
        <f t="shared" ca="1" si="0"/>
        <v>4500</v>
      </c>
      <c r="G16" s="16">
        <f t="shared" ca="1" si="1"/>
        <v>0.75</v>
      </c>
      <c r="H16" s="20">
        <f t="shared" ca="1" si="2"/>
        <v>9900</v>
      </c>
      <c r="I16" s="10">
        <f ca="1">H16*物品价值!$B$4+D16*物品价值!$B$5+物品价值!$B$6*E16</f>
        <v>9.9</v>
      </c>
      <c r="J16" s="10">
        <f ca="1">SUM($I$3:I16)</f>
        <v>532.23199999999997</v>
      </c>
      <c r="K16" s="22">
        <f t="shared" ca="1" si="6"/>
        <v>7.2848916707843034E-2</v>
      </c>
      <c r="L16" s="21"/>
      <c r="M16" s="2">
        <v>6</v>
      </c>
      <c r="N16" s="3">
        <v>1750</v>
      </c>
      <c r="O16" s="15">
        <v>0.65</v>
      </c>
      <c r="P16" s="18">
        <v>19.399999999999999</v>
      </c>
      <c r="Q16" s="19">
        <v>18900</v>
      </c>
      <c r="R16" s="2">
        <f t="shared" si="7"/>
        <v>8350</v>
      </c>
    </row>
    <row r="17" spans="1:18" x14ac:dyDescent="0.15">
      <c r="A17" s="6">
        <v>15</v>
      </c>
      <c r="B17" s="10">
        <f t="shared" si="4"/>
        <v>1</v>
      </c>
      <c r="C17" s="10">
        <f t="shared" si="5"/>
        <v>5</v>
      </c>
      <c r="D17" s="12"/>
      <c r="E17" s="12"/>
      <c r="F17" s="10">
        <f t="shared" ca="1" si="0"/>
        <v>5400</v>
      </c>
      <c r="G17" s="16">
        <f t="shared" ca="1" si="1"/>
        <v>0.7</v>
      </c>
      <c r="H17" s="20">
        <f t="shared" ca="1" si="2"/>
        <v>16848</v>
      </c>
      <c r="I17" s="10">
        <f ca="1">H17*物品价值!$B$4+D17*物品价值!$B$5+物品价值!$B$6*E17</f>
        <v>16.847999999999999</v>
      </c>
      <c r="J17" s="10">
        <f ca="1">SUM($I$3:I17)</f>
        <v>549.07999999999993</v>
      </c>
      <c r="K17" s="22">
        <f t="shared" ca="1" si="6"/>
        <v>7.5154975999080192E-2</v>
      </c>
      <c r="L17" s="21"/>
      <c r="M17" s="2">
        <v>7</v>
      </c>
      <c r="N17" s="3">
        <v>2000</v>
      </c>
      <c r="O17" s="15">
        <v>0.6</v>
      </c>
      <c r="P17" s="18">
        <v>34.1</v>
      </c>
      <c r="Q17" s="19">
        <v>34900</v>
      </c>
      <c r="R17" s="2">
        <f t="shared" si="7"/>
        <v>16000</v>
      </c>
    </row>
    <row r="18" spans="1:18" x14ac:dyDescent="0.15">
      <c r="A18" s="6">
        <v>16</v>
      </c>
      <c r="B18" s="10">
        <f t="shared" si="4"/>
        <v>1</v>
      </c>
      <c r="C18" s="10">
        <f t="shared" si="5"/>
        <v>6</v>
      </c>
      <c r="D18" s="12"/>
      <c r="E18" s="12"/>
      <c r="F18" s="10">
        <f t="shared" ca="1" si="0"/>
        <v>6300</v>
      </c>
      <c r="G18" s="16">
        <f t="shared" ca="1" si="1"/>
        <v>0.65</v>
      </c>
      <c r="H18" s="20">
        <f t="shared" ca="1" si="2"/>
        <v>30060</v>
      </c>
      <c r="I18" s="10">
        <f ca="1">H18*物品价值!$B$4+D18*物品价值!$B$5+物品价值!$B$6*E18</f>
        <v>30.060000000000002</v>
      </c>
      <c r="J18" s="10">
        <f ca="1">SUM($I$3:I18)</f>
        <v>579.13999999999987</v>
      </c>
      <c r="K18" s="22">
        <f t="shared" ca="1" si="6"/>
        <v>7.9269419392633669E-2</v>
      </c>
      <c r="L18" s="21"/>
      <c r="M18" s="2">
        <v>8</v>
      </c>
      <c r="N18" s="3">
        <v>2250</v>
      </c>
      <c r="O18" s="15">
        <v>0.5</v>
      </c>
      <c r="P18" s="18">
        <v>70.099999999999994</v>
      </c>
      <c r="Q18" s="19">
        <v>74200</v>
      </c>
      <c r="R18" s="2">
        <f t="shared" si="7"/>
        <v>39300</v>
      </c>
    </row>
    <row r="19" spans="1:18" x14ac:dyDescent="0.15">
      <c r="A19" s="6">
        <v>17</v>
      </c>
      <c r="B19" s="10">
        <f t="shared" si="4"/>
        <v>1</v>
      </c>
      <c r="C19" s="10">
        <f t="shared" si="5"/>
        <v>7</v>
      </c>
      <c r="D19" s="12"/>
      <c r="E19" s="12"/>
      <c r="F19" s="10">
        <f t="shared" ca="1" si="0"/>
        <v>7200</v>
      </c>
      <c r="G19" s="16">
        <f t="shared" ca="1" si="1"/>
        <v>0.6</v>
      </c>
      <c r="H19" s="20">
        <f t="shared" ca="1" si="2"/>
        <v>57600</v>
      </c>
      <c r="I19" s="10">
        <f ca="1">H19*物品价值!$B$4+D19*物品价值!$B$5+物品价值!$B$6*E19</f>
        <v>57.6</v>
      </c>
      <c r="J19" s="10">
        <f ca="1">SUM($I$3:I19)</f>
        <v>636.7399999999999</v>
      </c>
      <c r="K19" s="22">
        <f t="shared" ca="1" si="6"/>
        <v>8.7153382781478689E-2</v>
      </c>
      <c r="L19" s="21"/>
      <c r="M19" s="2">
        <v>9</v>
      </c>
      <c r="N19" s="3">
        <v>2500</v>
      </c>
      <c r="O19" s="15">
        <v>0.5</v>
      </c>
      <c r="P19" s="18">
        <v>142.30000000000001</v>
      </c>
      <c r="Q19" s="19">
        <v>153700</v>
      </c>
      <c r="R19" s="2">
        <f t="shared" si="7"/>
        <v>79500</v>
      </c>
    </row>
    <row r="20" spans="1:18" x14ac:dyDescent="0.15">
      <c r="A20" s="6">
        <v>18</v>
      </c>
      <c r="B20" s="10">
        <f t="shared" si="4"/>
        <v>1</v>
      </c>
      <c r="C20" s="10">
        <f t="shared" si="5"/>
        <v>8</v>
      </c>
      <c r="D20" s="12"/>
      <c r="E20" s="12"/>
      <c r="F20" s="10">
        <f t="shared" ca="1" si="0"/>
        <v>8100</v>
      </c>
      <c r="G20" s="16">
        <f t="shared" ca="1" si="1"/>
        <v>0.5</v>
      </c>
      <c r="H20" s="20">
        <f t="shared" ca="1" si="2"/>
        <v>141480</v>
      </c>
      <c r="I20" s="10">
        <f ca="1">H20*物品价值!$B$4+D20*物品价值!$B$5+物品价值!$B$6*E20</f>
        <v>141.47999999999999</v>
      </c>
      <c r="J20" s="10">
        <f ca="1">SUM($I$3:I20)</f>
        <v>778.21999999999991</v>
      </c>
      <c r="K20" s="22">
        <f t="shared" ca="1" si="6"/>
        <v>0.10651836785532925</v>
      </c>
      <c r="L20" s="21"/>
      <c r="M20" s="2">
        <v>0</v>
      </c>
      <c r="N20" s="3"/>
      <c r="O20" s="15">
        <v>1</v>
      </c>
      <c r="P20" s="4"/>
      <c r="Q20" s="17"/>
      <c r="R20" s="2"/>
    </row>
    <row r="21" spans="1:18" x14ac:dyDescent="0.15">
      <c r="A21" s="6">
        <v>19</v>
      </c>
      <c r="B21" s="10">
        <f t="shared" si="4"/>
        <v>1</v>
      </c>
      <c r="C21" s="10">
        <f t="shared" si="5"/>
        <v>9</v>
      </c>
      <c r="D21" s="12"/>
      <c r="E21" s="12"/>
      <c r="F21" s="10">
        <f t="shared" ca="1" si="0"/>
        <v>9000</v>
      </c>
      <c r="G21" s="16">
        <f t="shared" ca="1" si="1"/>
        <v>0.5</v>
      </c>
      <c r="H21" s="20">
        <f t="shared" ca="1" si="2"/>
        <v>286200</v>
      </c>
      <c r="I21" s="10">
        <f ca="1">H21*物品价值!$B$4+D21*物品价值!$B$5+物品价值!$B$6*E21</f>
        <v>286.2</v>
      </c>
      <c r="J21" s="10">
        <f ca="1">SUM($I$3:I21)</f>
        <v>1064.4199999999998</v>
      </c>
      <c r="K21" s="22">
        <f t="shared" ca="1" si="6"/>
        <v>0.14569181094365291</v>
      </c>
      <c r="L21" s="21"/>
    </row>
    <row r="22" spans="1:18" x14ac:dyDescent="0.15">
      <c r="A22" s="6">
        <v>20</v>
      </c>
      <c r="B22" s="10">
        <f t="shared" si="4"/>
        <v>2</v>
      </c>
      <c r="C22" s="10">
        <f t="shared" si="5"/>
        <v>0</v>
      </c>
      <c r="D22" s="12"/>
      <c r="E22" s="12">
        <v>20</v>
      </c>
      <c r="F22" s="10">
        <f t="shared" ca="1" si="0"/>
        <v>0</v>
      </c>
      <c r="G22" s="16">
        <f t="shared" ca="1" si="1"/>
        <v>1</v>
      </c>
      <c r="H22" s="20">
        <f t="shared" ca="1" si="2"/>
        <v>0</v>
      </c>
      <c r="I22" s="10">
        <f ca="1">H22*物品价值!$B$4+D22*物品价值!$B$5+物品价值!$B$6*E22</f>
        <v>100</v>
      </c>
      <c r="J22" s="10">
        <f ca="1">SUM($I$3:I22)</f>
        <v>1164.4199999999998</v>
      </c>
      <c r="K22" s="22">
        <f t="shared" ca="1" si="6"/>
        <v>0.15937924738261994</v>
      </c>
      <c r="L22" s="21"/>
    </row>
    <row r="23" spans="1:18" x14ac:dyDescent="0.15">
      <c r="A23" s="6">
        <v>21</v>
      </c>
      <c r="B23" s="10">
        <f t="shared" si="4"/>
        <v>2</v>
      </c>
      <c r="C23" s="10">
        <f t="shared" si="5"/>
        <v>1</v>
      </c>
      <c r="D23" s="12"/>
      <c r="E23" s="12"/>
      <c r="F23" s="10">
        <f t="shared" ca="1" si="0"/>
        <v>2250</v>
      </c>
      <c r="G23" s="16">
        <f t="shared" ca="1" si="1"/>
        <v>0.9</v>
      </c>
      <c r="H23" s="20">
        <f t="shared" ca="1" si="2"/>
        <v>2475</v>
      </c>
      <c r="I23" s="10">
        <f ca="1">H23*物品价值!$B$4+D23*物品价值!$B$5+物品价值!$B$6*E23</f>
        <v>2.4750000000000001</v>
      </c>
      <c r="J23" s="10">
        <f ca="1">SUM($I$3:I23)</f>
        <v>1166.8949999999998</v>
      </c>
      <c r="K23" s="22">
        <f t="shared" ca="1" si="6"/>
        <v>0.15971801143448436</v>
      </c>
      <c r="L23" s="21"/>
      <c r="M23" s="9" t="s">
        <v>31</v>
      </c>
      <c r="N23" s="9" t="s">
        <v>32</v>
      </c>
      <c r="O23" s="9" t="s">
        <v>15</v>
      </c>
      <c r="P23" s="9" t="s">
        <v>14</v>
      </c>
    </row>
    <row r="24" spans="1:18" x14ac:dyDescent="0.15">
      <c r="A24" s="6">
        <v>22</v>
      </c>
      <c r="B24" s="10">
        <f t="shared" si="4"/>
        <v>2</v>
      </c>
      <c r="C24" s="10">
        <f t="shared" si="5"/>
        <v>2</v>
      </c>
      <c r="D24" s="12"/>
      <c r="E24" s="12"/>
      <c r="F24" s="10">
        <f t="shared" ca="1" si="0"/>
        <v>3375</v>
      </c>
      <c r="G24" s="16">
        <f t="shared" ca="1" si="1"/>
        <v>0.85</v>
      </c>
      <c r="H24" s="20">
        <f t="shared" ca="1" si="2"/>
        <v>4477.5</v>
      </c>
      <c r="I24" s="10">
        <f ca="1">H24*物品价值!$B$4+D24*物品价值!$B$5+物品价值!$B$6*E24</f>
        <v>4.4775</v>
      </c>
      <c r="J24" s="10">
        <f ca="1">SUM($I$3:I24)</f>
        <v>1171.3724999999997</v>
      </c>
      <c r="K24" s="22">
        <f t="shared" ca="1" si="6"/>
        <v>0.16033086640103911</v>
      </c>
      <c r="L24" s="21"/>
      <c r="M24" s="10">
        <f>D1</f>
        <v>0</v>
      </c>
      <c r="N24" s="10">
        <f>E1</f>
        <v>1450</v>
      </c>
      <c r="O24" s="10">
        <f>O1*物品价值!B4</f>
        <v>5855.97</v>
      </c>
      <c r="P24" s="10">
        <f>SUM(M24:O24)</f>
        <v>7305.97</v>
      </c>
    </row>
    <row r="25" spans="1:18" x14ac:dyDescent="0.15">
      <c r="A25" s="6">
        <v>23</v>
      </c>
      <c r="B25" s="10">
        <f t="shared" si="4"/>
        <v>2</v>
      </c>
      <c r="C25" s="10">
        <f t="shared" si="5"/>
        <v>3</v>
      </c>
      <c r="D25" s="12"/>
      <c r="E25" s="12"/>
      <c r="F25" s="10">
        <f t="shared" ca="1" si="0"/>
        <v>4500</v>
      </c>
      <c r="G25" s="16">
        <f t="shared" ca="1" si="1"/>
        <v>0.8</v>
      </c>
      <c r="H25" s="20">
        <f t="shared" ca="1" si="2"/>
        <v>7087.5</v>
      </c>
      <c r="I25" s="10">
        <f ca="1">H25*物品价值!$B$4+D25*物品价值!$B$5+物品价值!$B$6*E25</f>
        <v>7.0875000000000004</v>
      </c>
      <c r="J25" s="10">
        <f ca="1">SUM($I$3:I25)</f>
        <v>1178.4599999999998</v>
      </c>
      <c r="K25" s="22">
        <f t="shared" ca="1" si="6"/>
        <v>0.16130096345865091</v>
      </c>
      <c r="L25" s="21"/>
    </row>
    <row r="26" spans="1:18" x14ac:dyDescent="0.15">
      <c r="A26" s="6">
        <v>24</v>
      </c>
      <c r="B26" s="10">
        <f t="shared" si="4"/>
        <v>2</v>
      </c>
      <c r="C26" s="10">
        <f t="shared" si="5"/>
        <v>4</v>
      </c>
      <c r="D26" s="12"/>
      <c r="E26" s="12"/>
      <c r="F26" s="10">
        <f t="shared" ca="1" si="0"/>
        <v>5625</v>
      </c>
      <c r="G26" s="16">
        <f t="shared" ca="1" si="1"/>
        <v>0.75</v>
      </c>
      <c r="H26" s="20">
        <f t="shared" ca="1" si="2"/>
        <v>12375</v>
      </c>
      <c r="I26" s="10">
        <f ca="1">H26*物品价值!$B$4+D26*物品价值!$B$5+物品价值!$B$6*E26</f>
        <v>12.375</v>
      </c>
      <c r="J26" s="10">
        <f ca="1">SUM($I$3:I26)</f>
        <v>1190.8349999999998</v>
      </c>
      <c r="K26" s="22">
        <f t="shared" ca="1" si="6"/>
        <v>0.16299478371797307</v>
      </c>
      <c r="L26" s="21"/>
    </row>
    <row r="27" spans="1:18" x14ac:dyDescent="0.15">
      <c r="A27" s="6">
        <v>25</v>
      </c>
      <c r="B27" s="10">
        <f t="shared" si="4"/>
        <v>2</v>
      </c>
      <c r="C27" s="10">
        <f t="shared" si="5"/>
        <v>5</v>
      </c>
      <c r="D27" s="12"/>
      <c r="E27" s="12"/>
      <c r="F27" s="10">
        <f t="shared" ca="1" si="0"/>
        <v>6750</v>
      </c>
      <c r="G27" s="16">
        <f t="shared" ca="1" si="1"/>
        <v>0.7</v>
      </c>
      <c r="H27" s="20">
        <f t="shared" ca="1" si="2"/>
        <v>21060</v>
      </c>
      <c r="I27" s="10">
        <f ca="1">H27*物品价值!$B$4+D27*物品价值!$B$5+物品价值!$B$6*E27</f>
        <v>21.06</v>
      </c>
      <c r="J27" s="10">
        <f ca="1">SUM($I$3:I27)</f>
        <v>1211.8949999999998</v>
      </c>
      <c r="K27" s="22">
        <f t="shared" ca="1" si="6"/>
        <v>0.16587735783201954</v>
      </c>
      <c r="L27" s="21"/>
    </row>
    <row r="28" spans="1:18" x14ac:dyDescent="0.15">
      <c r="A28" s="6">
        <v>26</v>
      </c>
      <c r="B28" s="10">
        <f t="shared" si="4"/>
        <v>2</v>
      </c>
      <c r="C28" s="10">
        <f t="shared" si="5"/>
        <v>6</v>
      </c>
      <c r="D28" s="12"/>
      <c r="E28" s="12"/>
      <c r="F28" s="10">
        <f t="shared" ca="1" si="0"/>
        <v>7875</v>
      </c>
      <c r="G28" s="16">
        <f t="shared" ca="1" si="1"/>
        <v>0.65</v>
      </c>
      <c r="H28" s="20">
        <f t="shared" ca="1" si="2"/>
        <v>37575</v>
      </c>
      <c r="I28" s="10">
        <f ca="1">H28*物品价值!$B$4+D28*物品价值!$B$5+物品价值!$B$6*E28</f>
        <v>37.575000000000003</v>
      </c>
      <c r="J28" s="10">
        <f ca="1">SUM($I$3:I28)</f>
        <v>1249.4699999999998</v>
      </c>
      <c r="K28" s="22">
        <f t="shared" ca="1" si="6"/>
        <v>0.1710204120739614</v>
      </c>
      <c r="L28" s="21"/>
    </row>
    <row r="29" spans="1:18" x14ac:dyDescent="0.15">
      <c r="A29" s="6">
        <v>27</v>
      </c>
      <c r="B29" s="10">
        <f t="shared" si="4"/>
        <v>2</v>
      </c>
      <c r="C29" s="10">
        <f t="shared" si="5"/>
        <v>7</v>
      </c>
      <c r="D29" s="12"/>
      <c r="E29" s="12"/>
      <c r="F29" s="10">
        <f t="shared" ca="1" si="0"/>
        <v>9000</v>
      </c>
      <c r="G29" s="16">
        <f t="shared" ca="1" si="1"/>
        <v>0.6</v>
      </c>
      <c r="H29" s="20">
        <f t="shared" ca="1" si="2"/>
        <v>72000</v>
      </c>
      <c r="I29" s="10">
        <f ca="1">H29*物品价值!$B$4+D29*物品价值!$B$5+物品价值!$B$6*E29</f>
        <v>72</v>
      </c>
      <c r="J29" s="10">
        <f ca="1">SUM($I$3:I29)</f>
        <v>1321.4699999999998</v>
      </c>
      <c r="K29" s="22">
        <f t="shared" ca="1" si="6"/>
        <v>0.18087536631001766</v>
      </c>
      <c r="L29" s="21"/>
    </row>
    <row r="30" spans="1:18" x14ac:dyDescent="0.15">
      <c r="A30" s="6">
        <v>28</v>
      </c>
      <c r="B30" s="10">
        <f t="shared" si="4"/>
        <v>2</v>
      </c>
      <c r="C30" s="10">
        <f t="shared" si="5"/>
        <v>8</v>
      </c>
      <c r="D30" s="12"/>
      <c r="E30" s="12"/>
      <c r="F30" s="10">
        <f t="shared" ca="1" si="0"/>
        <v>10125</v>
      </c>
      <c r="G30" s="16">
        <f t="shared" ca="1" si="1"/>
        <v>0.5</v>
      </c>
      <c r="H30" s="20">
        <f t="shared" ca="1" si="2"/>
        <v>176850</v>
      </c>
      <c r="I30" s="10">
        <f ca="1">H30*物品价值!$B$4+D30*物品价值!$B$5+物品价值!$B$6*E30</f>
        <v>176.85</v>
      </c>
      <c r="J30" s="10">
        <f ca="1">SUM($I$3:I30)</f>
        <v>1498.3199999999997</v>
      </c>
      <c r="K30" s="22">
        <f t="shared" ca="1" si="6"/>
        <v>0.20508159765233086</v>
      </c>
      <c r="L30" s="21"/>
    </row>
    <row r="31" spans="1:18" x14ac:dyDescent="0.15">
      <c r="A31" s="6">
        <v>29</v>
      </c>
      <c r="B31" s="10">
        <f t="shared" si="4"/>
        <v>2</v>
      </c>
      <c r="C31" s="10">
        <f t="shared" si="5"/>
        <v>9</v>
      </c>
      <c r="D31" s="12"/>
      <c r="E31" s="12"/>
      <c r="F31" s="10">
        <f t="shared" ca="1" si="0"/>
        <v>11250</v>
      </c>
      <c r="G31" s="16">
        <f t="shared" ca="1" si="1"/>
        <v>0.5</v>
      </c>
      <c r="H31" s="20">
        <f t="shared" ca="1" si="2"/>
        <v>357750</v>
      </c>
      <c r="I31" s="10">
        <f ca="1">H31*物品价值!$B$4+D31*物品价值!$B$5+物品价值!$B$6*E31</f>
        <v>357.75</v>
      </c>
      <c r="J31" s="10">
        <f ca="1">SUM($I$3:I31)</f>
        <v>1856.0699999999997</v>
      </c>
      <c r="K31" s="22">
        <f t="shared" ca="1" si="6"/>
        <v>0.25404840151273544</v>
      </c>
      <c r="L31" s="21"/>
    </row>
    <row r="32" spans="1:18" x14ac:dyDescent="0.15">
      <c r="A32" s="6">
        <v>30</v>
      </c>
      <c r="B32" s="10">
        <f t="shared" si="4"/>
        <v>3</v>
      </c>
      <c r="C32" s="10">
        <f t="shared" si="5"/>
        <v>0</v>
      </c>
      <c r="D32" s="12"/>
      <c r="E32" s="12">
        <v>30</v>
      </c>
      <c r="F32" s="10">
        <f t="shared" ca="1" si="0"/>
        <v>0</v>
      </c>
      <c r="G32" s="16">
        <f t="shared" ca="1" si="1"/>
        <v>1</v>
      </c>
      <c r="H32" s="20">
        <f t="shared" ca="1" si="2"/>
        <v>0</v>
      </c>
      <c r="I32" s="10">
        <f ca="1">H32*物品价值!$B$4+D32*物品价值!$B$5+物品价值!$B$6*E32</f>
        <v>150</v>
      </c>
      <c r="J32" s="10">
        <f ca="1">SUM($I$3:I32)</f>
        <v>2006.0699999999997</v>
      </c>
      <c r="K32" s="22">
        <f t="shared" ca="1" si="6"/>
        <v>0.27457955617118596</v>
      </c>
      <c r="L32" s="21"/>
    </row>
    <row r="33" spans="1:12" x14ac:dyDescent="0.15">
      <c r="A33" s="6">
        <v>31</v>
      </c>
      <c r="B33" s="10">
        <f t="shared" si="4"/>
        <v>3</v>
      </c>
      <c r="C33" s="10">
        <f t="shared" si="5"/>
        <v>1</v>
      </c>
      <c r="D33" s="12"/>
      <c r="E33" s="12"/>
      <c r="F33" s="10">
        <f t="shared" ca="1" si="0"/>
        <v>3000</v>
      </c>
      <c r="G33" s="16">
        <f t="shared" ca="1" si="1"/>
        <v>0.9</v>
      </c>
      <c r="H33" s="20">
        <f t="shared" ca="1" si="2"/>
        <v>3300</v>
      </c>
      <c r="I33" s="10">
        <f ca="1">H33*物品价值!$B$4+D33*物品价值!$B$5+物品价值!$B$6*E33</f>
        <v>3.3000000000000003</v>
      </c>
      <c r="J33" s="10">
        <f ca="1">SUM($I$3:I33)</f>
        <v>2009.3699999999997</v>
      </c>
      <c r="K33" s="22">
        <f t="shared" ca="1" si="6"/>
        <v>0.27503124157367187</v>
      </c>
      <c r="L33" s="21"/>
    </row>
    <row r="34" spans="1:12" x14ac:dyDescent="0.15">
      <c r="A34" s="6">
        <v>32</v>
      </c>
      <c r="B34" s="10">
        <f t="shared" si="4"/>
        <v>3</v>
      </c>
      <c r="C34" s="10">
        <f t="shared" si="5"/>
        <v>2</v>
      </c>
      <c r="D34" s="12"/>
      <c r="E34" s="12"/>
      <c r="F34" s="10">
        <f t="shared" ca="1" si="0"/>
        <v>4500</v>
      </c>
      <c r="G34" s="16">
        <f t="shared" ca="1" si="1"/>
        <v>0.85</v>
      </c>
      <c r="H34" s="20">
        <f t="shared" ca="1" si="2"/>
        <v>5970</v>
      </c>
      <c r="I34" s="10">
        <f ca="1">H34*物品价值!$B$4+D34*物品价值!$B$5+物品价值!$B$6*E34</f>
        <v>5.97</v>
      </c>
      <c r="J34" s="10">
        <f ca="1">SUM($I$3:I34)</f>
        <v>2015.3399999999997</v>
      </c>
      <c r="K34" s="22">
        <f t="shared" ca="1" si="6"/>
        <v>0.2758483815290782</v>
      </c>
      <c r="L34" s="21"/>
    </row>
    <row r="35" spans="1:12" x14ac:dyDescent="0.15">
      <c r="A35" s="6">
        <v>33</v>
      </c>
      <c r="B35" s="10">
        <f t="shared" si="4"/>
        <v>3</v>
      </c>
      <c r="C35" s="10">
        <f t="shared" si="5"/>
        <v>3</v>
      </c>
      <c r="D35" s="12"/>
      <c r="E35" s="12"/>
      <c r="F35" s="10">
        <f t="shared" ref="F35:F62" ca="1" si="8">OFFSET($N$10,MATCH($C35,$M$11:$M$20,0),)*OFFSET($N$2,MATCH($B35,$M$3:$M$9,0),)</f>
        <v>6000</v>
      </c>
      <c r="G35" s="16">
        <f t="shared" ref="G35:G62" ca="1" si="9">OFFSET($O$10,MATCH($C35,$M$11:$M$20,0),)</f>
        <v>0.8</v>
      </c>
      <c r="H35" s="20">
        <f t="shared" ref="H35:H62" ca="1" si="10">OFFSET($R$10,MATCH(C35,$M$11:$M$20,0),)*OFFSET($N$2,MATCH(B35,$M$3:$M$9,0),)</f>
        <v>9450</v>
      </c>
      <c r="I35" s="10">
        <f ca="1">H35*物品价值!$B$4+D35*物品价值!$B$5+物品价值!$B$6*E35</f>
        <v>9.4500000000000011</v>
      </c>
      <c r="J35" s="10">
        <f ca="1">SUM($I$3:I35)</f>
        <v>2024.7899999999997</v>
      </c>
      <c r="K35" s="22">
        <f t="shared" ca="1" si="6"/>
        <v>0.27714184427256061</v>
      </c>
      <c r="L35" s="21"/>
    </row>
    <row r="36" spans="1:12" x14ac:dyDescent="0.15">
      <c r="A36" s="6">
        <v>34</v>
      </c>
      <c r="B36" s="10">
        <f t="shared" si="4"/>
        <v>3</v>
      </c>
      <c r="C36" s="10">
        <f t="shared" si="5"/>
        <v>4</v>
      </c>
      <c r="D36" s="12"/>
      <c r="E36" s="12"/>
      <c r="F36" s="10">
        <f t="shared" ca="1" si="8"/>
        <v>7500</v>
      </c>
      <c r="G36" s="16">
        <f t="shared" ca="1" si="9"/>
        <v>0.75</v>
      </c>
      <c r="H36" s="20">
        <f t="shared" ca="1" si="10"/>
        <v>16500</v>
      </c>
      <c r="I36" s="10">
        <f ca="1">H36*物品价值!$B$4+D36*物品价值!$B$5+物品价值!$B$6*E36</f>
        <v>16.5</v>
      </c>
      <c r="J36" s="10">
        <f ca="1">SUM($I$3:I36)</f>
        <v>2041.2899999999997</v>
      </c>
      <c r="K36" s="22">
        <f t="shared" ca="1" si="6"/>
        <v>0.27940027128499018</v>
      </c>
      <c r="L36" s="21"/>
    </row>
    <row r="37" spans="1:12" x14ac:dyDescent="0.15">
      <c r="A37" s="6">
        <v>35</v>
      </c>
      <c r="B37" s="10">
        <f t="shared" si="4"/>
        <v>3</v>
      </c>
      <c r="C37" s="10">
        <f t="shared" si="5"/>
        <v>5</v>
      </c>
      <c r="D37" s="12"/>
      <c r="E37" s="12"/>
      <c r="F37" s="10">
        <f t="shared" ca="1" si="8"/>
        <v>9000</v>
      </c>
      <c r="G37" s="16">
        <f t="shared" ca="1" si="9"/>
        <v>0.7</v>
      </c>
      <c r="H37" s="20">
        <f t="shared" ca="1" si="10"/>
        <v>28080</v>
      </c>
      <c r="I37" s="10">
        <f ca="1">H37*物品价值!$B$4+D37*物品价值!$B$5+物品价值!$B$6*E37</f>
        <v>28.080000000000002</v>
      </c>
      <c r="J37" s="10">
        <f ca="1">SUM($I$3:I37)</f>
        <v>2069.37</v>
      </c>
      <c r="K37" s="22">
        <f t="shared" ca="1" si="6"/>
        <v>0.28324370343705213</v>
      </c>
      <c r="L37" s="21"/>
    </row>
    <row r="38" spans="1:12" x14ac:dyDescent="0.15">
      <c r="A38" s="6">
        <v>36</v>
      </c>
      <c r="B38" s="10">
        <f t="shared" si="4"/>
        <v>3</v>
      </c>
      <c r="C38" s="10">
        <f t="shared" si="5"/>
        <v>6</v>
      </c>
      <c r="D38" s="12"/>
      <c r="E38" s="12"/>
      <c r="F38" s="10">
        <f t="shared" ca="1" si="8"/>
        <v>10500</v>
      </c>
      <c r="G38" s="16">
        <f t="shared" ca="1" si="9"/>
        <v>0.65</v>
      </c>
      <c r="H38" s="20">
        <f t="shared" ca="1" si="10"/>
        <v>50100</v>
      </c>
      <c r="I38" s="10">
        <f ca="1">H38*物品价值!$B$4+D38*物品价值!$B$5+物品价值!$B$6*E38</f>
        <v>50.1</v>
      </c>
      <c r="J38" s="10">
        <f ca="1">SUM($I$3:I38)</f>
        <v>2119.4699999999998</v>
      </c>
      <c r="K38" s="22">
        <f t="shared" ca="1" si="6"/>
        <v>0.2901011090929746</v>
      </c>
      <c r="L38" s="21"/>
    </row>
    <row r="39" spans="1:12" x14ac:dyDescent="0.15">
      <c r="A39" s="6">
        <v>37</v>
      </c>
      <c r="B39" s="10">
        <f t="shared" si="4"/>
        <v>3</v>
      </c>
      <c r="C39" s="10">
        <f t="shared" si="5"/>
        <v>7</v>
      </c>
      <c r="D39" s="12"/>
      <c r="E39" s="12"/>
      <c r="F39" s="10">
        <f t="shared" ca="1" si="8"/>
        <v>12000</v>
      </c>
      <c r="G39" s="16">
        <f t="shared" ca="1" si="9"/>
        <v>0.6</v>
      </c>
      <c r="H39" s="20">
        <f t="shared" ca="1" si="10"/>
        <v>96000</v>
      </c>
      <c r="I39" s="10">
        <f ca="1">H39*物品价值!$B$4+D39*物品价值!$B$5+物品价值!$B$6*E39</f>
        <v>96</v>
      </c>
      <c r="J39" s="10">
        <f ca="1">SUM($I$3:I39)</f>
        <v>2215.4699999999998</v>
      </c>
      <c r="K39" s="22">
        <f t="shared" ca="1" si="6"/>
        <v>0.30324104807438296</v>
      </c>
      <c r="L39" s="21"/>
    </row>
    <row r="40" spans="1:12" x14ac:dyDescent="0.15">
      <c r="A40" s="6">
        <v>38</v>
      </c>
      <c r="B40" s="10">
        <f t="shared" si="4"/>
        <v>3</v>
      </c>
      <c r="C40" s="10">
        <f t="shared" si="5"/>
        <v>8</v>
      </c>
      <c r="D40" s="12"/>
      <c r="E40" s="12"/>
      <c r="F40" s="10">
        <f t="shared" ca="1" si="8"/>
        <v>13500</v>
      </c>
      <c r="G40" s="16">
        <f t="shared" ca="1" si="9"/>
        <v>0.5</v>
      </c>
      <c r="H40" s="20">
        <f t="shared" ca="1" si="10"/>
        <v>235800</v>
      </c>
      <c r="I40" s="10">
        <f ca="1">H40*物品价值!$B$4+D40*物品价值!$B$5+物品价值!$B$6*E40</f>
        <v>235.8</v>
      </c>
      <c r="J40" s="10">
        <f ca="1">SUM($I$3:I40)</f>
        <v>2451.27</v>
      </c>
      <c r="K40" s="22">
        <f t="shared" ca="1" si="6"/>
        <v>0.33551602319746726</v>
      </c>
      <c r="L40" s="21"/>
    </row>
    <row r="41" spans="1:12" x14ac:dyDescent="0.15">
      <c r="A41" s="6">
        <v>39</v>
      </c>
      <c r="B41" s="10">
        <f t="shared" si="4"/>
        <v>3</v>
      </c>
      <c r="C41" s="10">
        <f t="shared" si="5"/>
        <v>9</v>
      </c>
      <c r="D41" s="12"/>
      <c r="E41" s="12"/>
      <c r="F41" s="10">
        <f t="shared" ca="1" si="8"/>
        <v>15000</v>
      </c>
      <c r="G41" s="16">
        <f t="shared" ca="1" si="9"/>
        <v>0.5</v>
      </c>
      <c r="H41" s="20">
        <f t="shared" ca="1" si="10"/>
        <v>477000</v>
      </c>
      <c r="I41" s="10">
        <f ca="1">H41*物品价值!$B$4+D41*物品价值!$B$5+物品价值!$B$6*E41</f>
        <v>477</v>
      </c>
      <c r="J41" s="10">
        <f ca="1">SUM($I$3:I41)</f>
        <v>2928.27</v>
      </c>
      <c r="K41" s="22">
        <f t="shared" ca="1" si="6"/>
        <v>0.40080509501134004</v>
      </c>
      <c r="L41" s="21"/>
    </row>
    <row r="42" spans="1:12" x14ac:dyDescent="0.15">
      <c r="A42" s="6">
        <v>40</v>
      </c>
      <c r="B42" s="10">
        <f t="shared" si="4"/>
        <v>4</v>
      </c>
      <c r="C42" s="10">
        <f t="shared" si="5"/>
        <v>0</v>
      </c>
      <c r="D42" s="12"/>
      <c r="E42" s="12">
        <v>50</v>
      </c>
      <c r="F42" s="10">
        <f t="shared" ca="1" si="8"/>
        <v>0</v>
      </c>
      <c r="G42" s="16">
        <f t="shared" ca="1" si="9"/>
        <v>1</v>
      </c>
      <c r="H42" s="20">
        <f t="shared" ca="1" si="10"/>
        <v>0</v>
      </c>
      <c r="I42" s="10">
        <f ca="1">H42*物品价值!$B$4+D42*物品价值!$B$5+物品价值!$B$6*E42</f>
        <v>250</v>
      </c>
      <c r="J42" s="10">
        <f ca="1">SUM($I$3:I42)</f>
        <v>3178.27</v>
      </c>
      <c r="K42" s="22">
        <f t="shared" ca="1" si="6"/>
        <v>0.43502368610875763</v>
      </c>
      <c r="L42" s="21"/>
    </row>
    <row r="43" spans="1:12" x14ac:dyDescent="0.15">
      <c r="A43" s="6">
        <v>41</v>
      </c>
      <c r="B43" s="10">
        <f t="shared" si="4"/>
        <v>4</v>
      </c>
      <c r="C43" s="10">
        <f t="shared" si="5"/>
        <v>1</v>
      </c>
      <c r="D43" s="12"/>
      <c r="E43" s="12"/>
      <c r="F43" s="10">
        <f t="shared" ca="1" si="8"/>
        <v>4500</v>
      </c>
      <c r="G43" s="16">
        <f t="shared" ca="1" si="9"/>
        <v>0.9</v>
      </c>
      <c r="H43" s="20">
        <f t="shared" ca="1" si="10"/>
        <v>4950</v>
      </c>
      <c r="I43" s="10">
        <f ca="1">H43*物品价值!$B$4+D43*物品价值!$B$5+物品价值!$B$6*E43</f>
        <v>4.95</v>
      </c>
      <c r="J43" s="10">
        <f ca="1">SUM($I$3:I43)</f>
        <v>3183.22</v>
      </c>
      <c r="K43" s="22">
        <f t="shared" ca="1" si="6"/>
        <v>0.43570121421248648</v>
      </c>
      <c r="L43" s="21"/>
    </row>
    <row r="44" spans="1:12" x14ac:dyDescent="0.15">
      <c r="A44" s="6">
        <v>42</v>
      </c>
      <c r="B44" s="10">
        <f t="shared" si="4"/>
        <v>4</v>
      </c>
      <c r="C44" s="10">
        <f t="shared" si="5"/>
        <v>2</v>
      </c>
      <c r="D44" s="12"/>
      <c r="E44" s="12"/>
      <c r="F44" s="10">
        <f t="shared" ca="1" si="8"/>
        <v>6750</v>
      </c>
      <c r="G44" s="16">
        <f t="shared" ca="1" si="9"/>
        <v>0.85</v>
      </c>
      <c r="H44" s="20">
        <f t="shared" ca="1" si="10"/>
        <v>8955</v>
      </c>
      <c r="I44" s="10">
        <f ca="1">H44*物品价值!$B$4+D44*物品价值!$B$5+物品价值!$B$6*E44</f>
        <v>8.9550000000000001</v>
      </c>
      <c r="J44" s="10">
        <f ca="1">SUM($I$3:I44)</f>
        <v>3192.1749999999997</v>
      </c>
      <c r="K44" s="22">
        <f t="shared" ca="1" si="6"/>
        <v>0.43692692414559597</v>
      </c>
      <c r="L44" s="21"/>
    </row>
    <row r="45" spans="1:12" x14ac:dyDescent="0.15">
      <c r="A45" s="6">
        <v>43</v>
      </c>
      <c r="B45" s="10">
        <f t="shared" si="4"/>
        <v>4</v>
      </c>
      <c r="C45" s="10">
        <f t="shared" si="5"/>
        <v>3</v>
      </c>
      <c r="D45" s="12"/>
      <c r="E45" s="12"/>
      <c r="F45" s="10">
        <f t="shared" ca="1" si="8"/>
        <v>9000</v>
      </c>
      <c r="G45" s="16">
        <f t="shared" ca="1" si="9"/>
        <v>0.8</v>
      </c>
      <c r="H45" s="20">
        <f t="shared" ca="1" si="10"/>
        <v>14175</v>
      </c>
      <c r="I45" s="10">
        <f ca="1">H45*物品价值!$B$4+D45*物品价值!$B$5+物品价值!$B$6*E45</f>
        <v>14.175000000000001</v>
      </c>
      <c r="J45" s="10">
        <f ca="1">SUM($I$3:I45)</f>
        <v>3206.35</v>
      </c>
      <c r="K45" s="22">
        <f t="shared" ca="1" si="6"/>
        <v>0.43886711826081953</v>
      </c>
      <c r="L45" s="21"/>
    </row>
    <row r="46" spans="1:12" x14ac:dyDescent="0.15">
      <c r="A46" s="6">
        <v>44</v>
      </c>
      <c r="B46" s="10">
        <f t="shared" si="4"/>
        <v>4</v>
      </c>
      <c r="C46" s="10">
        <f t="shared" si="5"/>
        <v>4</v>
      </c>
      <c r="D46" s="12"/>
      <c r="E46" s="12"/>
      <c r="F46" s="10">
        <f t="shared" ca="1" si="8"/>
        <v>11250</v>
      </c>
      <c r="G46" s="16">
        <f t="shared" ca="1" si="9"/>
        <v>0.75</v>
      </c>
      <c r="H46" s="20">
        <f t="shared" ca="1" si="10"/>
        <v>24750</v>
      </c>
      <c r="I46" s="10">
        <f ca="1">H46*物品价值!$B$4+D46*物品价值!$B$5+物品价值!$B$6*E46</f>
        <v>24.75</v>
      </c>
      <c r="J46" s="10">
        <f ca="1">SUM($I$3:I46)</f>
        <v>3231.1</v>
      </c>
      <c r="K46" s="22">
        <f t="shared" ca="1" si="6"/>
        <v>0.44225475877946391</v>
      </c>
      <c r="L46" s="21"/>
    </row>
    <row r="47" spans="1:12" x14ac:dyDescent="0.15">
      <c r="A47" s="6">
        <v>45</v>
      </c>
      <c r="B47" s="10">
        <f t="shared" si="4"/>
        <v>4</v>
      </c>
      <c r="C47" s="10">
        <f t="shared" si="5"/>
        <v>5</v>
      </c>
      <c r="D47" s="12"/>
      <c r="E47" s="12"/>
      <c r="F47" s="10">
        <f t="shared" ca="1" si="8"/>
        <v>13500</v>
      </c>
      <c r="G47" s="16">
        <f t="shared" ca="1" si="9"/>
        <v>0.7</v>
      </c>
      <c r="H47" s="20">
        <f t="shared" ca="1" si="10"/>
        <v>42120</v>
      </c>
      <c r="I47" s="10">
        <f ca="1">H47*物品价值!$B$4+D47*物品价值!$B$5+物品价值!$B$6*E47</f>
        <v>42.12</v>
      </c>
      <c r="J47" s="10">
        <f ca="1">SUM($I$3:I47)</f>
        <v>3273.22</v>
      </c>
      <c r="K47" s="22">
        <f t="shared" ca="1" si="6"/>
        <v>0.44801990700755678</v>
      </c>
      <c r="L47" s="21"/>
    </row>
    <row r="48" spans="1:12" x14ac:dyDescent="0.15">
      <c r="A48" s="6">
        <v>46</v>
      </c>
      <c r="B48" s="10">
        <f t="shared" si="4"/>
        <v>4</v>
      </c>
      <c r="C48" s="10">
        <f t="shared" si="5"/>
        <v>6</v>
      </c>
      <c r="D48" s="12"/>
      <c r="E48" s="12"/>
      <c r="F48" s="10">
        <f t="shared" ca="1" si="8"/>
        <v>15750</v>
      </c>
      <c r="G48" s="16">
        <f t="shared" ca="1" si="9"/>
        <v>0.65</v>
      </c>
      <c r="H48" s="20">
        <f t="shared" ca="1" si="10"/>
        <v>75150</v>
      </c>
      <c r="I48" s="10">
        <f ca="1">H48*物品价值!$B$4+D48*物品价值!$B$5+物品价值!$B$6*E48</f>
        <v>75.150000000000006</v>
      </c>
      <c r="J48" s="10">
        <f ca="1">SUM($I$3:I48)</f>
        <v>3348.37</v>
      </c>
      <c r="K48" s="22">
        <f t="shared" ca="1" si="6"/>
        <v>0.45830601549144051</v>
      </c>
      <c r="L48" s="21"/>
    </row>
    <row r="49" spans="1:12" x14ac:dyDescent="0.15">
      <c r="A49" s="6">
        <v>47</v>
      </c>
      <c r="B49" s="10">
        <f t="shared" si="4"/>
        <v>4</v>
      </c>
      <c r="C49" s="10">
        <f t="shared" si="5"/>
        <v>7</v>
      </c>
      <c r="D49" s="12"/>
      <c r="E49" s="12"/>
      <c r="F49" s="10">
        <f t="shared" ca="1" si="8"/>
        <v>18000</v>
      </c>
      <c r="G49" s="16">
        <f t="shared" ca="1" si="9"/>
        <v>0.6</v>
      </c>
      <c r="H49" s="20">
        <f t="shared" ca="1" si="10"/>
        <v>144000</v>
      </c>
      <c r="I49" s="10">
        <f ca="1">H49*物品价值!$B$4+D49*物品价值!$B$5+物品价值!$B$6*E49</f>
        <v>144</v>
      </c>
      <c r="J49" s="10">
        <f ca="1">SUM($I$3:I49)</f>
        <v>3492.37</v>
      </c>
      <c r="K49" s="22">
        <f t="shared" ca="1" si="6"/>
        <v>0.47801592396355308</v>
      </c>
      <c r="L49" s="21"/>
    </row>
    <row r="50" spans="1:12" x14ac:dyDescent="0.15">
      <c r="A50" s="6">
        <v>48</v>
      </c>
      <c r="B50" s="10">
        <f t="shared" si="4"/>
        <v>4</v>
      </c>
      <c r="C50" s="10">
        <f t="shared" si="5"/>
        <v>8</v>
      </c>
      <c r="D50" s="12"/>
      <c r="E50" s="12"/>
      <c r="F50" s="10">
        <f t="shared" ca="1" si="8"/>
        <v>20250</v>
      </c>
      <c r="G50" s="16">
        <f t="shared" ca="1" si="9"/>
        <v>0.5</v>
      </c>
      <c r="H50" s="20">
        <f t="shared" ca="1" si="10"/>
        <v>353700</v>
      </c>
      <c r="I50" s="10">
        <f ca="1">H50*物品价值!$B$4+D50*物品价值!$B$5+物品价值!$B$6*E50</f>
        <v>353.7</v>
      </c>
      <c r="J50" s="10">
        <f ca="1">SUM($I$3:I50)</f>
        <v>3846.0699999999997</v>
      </c>
      <c r="K50" s="22">
        <f t="shared" ca="1" si="6"/>
        <v>0.52642838664817948</v>
      </c>
      <c r="L50" s="21"/>
    </row>
    <row r="51" spans="1:12" x14ac:dyDescent="0.15">
      <c r="A51" s="6">
        <v>49</v>
      </c>
      <c r="B51" s="10">
        <f t="shared" si="4"/>
        <v>4</v>
      </c>
      <c r="C51" s="10">
        <f t="shared" si="5"/>
        <v>9</v>
      </c>
      <c r="D51" s="12"/>
      <c r="E51" s="12"/>
      <c r="F51" s="10">
        <f t="shared" ca="1" si="8"/>
        <v>22500</v>
      </c>
      <c r="G51" s="16">
        <f t="shared" ca="1" si="9"/>
        <v>0.5</v>
      </c>
      <c r="H51" s="20">
        <f t="shared" ca="1" si="10"/>
        <v>715500</v>
      </c>
      <c r="I51" s="10">
        <f ca="1">H51*物品价值!$B$4+D51*物品价值!$B$5+物品价值!$B$6*E51</f>
        <v>715.5</v>
      </c>
      <c r="J51" s="10">
        <f ca="1">SUM($I$3:I51)</f>
        <v>4561.57</v>
      </c>
      <c r="K51" s="22">
        <f t="shared" ca="1" si="6"/>
        <v>0.62436199436898854</v>
      </c>
      <c r="L51" s="21"/>
    </row>
    <row r="52" spans="1:12" x14ac:dyDescent="0.15">
      <c r="A52" s="6">
        <v>50</v>
      </c>
      <c r="B52" s="10">
        <f t="shared" si="4"/>
        <v>5</v>
      </c>
      <c r="C52" s="10">
        <f t="shared" si="5"/>
        <v>0</v>
      </c>
      <c r="D52" s="12"/>
      <c r="E52" s="12">
        <v>80</v>
      </c>
      <c r="F52" s="10">
        <f t="shared" ca="1" si="8"/>
        <v>0</v>
      </c>
      <c r="G52" s="16">
        <f t="shared" ca="1" si="9"/>
        <v>1</v>
      </c>
      <c r="H52" s="20">
        <f t="shared" ca="1" si="10"/>
        <v>0</v>
      </c>
      <c r="I52" s="10">
        <f ca="1">H52*物品价值!$B$4+D52*物品价值!$B$5+物品价值!$B$6*E52</f>
        <v>400</v>
      </c>
      <c r="J52" s="10">
        <f ca="1">SUM($I$3:I52)</f>
        <v>4961.57</v>
      </c>
      <c r="K52" s="22">
        <f t="shared" ca="1" si="6"/>
        <v>0.67911174012485676</v>
      </c>
      <c r="L52" s="21"/>
    </row>
    <row r="53" spans="1:12" x14ac:dyDescent="0.15">
      <c r="A53" s="6">
        <v>51</v>
      </c>
      <c r="B53" s="10">
        <f t="shared" si="4"/>
        <v>5</v>
      </c>
      <c r="C53" s="10">
        <f t="shared" si="5"/>
        <v>1</v>
      </c>
      <c r="D53" s="12"/>
      <c r="E53" s="12"/>
      <c r="F53" s="10">
        <f t="shared" ca="1" si="8"/>
        <v>6000</v>
      </c>
      <c r="G53" s="16">
        <f t="shared" ca="1" si="9"/>
        <v>0.9</v>
      </c>
      <c r="H53" s="20">
        <f t="shared" ca="1" si="10"/>
        <v>6600</v>
      </c>
      <c r="I53" s="10">
        <f ca="1">H53*物品价值!$B$4+D53*物品价值!$B$5+物品价值!$B$6*E53</f>
        <v>6.6000000000000005</v>
      </c>
      <c r="J53" s="10">
        <f ca="1">SUM($I$3:I53)</f>
        <v>4968.17</v>
      </c>
      <c r="K53" s="22">
        <f t="shared" ca="1" si="6"/>
        <v>0.68001511092982858</v>
      </c>
      <c r="L53" s="21"/>
    </row>
    <row r="54" spans="1:12" x14ac:dyDescent="0.15">
      <c r="A54" s="6">
        <v>52</v>
      </c>
      <c r="B54" s="10">
        <f t="shared" si="4"/>
        <v>5</v>
      </c>
      <c r="C54" s="10">
        <f t="shared" si="5"/>
        <v>2</v>
      </c>
      <c r="D54" s="12"/>
      <c r="E54" s="12"/>
      <c r="F54" s="10">
        <f t="shared" ca="1" si="8"/>
        <v>9000</v>
      </c>
      <c r="G54" s="16">
        <f t="shared" ca="1" si="9"/>
        <v>0.85</v>
      </c>
      <c r="H54" s="20">
        <f t="shared" ca="1" si="10"/>
        <v>11940</v>
      </c>
      <c r="I54" s="10">
        <f ca="1">H54*物品价值!$B$4+D54*物品价值!$B$5+物品价值!$B$6*E54</f>
        <v>11.94</v>
      </c>
      <c r="J54" s="10">
        <f ca="1">SUM($I$3:I54)</f>
        <v>4980.1099999999997</v>
      </c>
      <c r="K54" s="22">
        <f t="shared" ca="1" si="6"/>
        <v>0.68164939084064124</v>
      </c>
      <c r="L54" s="21"/>
    </row>
    <row r="55" spans="1:12" x14ac:dyDescent="0.15">
      <c r="A55" s="6">
        <v>53</v>
      </c>
      <c r="B55" s="10">
        <f t="shared" si="4"/>
        <v>5</v>
      </c>
      <c r="C55" s="10">
        <f t="shared" si="5"/>
        <v>3</v>
      </c>
      <c r="D55" s="12"/>
      <c r="E55" s="12"/>
      <c r="F55" s="10">
        <f t="shared" ca="1" si="8"/>
        <v>12000</v>
      </c>
      <c r="G55" s="16">
        <f t="shared" ca="1" si="9"/>
        <v>0.8</v>
      </c>
      <c r="H55" s="20">
        <f t="shared" ca="1" si="10"/>
        <v>18900</v>
      </c>
      <c r="I55" s="10">
        <f ca="1">H55*物品价值!$B$4+D55*物品价值!$B$5+物品价值!$B$6*E55</f>
        <v>18.900000000000002</v>
      </c>
      <c r="J55" s="10">
        <f ca="1">SUM($I$3:I55)</f>
        <v>4999.0099999999993</v>
      </c>
      <c r="K55" s="22">
        <f t="shared" ca="1" si="6"/>
        <v>0.68423631632760595</v>
      </c>
      <c r="L55" s="21"/>
    </row>
    <row r="56" spans="1:12" x14ac:dyDescent="0.15">
      <c r="A56" s="6">
        <v>54</v>
      </c>
      <c r="B56" s="10">
        <f t="shared" si="4"/>
        <v>5</v>
      </c>
      <c r="C56" s="10">
        <f t="shared" si="5"/>
        <v>4</v>
      </c>
      <c r="D56" s="12"/>
      <c r="E56" s="12"/>
      <c r="F56" s="10">
        <f t="shared" ca="1" si="8"/>
        <v>15000</v>
      </c>
      <c r="G56" s="16">
        <f t="shared" ca="1" si="9"/>
        <v>0.75</v>
      </c>
      <c r="H56" s="20">
        <f t="shared" ca="1" si="10"/>
        <v>33000</v>
      </c>
      <c r="I56" s="10">
        <f ca="1">H56*物品价值!$B$4+D56*物品价值!$B$5+物品价值!$B$6*E56</f>
        <v>33</v>
      </c>
      <c r="J56" s="10">
        <f ca="1">SUM($I$3:I56)</f>
        <v>5032.0099999999993</v>
      </c>
      <c r="K56" s="22">
        <f t="shared" ca="1" si="6"/>
        <v>0.68875317035246508</v>
      </c>
      <c r="L56" s="21"/>
    </row>
    <row r="57" spans="1:12" x14ac:dyDescent="0.15">
      <c r="A57" s="6">
        <v>55</v>
      </c>
      <c r="B57" s="10">
        <f t="shared" si="4"/>
        <v>5</v>
      </c>
      <c r="C57" s="10">
        <f t="shared" si="5"/>
        <v>5</v>
      </c>
      <c r="D57" s="12"/>
      <c r="E57" s="12"/>
      <c r="F57" s="10">
        <f t="shared" ca="1" si="8"/>
        <v>18000</v>
      </c>
      <c r="G57" s="16">
        <f t="shared" ca="1" si="9"/>
        <v>0.7</v>
      </c>
      <c r="H57" s="20">
        <f t="shared" ca="1" si="10"/>
        <v>56160</v>
      </c>
      <c r="I57" s="10">
        <f ca="1">H57*物品价值!$B$4+D57*物品价值!$B$5+物品价值!$B$6*E57</f>
        <v>56.160000000000004</v>
      </c>
      <c r="J57" s="10">
        <f ca="1">SUM($I$3:I57)</f>
        <v>5088.1699999999992</v>
      </c>
      <c r="K57" s="22">
        <f t="shared" ca="1" si="6"/>
        <v>0.69644003465658888</v>
      </c>
      <c r="L57" s="21"/>
    </row>
    <row r="58" spans="1:12" x14ac:dyDescent="0.15">
      <c r="A58" s="6">
        <v>56</v>
      </c>
      <c r="B58" s="10">
        <f t="shared" si="4"/>
        <v>5</v>
      </c>
      <c r="C58" s="10">
        <f t="shared" si="5"/>
        <v>6</v>
      </c>
      <c r="D58" s="12"/>
      <c r="E58" s="12"/>
      <c r="F58" s="10">
        <f t="shared" ca="1" si="8"/>
        <v>21000</v>
      </c>
      <c r="G58" s="16">
        <f t="shared" ca="1" si="9"/>
        <v>0.65</v>
      </c>
      <c r="H58" s="20">
        <f t="shared" ca="1" si="10"/>
        <v>100200</v>
      </c>
      <c r="I58" s="10">
        <f ca="1">H58*物品价值!$B$4+D58*物品价值!$B$5+物品价值!$B$6*E58</f>
        <v>100.2</v>
      </c>
      <c r="J58" s="10">
        <f ca="1">SUM($I$3:I58)</f>
        <v>5188.369999999999</v>
      </c>
      <c r="K58" s="22">
        <f t="shared" ca="1" si="6"/>
        <v>0.71015484596843392</v>
      </c>
      <c r="L58" s="21"/>
    </row>
    <row r="59" spans="1:12" x14ac:dyDescent="0.15">
      <c r="A59" s="6">
        <v>57</v>
      </c>
      <c r="B59" s="10">
        <f t="shared" si="4"/>
        <v>5</v>
      </c>
      <c r="C59" s="10">
        <f t="shared" si="5"/>
        <v>7</v>
      </c>
      <c r="D59" s="12"/>
      <c r="E59" s="12"/>
      <c r="F59" s="10">
        <f t="shared" ca="1" si="8"/>
        <v>24000</v>
      </c>
      <c r="G59" s="16">
        <f t="shared" ca="1" si="9"/>
        <v>0.6</v>
      </c>
      <c r="H59" s="20">
        <f t="shared" ca="1" si="10"/>
        <v>192000</v>
      </c>
      <c r="I59" s="10">
        <f ca="1">H59*物品价值!$B$4+D59*物品价值!$B$5+物品价值!$B$6*E59</f>
        <v>192</v>
      </c>
      <c r="J59" s="10">
        <f ca="1">SUM($I$3:I59)</f>
        <v>5380.369999999999</v>
      </c>
      <c r="K59" s="22">
        <f t="shared" ca="1" si="6"/>
        <v>0.73643472393125053</v>
      </c>
      <c r="L59" s="21"/>
    </row>
    <row r="60" spans="1:12" x14ac:dyDescent="0.15">
      <c r="A60" s="6">
        <v>58</v>
      </c>
      <c r="B60" s="10">
        <f t="shared" si="4"/>
        <v>5</v>
      </c>
      <c r="C60" s="10">
        <f t="shared" si="5"/>
        <v>8</v>
      </c>
      <c r="D60" s="12"/>
      <c r="E60" s="12"/>
      <c r="F60" s="10">
        <f t="shared" ca="1" si="8"/>
        <v>27000</v>
      </c>
      <c r="G60" s="16">
        <f t="shared" ca="1" si="9"/>
        <v>0.5</v>
      </c>
      <c r="H60" s="20">
        <f t="shared" ca="1" si="10"/>
        <v>471600</v>
      </c>
      <c r="I60" s="10">
        <f ca="1">H60*物品价值!$B$4+D60*物品价值!$B$5+物品价值!$B$6*E60</f>
        <v>471.6</v>
      </c>
      <c r="J60" s="10">
        <f ca="1">SUM($I$3:I60)</f>
        <v>5851.9699999999993</v>
      </c>
      <c r="K60" s="22">
        <f t="shared" ca="1" si="6"/>
        <v>0.80098467417741914</v>
      </c>
      <c r="L60" s="21"/>
    </row>
    <row r="61" spans="1:12" x14ac:dyDescent="0.15">
      <c r="A61" s="6">
        <v>59</v>
      </c>
      <c r="B61" s="10">
        <f t="shared" si="4"/>
        <v>5</v>
      </c>
      <c r="C61" s="10">
        <f t="shared" si="5"/>
        <v>9</v>
      </c>
      <c r="D61" s="12"/>
      <c r="E61" s="12"/>
      <c r="F61" s="10">
        <f t="shared" ca="1" si="8"/>
        <v>30000</v>
      </c>
      <c r="G61" s="16">
        <f t="shared" ca="1" si="9"/>
        <v>0.5</v>
      </c>
      <c r="H61" s="20">
        <f t="shared" ca="1" si="10"/>
        <v>954000</v>
      </c>
      <c r="I61" s="10">
        <f ca="1">H61*物品价值!$B$4+D61*物品价值!$B$5+物品价值!$B$6*E61</f>
        <v>954</v>
      </c>
      <c r="J61" s="10">
        <f ca="1">SUM($I$3:I61)</f>
        <v>6805.9699999999993</v>
      </c>
      <c r="K61" s="22">
        <f t="shared" ca="1" si="6"/>
        <v>0.9315628178051647</v>
      </c>
      <c r="L61" s="21"/>
    </row>
    <row r="62" spans="1:12" x14ac:dyDescent="0.15">
      <c r="A62" s="6">
        <v>60</v>
      </c>
      <c r="B62" s="10">
        <f t="shared" si="4"/>
        <v>6</v>
      </c>
      <c r="C62" s="10">
        <f t="shared" si="5"/>
        <v>0</v>
      </c>
      <c r="D62" s="12"/>
      <c r="E62" s="12">
        <v>100</v>
      </c>
      <c r="F62" s="10">
        <f t="shared" ca="1" si="8"/>
        <v>0</v>
      </c>
      <c r="G62" s="16">
        <f t="shared" ca="1" si="9"/>
        <v>1</v>
      </c>
      <c r="H62" s="20">
        <f t="shared" ca="1" si="10"/>
        <v>0</v>
      </c>
      <c r="I62" s="10">
        <f ca="1">H62*物品价值!$B$4+D62*物品价值!$B$5+物品价值!$B$6*E62</f>
        <v>500</v>
      </c>
      <c r="J62" s="10">
        <f ca="1">SUM($I$3:I62)</f>
        <v>7305.9699999999993</v>
      </c>
      <c r="K62" s="22">
        <f t="shared" ca="1" si="6"/>
        <v>0.99999999999999989</v>
      </c>
      <c r="L62" s="21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C11"/>
  <sheetViews>
    <sheetView workbookViewId="0">
      <selection activeCell="G16" sqref="G16"/>
    </sheetView>
  </sheetViews>
  <sheetFormatPr defaultRowHeight="13.5" x14ac:dyDescent="0.15"/>
  <cols>
    <col min="1" max="16384" width="9" style="1"/>
  </cols>
  <sheetData>
    <row r="1" spans="1:3" x14ac:dyDescent="0.15">
      <c r="A1" s="1" t="s">
        <v>115</v>
      </c>
      <c r="B1" s="1" t="s">
        <v>126</v>
      </c>
      <c r="C1" s="1" t="s">
        <v>117</v>
      </c>
    </row>
    <row r="2" spans="1:3" x14ac:dyDescent="0.15">
      <c r="A2" s="1" t="s">
        <v>116</v>
      </c>
      <c r="B2" s="1" t="s">
        <v>127</v>
      </c>
      <c r="C2" s="1">
        <v>1</v>
      </c>
    </row>
    <row r="3" spans="1:3" x14ac:dyDescent="0.15">
      <c r="A3" s="1" t="s">
        <v>118</v>
      </c>
      <c r="B3" s="1" t="s">
        <v>127</v>
      </c>
      <c r="C3" s="1">
        <v>1</v>
      </c>
    </row>
    <row r="4" spans="1:3" x14ac:dyDescent="0.15">
      <c r="A4" s="1" t="s">
        <v>125</v>
      </c>
      <c r="B4" s="1" t="s">
        <v>127</v>
      </c>
      <c r="C4" s="1">
        <v>2</v>
      </c>
    </row>
    <row r="5" spans="1:3" x14ac:dyDescent="0.15">
      <c r="A5" s="1" t="s">
        <v>121</v>
      </c>
      <c r="B5" s="1" t="s">
        <v>127</v>
      </c>
      <c r="C5" s="1">
        <v>1</v>
      </c>
    </row>
    <row r="6" spans="1:3" x14ac:dyDescent="0.15">
      <c r="A6" s="1" t="s">
        <v>122</v>
      </c>
      <c r="B6" s="1" t="s">
        <v>127</v>
      </c>
      <c r="C6" s="1">
        <v>1</v>
      </c>
    </row>
    <row r="7" spans="1:3" x14ac:dyDescent="0.15">
      <c r="A7" s="1" t="s">
        <v>120</v>
      </c>
      <c r="B7" s="1" t="s">
        <v>129</v>
      </c>
      <c r="C7" s="1">
        <v>1</v>
      </c>
    </row>
    <row r="8" spans="1:3" x14ac:dyDescent="0.15">
      <c r="A8" s="1" t="s">
        <v>123</v>
      </c>
      <c r="B8" s="1" t="s">
        <v>129</v>
      </c>
      <c r="C8" s="1">
        <v>1</v>
      </c>
    </row>
    <row r="9" spans="1:3" x14ac:dyDescent="0.15">
      <c r="A9" s="1" t="s">
        <v>119</v>
      </c>
      <c r="B9" s="1" t="s">
        <v>129</v>
      </c>
      <c r="C9" s="1">
        <v>1</v>
      </c>
    </row>
    <row r="10" spans="1:3" x14ac:dyDescent="0.15">
      <c r="A10" s="1" t="s">
        <v>124</v>
      </c>
      <c r="B10" s="1" t="s">
        <v>129</v>
      </c>
      <c r="C10" s="1">
        <v>2</v>
      </c>
    </row>
    <row r="11" spans="1:3" x14ac:dyDescent="0.15">
      <c r="A11" s="1" t="s">
        <v>128</v>
      </c>
      <c r="B11" s="1" t="s">
        <v>129</v>
      </c>
      <c r="C11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H6"/>
  <sheetViews>
    <sheetView workbookViewId="0">
      <selection activeCell="O14" sqref="O14"/>
    </sheetView>
  </sheetViews>
  <sheetFormatPr defaultRowHeight="13.5" x14ac:dyDescent="0.15"/>
  <cols>
    <col min="1" max="16384" width="9" style="1"/>
  </cols>
  <sheetData>
    <row r="1" spans="1:8" x14ac:dyDescent="0.15">
      <c r="A1" s="8" t="s">
        <v>42</v>
      </c>
      <c r="B1" s="8" t="s">
        <v>48</v>
      </c>
      <c r="C1" s="8" t="s">
        <v>49</v>
      </c>
      <c r="D1" s="8" t="s">
        <v>50</v>
      </c>
      <c r="E1" s="8" t="s">
        <v>51</v>
      </c>
      <c r="F1" s="8" t="s">
        <v>52</v>
      </c>
      <c r="G1" s="8" t="s">
        <v>53</v>
      </c>
      <c r="H1" s="8" t="s">
        <v>54</v>
      </c>
    </row>
    <row r="2" spans="1:8" x14ac:dyDescent="0.15">
      <c r="A2" s="4" t="s">
        <v>43</v>
      </c>
      <c r="B2" s="15">
        <v>0.02</v>
      </c>
      <c r="C2" s="15">
        <v>0.02</v>
      </c>
      <c r="D2" s="15">
        <v>0.02</v>
      </c>
      <c r="E2" s="15">
        <v>0</v>
      </c>
      <c r="F2" s="24">
        <f>B2+$E2</f>
        <v>0.02</v>
      </c>
      <c r="G2" s="24">
        <f t="shared" ref="G2:H2" si="0">C2+$E2</f>
        <v>0.02</v>
      </c>
      <c r="H2" s="24">
        <f t="shared" si="0"/>
        <v>0.02</v>
      </c>
    </row>
    <row r="3" spans="1:8" x14ac:dyDescent="0.15">
      <c r="A3" s="4" t="s">
        <v>45</v>
      </c>
      <c r="B3" s="15">
        <v>0.05</v>
      </c>
      <c r="C3" s="15">
        <v>0.05</v>
      </c>
      <c r="D3" s="15">
        <v>0.05</v>
      </c>
      <c r="E3" s="15">
        <v>0</v>
      </c>
      <c r="F3" s="24">
        <f t="shared" ref="F3:F6" si="1">B3+$E3</f>
        <v>0.05</v>
      </c>
      <c r="G3" s="24">
        <f t="shared" ref="G3:G6" si="2">C3+$E3</f>
        <v>0.05</v>
      </c>
      <c r="H3" s="24">
        <f t="shared" ref="H3:H6" si="3">D3+$E3</f>
        <v>0.05</v>
      </c>
    </row>
    <row r="4" spans="1:8" x14ac:dyDescent="0.15">
      <c r="A4" s="4" t="s">
        <v>44</v>
      </c>
      <c r="B4" s="15">
        <v>0.08</v>
      </c>
      <c r="C4" s="15">
        <v>0.08</v>
      </c>
      <c r="D4" s="15">
        <v>0.08</v>
      </c>
      <c r="E4" s="15">
        <v>0</v>
      </c>
      <c r="F4" s="24">
        <f t="shared" si="1"/>
        <v>0.08</v>
      </c>
      <c r="G4" s="24">
        <f t="shared" si="2"/>
        <v>0.08</v>
      </c>
      <c r="H4" s="24">
        <f t="shared" si="3"/>
        <v>0.08</v>
      </c>
    </row>
    <row r="5" spans="1:8" x14ac:dyDescent="0.15">
      <c r="A5" s="4" t="s">
        <v>46</v>
      </c>
      <c r="B5" s="15">
        <v>0.1</v>
      </c>
      <c r="C5" s="15">
        <v>0.1</v>
      </c>
      <c r="D5" s="15">
        <v>0.1</v>
      </c>
      <c r="E5" s="15">
        <v>0</v>
      </c>
      <c r="F5" s="24">
        <f t="shared" si="1"/>
        <v>0.1</v>
      </c>
      <c r="G5" s="24">
        <f t="shared" si="2"/>
        <v>0.1</v>
      </c>
      <c r="H5" s="24">
        <f t="shared" si="3"/>
        <v>0.1</v>
      </c>
    </row>
    <row r="6" spans="1:8" x14ac:dyDescent="0.15">
      <c r="A6" s="4" t="s">
        <v>47</v>
      </c>
      <c r="B6" s="15">
        <v>0.15</v>
      </c>
      <c r="C6" s="15">
        <v>0.15</v>
      </c>
      <c r="D6" s="15">
        <v>0.15</v>
      </c>
      <c r="E6" s="15">
        <v>0.1</v>
      </c>
      <c r="F6" s="24">
        <f t="shared" si="1"/>
        <v>0.25</v>
      </c>
      <c r="G6" s="24">
        <f t="shared" si="2"/>
        <v>0.25</v>
      </c>
      <c r="H6" s="24">
        <f t="shared" si="3"/>
        <v>0.25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系统总览</vt:lpstr>
      <vt:lpstr>物品价值</vt:lpstr>
      <vt:lpstr>怪物经验</vt:lpstr>
      <vt:lpstr>角色升级</vt:lpstr>
      <vt:lpstr>三魂七魄</vt:lpstr>
      <vt:lpstr>角色内丹</vt:lpstr>
      <vt:lpstr>角色装备</vt:lpstr>
      <vt:lpstr>天赋珠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2017-02-14T09:26:38Z</dcterms:modified>
</cp:coreProperties>
</file>